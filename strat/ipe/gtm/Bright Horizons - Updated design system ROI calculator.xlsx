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am based gains" sheetId="1" r:id="rId5"/>
    <sheet state="hidden" name="Knapsack platform efficiency" sheetId="2" r:id="rId6"/>
    <sheet state="hidden" name="Intelligent product engine" sheetId="3" r:id="rId7"/>
    <sheet state="hidden" name="Calculator" sheetId="4" r:id="rId8"/>
    <sheet state="visible" name="Bright Horizons" sheetId="5" r:id="rId9"/>
    <sheet state="visible" name="Efficiency Gains with Investmen" sheetId="6" r:id="rId10"/>
    <sheet state="visible" name="Value of Product Spend with AIM" sheetId="7" r:id="rId11"/>
    <sheet state="visible" name="Design system reference" sheetId="8" r:id="rId12"/>
    <sheet state="visible" name="Knapsack reference" sheetId="9" r:id="rId13"/>
    <sheet state="visible" name="Other references" sheetId="10" r:id="rId14"/>
    <sheet state="hidden" name="ACME Corp example" sheetId="11" r:id="rId15"/>
    <sheet state="hidden" name="(deprecate) Component based gai" sheetId="12" r:id="rId16"/>
  </sheets>
  <definedNames/>
  <calcPr/>
</workbook>
</file>

<file path=xl/sharedStrings.xml><?xml version="1.0" encoding="utf-8"?>
<sst xmlns="http://schemas.openxmlformats.org/spreadsheetml/2006/main" count="500" uniqueCount="306">
  <si>
    <t>Team/person based efficiency calcs</t>
  </si>
  <si>
    <t>Design system team size/cost</t>
  </si>
  <si>
    <t>Product team example</t>
  </si>
  <si>
    <t>Number of UI developers</t>
  </si>
  <si>
    <t>Developers</t>
  </si>
  <si>
    <t>Number of designers</t>
  </si>
  <si>
    <t>Designers</t>
  </si>
  <si>
    <t>Avg UI developer salary</t>
  </si>
  <si>
    <t>Developer cost</t>
  </si>
  <si>
    <t>Avg designer salary</t>
  </si>
  <si>
    <t>Designer cost</t>
  </si>
  <si>
    <t>Load cost multiplier</t>
  </si>
  <si>
    <t>Total cost</t>
  </si>
  <si>
    <t>Developer efficiency gain</t>
  </si>
  <si>
    <t>Efficiency gain</t>
  </si>
  <si>
    <t>Designer efficiency gain</t>
  </si>
  <si>
    <t>Opportunity cost saving</t>
  </si>
  <si>
    <t>Savings versus design team cost</t>
  </si>
  <si>
    <t>System maintenance load</t>
  </si>
  <si>
    <t>At design system team size...</t>
  </si>
  <si>
    <t>Bespoke</t>
  </si>
  <si>
    <t>Knapsack</t>
  </si>
  <si>
    <t>Foundation of calculations:</t>
  </si>
  <si>
    <r>
      <rPr>
        <rFont val="Arial"/>
        <b/>
        <color theme="1"/>
      </rPr>
      <t>Bespoke platforms</t>
    </r>
    <r>
      <rPr>
        <rFont val="Arial"/>
        <b val="0"/>
        <color theme="1"/>
      </rPr>
      <t xml:space="preserve"> require ongoing dev/ops/content support - it scales slowly down, but will plateau</t>
    </r>
  </si>
  <si>
    <r>
      <rPr>
        <rFont val="Arial"/>
        <b/>
        <color theme="1"/>
      </rPr>
      <t xml:space="preserve">Knapsack platform </t>
    </r>
    <r>
      <rPr>
        <rFont val="Arial"/>
        <b val="0"/>
        <color theme="1"/>
      </rPr>
      <t>benefits from hosted infra, built in scaffolds, self-serve consumption, less tooling sprawl</t>
    </r>
  </si>
  <si>
    <t>DS team efficiency - Knapsack versus bespoke, realized by org. maturity</t>
  </si>
  <si>
    <t>Scenario</t>
  </si>
  <si>
    <t># product teams supported (approx.)</t>
  </si>
  <si>
    <t>Bespoke DS team size</t>
  </si>
  <si>
    <t>Product teams per FTE (Bespoke)</t>
  </si>
  <si>
    <t>Knapsack DS team size (est)</t>
  </si>
  <si>
    <t>Product teams per FTE (Knapsack)</t>
  </si>
  <si>
    <t>Efficiency improvement</t>
  </si>
  <si>
    <t>Notes</t>
  </si>
  <si>
    <t>IBM (Carbon)</t>
  </si>
  <si>
    <t>A benchmark in operational efficiency</t>
  </si>
  <si>
    <t>Mid-range enterprise</t>
  </si>
  <si>
    <t>Chase</t>
  </si>
  <si>
    <t>A very large DS team, especially for # of products</t>
  </si>
  <si>
    <r>
      <rPr>
        <rFont val="Arial"/>
        <b/>
        <color theme="1"/>
      </rPr>
      <t xml:space="preserve">Notes: </t>
    </r>
    <r>
      <rPr>
        <rFont val="Arial"/>
        <b val="0"/>
        <color theme="1"/>
      </rPr>
      <t xml:space="preserve">This is the potential </t>
    </r>
    <r>
      <rPr>
        <rFont val="Arial"/>
        <b/>
        <color theme="1"/>
      </rPr>
      <t xml:space="preserve">immediate infrastructure efficiency </t>
    </r>
    <r>
      <rPr>
        <rFont val="Arial"/>
        <b val="0"/>
        <color theme="1"/>
      </rPr>
      <t>gains, and assumes no change in the operational efficiency of the customer.</t>
    </r>
  </si>
  <si>
    <t>Hypothetical scenario</t>
  </si>
  <si>
    <t>Chase engages Knapsack to become their design system platform, but also works with Knapsack's proserv and increase operational efficiency to 60% of IBM's level.</t>
  </si>
  <si>
    <t>Extrapolated formula</t>
  </si>
  <si>
    <t>Design system maturity</t>
  </si>
  <si>
    <t>Name</t>
  </si>
  <si>
    <t>Description</t>
  </si>
  <si>
    <t>Product Teams per FTE (Bespoke)</t>
  </si>
  <si>
    <t>Product Teams per FTE (Knapsack)</t>
  </si>
  <si>
    <t>Multiplier</t>
  </si>
  <si>
    <t>Compounded multiplier</t>
  </si>
  <si>
    <t>Adoption</t>
  </si>
  <si>
    <t>Fragmented / Ad Hoc</t>
  </si>
  <si>
    <t>No consistent system usage; duplicative tools, reactive work</t>
  </si>
  <si>
    <t>Documented but Manual</t>
  </si>
  <si>
    <t>Has guidance, but no enforcement; Figma-to-code handoff still dominant</t>
  </si>
  <si>
    <t>Governed &amp; Adopted</t>
  </si>
  <si>
    <t>Design system is enforced, broadly adopted; teams align to DS patterns</t>
  </si>
  <si>
    <t>Integrated into Delivery</t>
  </si>
  <si>
    <t>System is part of CI/CD, components tokenized, teams onboarded consistently</t>
  </si>
  <si>
    <t>Orchestrated / Optimized</t>
  </si>
  <si>
    <t>Governance + delivery model is intelligent, integrated, and scalable</t>
  </si>
  <si>
    <t>Dimension</t>
  </si>
  <si>
    <t>Traditional Design System (Canvas-led)</t>
  </si>
  <si>
    <t>Knapsack Intelligent Product Engine</t>
  </si>
  <si>
    <t>Starting Point</t>
  </si>
  <si>
    <t>Design happens in a canvas (Figma, etc.)</t>
  </si>
  <si>
    <t>Existing product artifacts are ingested into structured models</t>
  </si>
  <si>
    <t>Design/Dev Handoff</t>
  </si>
  <si>
    <t>Relies on mockups passed to developers</t>
  </si>
  <si>
    <t>Skipped entirely — composition happens in or near code</t>
  </si>
  <si>
    <t>System Governance</t>
  </si>
  <si>
    <t>Manual, reference-based governance enforcement</t>
  </si>
  <si>
    <t>Embedded in the MCP and applied through validation + rules</t>
  </si>
  <si>
    <t>Component Composition</t>
  </si>
  <si>
    <t>Manual implementation by engineers from design specs</t>
  </si>
  <si>
    <t>AI-assisted composition assistant uses tokens, components, and patterns</t>
  </si>
  <si>
    <t>Cycle Time</t>
  </si>
  <si>
    <t>Long — design, spec, review, dev, re-review</t>
  </si>
  <si>
    <t>Short — assisted, structured generation with shared context</t>
  </si>
  <si>
    <t>Version 1 Output</t>
  </si>
  <si>
    <t>Coded manually by dev team after back-and-forth iteration</t>
  </si>
  <si>
    <t>First version generated rapidly with contextual design system knowledge</t>
  </si>
  <si>
    <t>Release Path</t>
  </si>
  <si>
    <t>Multi-step refinement → eventual release</t>
  </si>
  <si>
    <t>V1 product is reviewed, optionally refined, then released</t>
  </si>
  <si>
    <t>Efficiency Scaling</t>
  </si>
  <si>
    <t>High headcount required for alignment, documentation, ops</t>
  </si>
  <si>
    <t>Low headcount needed — alignment and documentation are emergent</t>
  </si>
  <si>
    <t>Tooling Footprint</t>
  </si>
  <si>
    <t>Disconnected tools: Figma, Storybook, Confluence, internal wikis</t>
  </si>
  <si>
    <t>Unified via Knapsack MCP + agent ecosystem</t>
  </si>
  <si>
    <t>Governance Model</t>
  </si>
  <si>
    <t>Reference governance: “Did you follow the design system?”</t>
  </si>
  <si>
    <t>Embedded governance: system itself enforces structure</t>
  </si>
  <si>
    <t>Hypothesis</t>
  </si>
  <si>
    <t>Traditional (Canvas + DS)</t>
  </si>
  <si>
    <t>Knapsack IPE</t>
  </si>
  <si>
    <t>Create design/spec</t>
  </si>
  <si>
    <t>Dev handoff/implement</t>
  </si>
  <si>
    <t>Review + iteration</t>
  </si>
  <si>
    <t>Integrate / prep / release</t>
  </si>
  <si>
    <t>Cycle time</t>
  </si>
  <si>
    <t>Extra special math...</t>
  </si>
  <si>
    <t>Chase adopts Knapsack, adopts ops improvement, then uses the IPE...</t>
  </si>
  <si>
    <t>ACME Company</t>
  </si>
  <si>
    <t>Product ROI multiplier</t>
  </si>
  <si>
    <t>We assume a baseline product ROI of 3×, a conservative industry standard representing typical value delivery for non-optimized teams. This aligns with internal benchmarks used in mid-sized enterprises and is consistent with expectations from strategy consulting and innovation portfolio modeling.</t>
  </si>
  <si>
    <t>Product teams</t>
  </si>
  <si>
    <t>Adopt Knapsack as DS platform</t>
  </si>
  <si>
    <t>DS cost to product team efficiency multiplier</t>
  </si>
  <si>
    <t># product teams</t>
  </si>
  <si>
    <t>Average efficiency gain</t>
  </si>
  <si>
    <t>Estimated product teams per FTE</t>
  </si>
  <si>
    <t>Bespoke DS</t>
  </si>
  <si>
    <t>Infrastructure efficiency gain</t>
  </si>
  <si>
    <t>Knapsack (infra only)</t>
  </si>
  <si>
    <t>plus IPE</t>
  </si>
  <si>
    <t>Opportunity cost savings</t>
  </si>
  <si>
    <t>At current DS adoption rate</t>
  </si>
  <si>
    <t>Improve to DS 2</t>
  </si>
  <si>
    <t>Total devs</t>
  </si>
  <si>
    <t>Potential new load cost</t>
  </si>
  <si>
    <t>Knapsack contract cost</t>
  </si>
  <si>
    <t>Improve to DS 3</t>
  </si>
  <si>
    <t>Total designers</t>
  </si>
  <si>
    <t>Potential new product team avg cost</t>
  </si>
  <si>
    <t>Improve to DS 4</t>
  </si>
  <si>
    <t>Averaged load cost</t>
  </si>
  <si>
    <t>Improve to DS 5</t>
  </si>
  <si>
    <t>Savings to DS team cost multiplier</t>
  </si>
  <si>
    <t>Total load cost</t>
  </si>
  <si>
    <t>Product team avg cost</t>
  </si>
  <si>
    <t>Product teams per FTE</t>
  </si>
  <si>
    <t>DS Maturity</t>
  </si>
  <si>
    <t>ROI Multiplier (no Knapsack cost)</t>
  </si>
  <si>
    <t>Expected return</t>
  </si>
  <si>
    <t>True ROI (with Knapsack cost)</t>
  </si>
  <si>
    <t>New ROI Multiplier</t>
  </si>
  <si>
    <t>Expected return (reduce prod costs)</t>
  </si>
  <si>
    <t>DS $ per product team</t>
  </si>
  <si>
    <t>Design system team</t>
  </si>
  <si>
    <t>Expected return (same prod costs)</t>
  </si>
  <si>
    <t>Total DS cost for same delivery</t>
  </si>
  <si>
    <t>WITH INTELLIGENT PRODUCT ENGINE</t>
  </si>
  <si>
    <t>Change DS team operational maturity (with Knapsack assist)</t>
  </si>
  <si>
    <t>KS efficiency multiplier</t>
  </si>
  <si>
    <t>KS Efficiency multiplier</t>
  </si>
  <si>
    <t>Already at baseline DS 1</t>
  </si>
  <si>
    <t>N/A</t>
  </si>
  <si>
    <t>Current to baseline DS 2</t>
  </si>
  <si>
    <t>Current to baseline DS 3</t>
  </si>
  <si>
    <t>I'm a mid sized enterprise company with a growing suite of products</t>
  </si>
  <si>
    <t>Current to baseline DS 4</t>
  </si>
  <si>
    <t>I spend this much each year delivering digital products</t>
  </si>
  <si>
    <t>Current to baseline DS 5</t>
  </si>
  <si>
    <t>Then I build a design system team, and it costs me</t>
  </si>
  <si>
    <t>But it also saves me</t>
  </si>
  <si>
    <t>So the overall net balance is...</t>
  </si>
  <si>
    <t>I engage Knapsack to be my design system platform</t>
  </si>
  <si>
    <t>The annual contract costs</t>
  </si>
  <si>
    <t>But now I can reduce my design system team costs by</t>
  </si>
  <si>
    <t>Knapsack already saved me a net of</t>
  </si>
  <si>
    <t>Knapsack also teach me how to improve how our design system works, which saves me an extra</t>
  </si>
  <si>
    <t>So now they've saved me a net of</t>
  </si>
  <si>
    <t>(improve from DS1 to DS2)</t>
  </si>
  <si>
    <t>I decide to try out Knapsack's Intelligent Product Engine</t>
  </si>
  <si>
    <t>It's a bigger commitment, so the annual contract Knapsack contract is now</t>
  </si>
  <si>
    <t xml:space="preserve">And my delivery exponentially improved. </t>
  </si>
  <si>
    <t>I spend this much on product</t>
  </si>
  <si>
    <t>I started by earning this in return</t>
  </si>
  <si>
    <t>Then I got a design system and started earning this much in return</t>
  </si>
  <si>
    <t>Then I started using Knapsack and started earning this much in return</t>
  </si>
  <si>
    <t>And now I used the IPE and I earn this much in return</t>
  </si>
  <si>
    <t>126× ROI = base ROI (3×) × delivery efficiency gain at DS2 maturity with IPE (42× supported delivery per unit DS cost)</t>
  </si>
  <si>
    <t>Every dollar I spent earns me this much in return</t>
  </si>
  <si>
    <t>ROI adjusted for increased Knapsack contract spend</t>
  </si>
  <si>
    <t>SUMMARY SHEET</t>
  </si>
  <si>
    <t>Stage</t>
  </si>
  <si>
    <t>ROI</t>
  </si>
  <si>
    <t>Return Value</t>
  </si>
  <si>
    <t>Platform Cost</t>
  </si>
  <si>
    <t>Pre-DS (baseline)</t>
  </si>
  <si>
    <t>3.0×</t>
  </si>
  <si>
    <t>$27.8M</t>
  </si>
  <si>
    <t>Internal DS only</t>
  </si>
  <si>
    <t>4.08×</t>
  </si>
  <si>
    <t>$37.9M</t>
  </si>
  <si>
    <t>Knapsack platform</t>
  </si>
  <si>
    <t>12.5×</t>
  </si>
  <si>
    <t>$117.4M</t>
  </si>
  <si>
    <t>$150k</t>
  </si>
  <si>
    <t>Knapsack + IPE</t>
  </si>
  <si>
    <t>116.7×</t>
  </si>
  <si>
    <t>$1.17B</t>
  </si>
  <si>
    <t>$750k</t>
  </si>
  <si>
    <t>Bright Horizons</t>
  </si>
  <si>
    <t>You can change a lot of the numbers, but the only ones you *have* to add are highlighted in green.</t>
  </si>
  <si>
    <t>COMPANY INFO</t>
  </si>
  <si>
    <t>DESIGN SYSTEM TEAM</t>
  </si>
  <si>
    <t>DESIGN SYSTEM TEAM EFFICIENCY GAINS</t>
  </si>
  <si>
    <t>GAINS OVER TIME (bespoke)</t>
  </si>
  <si>
    <r>
      <rPr>
        <rFont val="Arial"/>
        <b/>
        <color theme="1"/>
      </rPr>
      <t xml:space="preserve">Use baseline adoption rate? </t>
    </r>
    <r>
      <rPr>
        <rFont val="Arial"/>
        <b/>
        <i/>
        <color theme="1"/>
      </rPr>
      <t>don't change for now!</t>
    </r>
  </si>
  <si>
    <t>Months to next DS maturity</t>
  </si>
  <si>
    <t>Total staff</t>
  </si>
  <si>
    <t>Design team maturity</t>
  </si>
  <si>
    <t>Efficiency gain/user</t>
  </si>
  <si>
    <t>Product staff</t>
  </si>
  <si>
    <t>Estimated adoption rate</t>
  </si>
  <si>
    <t>Month</t>
  </si>
  <si>
    <t>DS Improvement</t>
  </si>
  <si>
    <t>Adoption %</t>
  </si>
  <si>
    <t>Org efficiency gain</t>
  </si>
  <si>
    <t>Efficiency gains $</t>
  </si>
  <si>
    <t>Net versus DS team cost</t>
  </si>
  <si>
    <t>Cumulative gain (bespoke)</t>
  </si>
  <si>
    <t>Manual adoption rate</t>
  </si>
  <si>
    <t># of product teams (rounded)</t>
  </si>
  <si>
    <t>Design team load cost</t>
  </si>
  <si>
    <t>Developer avg salary</t>
  </si>
  <si>
    <t>data provided by Kelley</t>
  </si>
  <si>
    <t>Design team total cost</t>
  </si>
  <si>
    <t>Designer avg salary</t>
  </si>
  <si>
    <t>data provide by Glassdoor</t>
  </si>
  <si>
    <t>Developer load cost</t>
  </si>
  <si>
    <t>Designer load cost</t>
  </si>
  <si>
    <t>Prod team load cost</t>
  </si>
  <si>
    <t>KNAPSACK OPERATIONAL EFFICIENCY GAINS</t>
  </si>
  <si>
    <t>GAINS OVER TIME (Knapsack)</t>
  </si>
  <si>
    <t>Baseline product spend</t>
  </si>
  <si>
    <t>Flat rate</t>
  </si>
  <si>
    <t>DS1-2, DS2-3</t>
  </si>
  <si>
    <t>DS3-4, DS4-5</t>
  </si>
  <si>
    <t>Annual contract cost</t>
  </si>
  <si>
    <t>ROI on product spend</t>
  </si>
  <si>
    <t>Net reduction in DS team cost</t>
  </si>
  <si>
    <t>Cumulative gain (Knapsack)</t>
  </si>
  <si>
    <t>Differential</t>
  </si>
  <si>
    <t>KS efficiency gain to product spend</t>
  </si>
  <si>
    <t>Revenue</t>
  </si>
  <si>
    <t>KNAPSACK INTELLIGENT PRODUCT ENGINE</t>
  </si>
  <si>
    <t>PRODUCTIVITY OVER TIME</t>
  </si>
  <si>
    <t>With bespoke DS</t>
  </si>
  <si>
    <t>New ROI</t>
  </si>
  <si>
    <t>Half year value of value of product spend</t>
  </si>
  <si>
    <t>Cumulative (Knapsack IPE)</t>
  </si>
  <si>
    <t>Potential annual value of product spend</t>
  </si>
  <si>
    <t>Each $ on Knapsack is worth...</t>
  </si>
  <si>
    <t>Value of product spend</t>
  </si>
  <si>
    <t>Cumulative (Canvas + DS)</t>
  </si>
  <si>
    <t>Turn quarterly release cycles into weekly ones</t>
  </si>
  <si>
    <t>Example org efficiency gain at adoption rate</t>
  </si>
  <si>
    <t>Dev:Design Ratio</t>
  </si>
  <si>
    <t>Estimate baseline adoption</t>
  </si>
  <si>
    <t>Design system maturity 1</t>
  </si>
  <si>
    <t>Design system maturity 2</t>
  </si>
  <si>
    <t>Design system maturity 3</t>
  </si>
  <si>
    <t>Design system maturity 4</t>
  </si>
  <si>
    <t>Design system maturity 5</t>
  </si>
  <si>
    <t>Developer efficiency gain from design system</t>
  </si>
  <si>
    <t>Source: Smashing Magazine, with adjustment that their calculations assume a baseline adoption of 80%</t>
  </si>
  <si>
    <t>Designer efficiency gain from design system</t>
  </si>
  <si>
    <t>Benefit</t>
  </si>
  <si>
    <t>Value</t>
  </si>
  <si>
    <t>Design system team overhead savings</t>
  </si>
  <si>
    <t>Opportunity cost from reduced operational costs, applies to 100% of DS team cost, reflecting infrastructure, tooling consolidation, reduced management needs, etc.</t>
  </si>
  <si>
    <t>Average annual contract cost (platform + basic proserv)</t>
  </si>
  <si>
    <t>Average annual contract cost (IPE)</t>
  </si>
  <si>
    <t>KNAPSACK PROCESS AND PROSERV IMPACT ON ORGANIZATIONAL DESIGN SYSTEM MATURITY</t>
  </si>
  <si>
    <t>Operational maturity</t>
  </si>
  <si>
    <t>Months w/o Knapsack</t>
  </si>
  <si>
    <t>Months w/ Knapsack</t>
  </si>
  <si>
    <t>Months Saved</t>
  </si>
  <si>
    <t>% Impact</t>
  </si>
  <si>
    <t>DS1 → DS2</t>
  </si>
  <si>
    <t>DS2 → DS3</t>
  </si>
  <si>
    <t>DS3 → DS4</t>
  </si>
  <si>
    <t>DS4 → DS5</t>
  </si>
  <si>
    <t>INTELLIGENT PRODUCT ENGINE</t>
  </si>
  <si>
    <t>Product team FTE / total company FTE</t>
  </si>
  <si>
    <t>We use a default assumption of 20%, and allow this to be adjusted to model variations across sectors and firm maturity.</t>
  </si>
  <si>
    <t>Developers as ratio of product team</t>
  </si>
  <si>
    <t>Designers as ratio of product team</t>
  </si>
  <si>
    <t>ROI of product investment</t>
  </si>
  <si>
    <t>We assume a baseline product ROI of 3×, a conservative industry standard representing typical value delivery for non-optimized teams.</t>
  </si>
  <si>
    <t>Developer average salary</t>
  </si>
  <si>
    <t>Source: Indeed</t>
  </si>
  <si>
    <t>Designer average salary</t>
  </si>
  <si>
    <t>Source: US Bureau of Labor Statistics (Mar 2025)</t>
  </si>
  <si>
    <t>Avg. product team size</t>
  </si>
  <si>
    <t>ACME Corporation</t>
  </si>
  <si>
    <t>Use baseline adoption rate?</t>
  </si>
  <si>
    <t>Non-DS component cost</t>
  </si>
  <si>
    <t>DS component cost</t>
  </si>
  <si>
    <t>Design hours</t>
  </si>
  <si>
    <t>DS component complexity modifier</t>
  </si>
  <si>
    <t>Development hours</t>
  </si>
  <si>
    <t># of instances of component</t>
  </si>
  <si>
    <t>Integration hours per instance</t>
  </si>
  <si>
    <t>Total hours</t>
  </si>
  <si>
    <t>Total time savings vs non-DS</t>
  </si>
  <si>
    <t>% efficiency improvement</t>
  </si>
  <si>
    <t>Non-DS component maintenance</t>
  </si>
  <si>
    <t>DS component maintenance cost</t>
  </si>
  <si>
    <t>% of build time / year</t>
  </si>
  <si>
    <t>% of integration time / year</t>
  </si>
  <si>
    <t>Total hours/year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</si>
</sst>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0.0%"/>
    <numFmt numFmtId="166" formatCode="0.0"/>
    <numFmt numFmtId="167" formatCode="&quot;$&quot;#,##0.00"/>
  </numFmts>
  <fonts count="1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sz val="8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9.0"/>
      <color theme="1"/>
      <name val="Arial"/>
      <scheme val="minor"/>
    </font>
    <font>
      <i/>
      <sz val="6.0"/>
      <color theme="1"/>
      <name val="Arial"/>
      <scheme val="minor"/>
    </font>
    <font>
      <b/>
      <i/>
      <sz val="8.0"/>
      <color theme="1"/>
      <name val="Arial"/>
      <scheme val="minor"/>
    </font>
    <font>
      <i/>
      <sz val="8.0"/>
      <color theme="1"/>
      <name val="Arial"/>
      <scheme val="minor"/>
    </font>
    <font>
      <sz val="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4" xfId="0" applyFont="1" applyNumberFormat="1"/>
    <xf borderId="0" fillId="2" fontId="2" numFmtId="9" xfId="0" applyAlignment="1" applyFont="1" applyNumberFormat="1">
      <alignment readingOrder="0"/>
    </xf>
    <xf borderId="0" fillId="2" fontId="2" numFmtId="10" xfId="0" applyFont="1" applyNumberFormat="1"/>
    <xf borderId="0" fillId="0" fontId="3" numFmtId="0" xfId="0" applyAlignment="1" applyFont="1">
      <alignment readingOrder="0"/>
    </xf>
    <xf borderId="0" fillId="3" fontId="2" numFmtId="0" xfId="0" applyFill="1" applyFont="1"/>
    <xf borderId="0" fillId="2" fontId="2" numFmtId="10" xfId="0" applyAlignment="1" applyFont="1" applyNumberFormat="1">
      <alignment readingOrder="0"/>
    </xf>
    <xf borderId="0" fillId="3" fontId="2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/>
    </xf>
    <xf borderId="0" fillId="4" fontId="2" numFmtId="166" xfId="0" applyFont="1" applyNumberFormat="1"/>
    <xf borderId="0" fillId="4" fontId="2" numFmtId="1" xfId="0" applyAlignment="1" applyFont="1" applyNumberFormat="1">
      <alignment readingOrder="0"/>
    </xf>
    <xf borderId="0" fillId="4" fontId="2" numFmtId="9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2" xfId="0" applyFont="1" applyNumberFormat="1"/>
    <xf borderId="0" fillId="4" fontId="4" numFmtId="166" xfId="0" applyFont="1" applyNumberFormat="1"/>
    <xf borderId="0" fillId="4" fontId="4" numFmtId="9" xfId="0" applyFont="1" applyNumberFormat="1"/>
    <xf borderId="0" fillId="4" fontId="4" numFmtId="0" xfId="0" applyFont="1"/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9" xfId="0" applyFont="1" applyNumberFormat="1"/>
    <xf borderId="0" fillId="0" fontId="2" numFmtId="3" xfId="0" applyAlignment="1" applyFont="1" applyNumberFormat="1">
      <alignment readingOrder="0" vertical="top"/>
    </xf>
    <xf borderId="0" fillId="0" fontId="2" numFmtId="166" xfId="0" applyAlignment="1" applyFont="1" applyNumberFormat="1">
      <alignment vertical="top"/>
    </xf>
    <xf borderId="0" fillId="2" fontId="3" numFmtId="0" xfId="0" applyAlignment="1" applyFont="1">
      <alignment horizontal="left" readingOrder="0"/>
    </xf>
    <xf borderId="0" fillId="5" fontId="3" numFmtId="0" xfId="0" applyAlignment="1" applyFill="1" applyFont="1">
      <alignment horizontal="left" readingOrder="0"/>
    </xf>
    <xf borderId="0" fillId="6" fontId="3" numFmtId="0" xfId="0" applyAlignment="1" applyFill="1" applyFont="1">
      <alignment horizontal="left" readingOrder="0"/>
    </xf>
    <xf borderId="0" fillId="2" fontId="4" numFmtId="0" xfId="0" applyAlignment="1" applyFont="1">
      <alignment readingOrder="0"/>
    </xf>
    <xf borderId="0" fillId="5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vertical="top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2" numFmtId="9" xfId="0" applyAlignment="1" applyFont="1" applyNumberFormat="1">
      <alignment horizontal="right"/>
    </xf>
    <xf borderId="0" fillId="0" fontId="2" numFmtId="2" xfId="0" applyFont="1" applyNumberFormat="1"/>
    <xf borderId="0" fillId="2" fontId="2" numFmtId="4" xfId="0" applyAlignment="1" applyFont="1" applyNumberFormat="1">
      <alignment readingOrder="0"/>
    </xf>
    <xf borderId="0" fillId="2" fontId="2" numFmtId="4" xfId="0" applyFont="1" applyNumberFormat="1"/>
    <xf borderId="0" fillId="2" fontId="2" numFmtId="2" xfId="0" applyFont="1" applyNumberFormat="1"/>
    <xf borderId="0" fillId="0" fontId="2" numFmtId="164" xfId="0" applyFont="1" applyNumberFormat="1"/>
    <xf borderId="0" fillId="2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right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6" xfId="0" applyFont="1" applyNumberFormat="1"/>
    <xf borderId="0" fillId="0" fontId="3" numFmtId="164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10" numFmtId="0" xfId="0" applyAlignment="1" applyFont="1">
      <alignment readingOrder="0"/>
    </xf>
    <xf borderId="0" fillId="0" fontId="3" numFmtId="167" xfId="0" applyFont="1" applyNumberFormat="1"/>
    <xf borderId="0" fillId="7" fontId="3" numFmtId="0" xfId="0" applyAlignment="1" applyFill="1" applyFont="1">
      <alignment horizontal="center" readingOrder="0"/>
    </xf>
    <xf borderId="0" fillId="2" fontId="2" numFmtId="0" xfId="0" applyAlignment="1" applyFont="1">
      <alignment horizontal="right" readingOrder="0"/>
    </xf>
    <xf borderId="0" fillId="2" fontId="2" numFmtId="164" xfId="0" applyAlignment="1" applyFont="1" applyNumberFormat="1">
      <alignment horizontal="right" readingOrder="0"/>
    </xf>
    <xf borderId="0" fillId="4" fontId="2" numFmtId="0" xfId="0" applyAlignment="1" applyFont="1">
      <alignment shrinkToFit="0" wrapText="1"/>
    </xf>
    <xf borderId="0" fillId="4" fontId="3" numFmtId="0" xfId="0" applyFont="1"/>
    <xf borderId="0" fillId="0" fontId="3" numFmtId="0" xfId="0" applyFont="1"/>
    <xf borderId="0" fillId="2" fontId="11" numFmtId="0" xfId="0" applyAlignment="1" applyFont="1">
      <alignment readingOrder="0"/>
    </xf>
    <xf borderId="0" fillId="2" fontId="12" numFmtId="0" xfId="0" applyFont="1"/>
    <xf borderId="0" fillId="2" fontId="12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8" fontId="3" numFmtId="0" xfId="0" applyAlignment="1" applyFont="1">
      <alignment readingOrder="0"/>
    </xf>
    <xf borderId="0" fillId="8" fontId="2" numFmtId="0" xfId="0" applyAlignment="1" applyFont="1">
      <alignment readingOrder="0"/>
    </xf>
    <xf borderId="0" fillId="2" fontId="2" numFmtId="9" xfId="0" applyAlignment="1" applyFont="1" applyNumberFormat="1">
      <alignment horizontal="right" readingOrder="0"/>
    </xf>
    <xf borderId="0" fillId="2" fontId="2" numFmtId="3" xfId="0" applyFont="1" applyNumberFormat="1"/>
    <xf borderId="0" fillId="2" fontId="2" numFmtId="9" xfId="0" applyFont="1" applyNumberFormat="1"/>
    <xf borderId="0" fillId="2" fontId="2" numFmtId="167" xfId="0" applyFont="1" applyNumberFormat="1"/>
    <xf borderId="0" fillId="0" fontId="2" numFmtId="1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9" fontId="2" numFmtId="0" xfId="0" applyFont="1"/>
    <xf borderId="0" fillId="9" fontId="5" numFmtId="0" xfId="0" applyAlignment="1" applyFont="1">
      <alignment readingOrder="0"/>
    </xf>
    <xf borderId="0" fillId="9" fontId="11" numFmtId="0" xfId="0" applyAlignment="1" applyFont="1">
      <alignment readingOrder="0"/>
    </xf>
    <xf borderId="0" fillId="9" fontId="12" numFmtId="0" xfId="0" applyFont="1"/>
    <xf borderId="0" fillId="9" fontId="12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" numFmtId="167" xfId="0" applyFont="1" applyNumberFormat="1"/>
    <xf borderId="0" fillId="9" fontId="2" numFmtId="4" xfId="0" applyFont="1" applyNumberFormat="1"/>
    <xf borderId="0" fillId="9" fontId="2" numFmtId="9" xfId="0" applyFont="1" applyNumberFormat="1"/>
    <xf borderId="0" fillId="9" fontId="2" numFmtId="10" xfId="0" applyFont="1" applyNumberFormat="1"/>
    <xf borderId="0" fillId="9" fontId="2" numFmtId="2" xfId="0" applyFont="1" applyNumberFormat="1"/>
    <xf borderId="0" fillId="4" fontId="3" numFmtId="0" xfId="0" applyAlignment="1" applyFont="1">
      <alignment readingOrder="0"/>
    </xf>
    <xf borderId="0" fillId="4" fontId="3" numFmtId="0" xfId="0" applyAlignment="1" applyFont="1">
      <alignment readingOrder="0" shrinkToFit="0" vertical="top" wrapText="1"/>
    </xf>
    <xf borderId="0" fillId="4" fontId="3" numFmtId="0" xfId="0" applyAlignment="1" applyFont="1">
      <alignment shrinkToFit="0" vertical="top" wrapText="1"/>
    </xf>
    <xf borderId="0" fillId="2" fontId="3" numFmtId="0" xfId="0" applyAlignment="1" applyFont="1">
      <alignment readingOrder="0" shrinkToFit="0" vertical="top" wrapText="1"/>
    </xf>
    <xf borderId="0" fillId="4" fontId="2" numFmtId="9" xfId="0" applyFont="1" applyNumberFormat="1"/>
    <xf borderId="0" fillId="4" fontId="2" numFmtId="3" xfId="0" applyAlignment="1" applyFont="1" applyNumberFormat="1">
      <alignment readingOrder="0"/>
    </xf>
    <xf borderId="0" fillId="4" fontId="2" numFmtId="167" xfId="0" applyFont="1" applyNumberFormat="1"/>
    <xf borderId="0" fillId="4" fontId="2" numFmtId="1" xfId="0" applyFont="1" applyNumberForma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13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9" fontId="2" numFmtId="164" xfId="0" applyFont="1" applyNumberFormat="1"/>
    <xf borderId="0" fillId="4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8404186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64772037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11.0"/>
    <col customWidth="1" min="4" max="4" width="20.0"/>
    <col customWidth="1" min="6" max="6" width="11.0"/>
    <col customWidth="1" min="7" max="7" width="28.38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</row>
    <row r="2">
      <c r="A2" s="3"/>
      <c r="B2" s="2"/>
      <c r="D2" s="2"/>
      <c r="E2" s="2"/>
      <c r="G2" s="2"/>
      <c r="H2" s="2"/>
    </row>
    <row r="3">
      <c r="A3" s="3" t="s">
        <v>3</v>
      </c>
      <c r="B3" s="2"/>
      <c r="D3" s="3" t="s">
        <v>4</v>
      </c>
      <c r="E3" s="4">
        <v>4.0</v>
      </c>
      <c r="G3" s="3" t="s">
        <v>4</v>
      </c>
      <c r="H3" s="4">
        <v>20.0</v>
      </c>
    </row>
    <row r="4">
      <c r="A4" s="3" t="s">
        <v>5</v>
      </c>
      <c r="B4" s="2"/>
      <c r="D4" s="3" t="s">
        <v>6</v>
      </c>
      <c r="E4" s="4">
        <v>2.0</v>
      </c>
      <c r="G4" s="3" t="s">
        <v>6</v>
      </c>
      <c r="H4" s="4">
        <v>10.0</v>
      </c>
    </row>
    <row r="5">
      <c r="A5" s="2"/>
      <c r="B5" s="2"/>
      <c r="D5" s="2"/>
      <c r="E5" s="2"/>
      <c r="G5" s="2"/>
      <c r="H5" s="2"/>
    </row>
    <row r="6">
      <c r="A6" s="3" t="s">
        <v>7</v>
      </c>
      <c r="B6" s="5">
        <v>116576.0</v>
      </c>
      <c r="D6" s="3" t="s">
        <v>8</v>
      </c>
      <c r="E6" s="6">
        <f>sum(E3*B6*B8)</f>
        <v>582880</v>
      </c>
      <c r="G6" s="3" t="s">
        <v>8</v>
      </c>
      <c r="H6" s="6">
        <f>sum((H3*B6)*B8)</f>
        <v>2914400</v>
      </c>
    </row>
    <row r="7">
      <c r="A7" s="3" t="s">
        <v>9</v>
      </c>
      <c r="B7" s="5">
        <v>79854.0</v>
      </c>
      <c r="D7" s="3" t="s">
        <v>10</v>
      </c>
      <c r="E7" s="6">
        <f>sum(E4*B7*B8)</f>
        <v>199635</v>
      </c>
      <c r="G7" s="3" t="s">
        <v>10</v>
      </c>
      <c r="H7" s="6">
        <f>sum(H4*B7*B8)</f>
        <v>998175</v>
      </c>
    </row>
    <row r="8">
      <c r="A8" s="3" t="s">
        <v>11</v>
      </c>
      <c r="B8" s="4">
        <v>1.25</v>
      </c>
      <c r="D8" s="3" t="s">
        <v>12</v>
      </c>
      <c r="E8" s="6">
        <f>sum(E6:E7)</f>
        <v>782515</v>
      </c>
      <c r="G8" s="3" t="s">
        <v>12</v>
      </c>
      <c r="H8" s="6">
        <f>sum(H6:H7)</f>
        <v>3912575</v>
      </c>
    </row>
    <row r="9">
      <c r="A9" s="2"/>
      <c r="B9" s="2"/>
      <c r="D9" s="2"/>
      <c r="E9" s="2"/>
      <c r="G9" s="2"/>
      <c r="H9" s="2"/>
    </row>
    <row r="10">
      <c r="A10" s="3" t="s">
        <v>13</v>
      </c>
      <c r="B10" s="7">
        <v>0.38</v>
      </c>
      <c r="D10" s="2"/>
      <c r="E10" s="2"/>
      <c r="G10" s="3" t="s">
        <v>14</v>
      </c>
      <c r="H10" s="8">
        <f>sum(((B10*20)+(B11*10))/30)</f>
        <v>0.3566666667</v>
      </c>
    </row>
    <row r="11">
      <c r="A11" s="3" t="s">
        <v>15</v>
      </c>
      <c r="B11" s="7">
        <v>0.31</v>
      </c>
      <c r="D11" s="2"/>
      <c r="E11" s="2"/>
      <c r="G11" s="3" t="s">
        <v>16</v>
      </c>
      <c r="H11" s="6">
        <f>sum(H8*H10)</f>
        <v>1395485.083</v>
      </c>
    </row>
    <row r="12">
      <c r="A12" s="2"/>
      <c r="B12" s="2"/>
      <c r="D12" s="2"/>
      <c r="E12" s="2"/>
      <c r="G12" s="2"/>
      <c r="H12" s="2"/>
    </row>
    <row r="13">
      <c r="A13" s="3"/>
      <c r="B13" s="2"/>
      <c r="D13" s="2"/>
      <c r="E13" s="2"/>
      <c r="G13" s="3" t="s">
        <v>17</v>
      </c>
      <c r="H13" s="6">
        <f>sum(H11-E8)</f>
        <v>612970.0833</v>
      </c>
    </row>
    <row r="14">
      <c r="A14" s="3"/>
      <c r="B14" s="2"/>
      <c r="D14" s="2"/>
      <c r="E14" s="2"/>
      <c r="G14" s="2"/>
      <c r="H14" s="2"/>
    </row>
    <row r="15">
      <c r="A1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0.75"/>
    <col customWidth="1" min="3" max="3" width="10.63"/>
  </cols>
  <sheetData>
    <row r="1">
      <c r="A1" s="1" t="s">
        <v>18</v>
      </c>
      <c r="C1" s="2"/>
      <c r="D1" s="2"/>
      <c r="E1" s="10"/>
    </row>
    <row r="2">
      <c r="A2" s="3"/>
      <c r="B2" s="11"/>
      <c r="C2" s="2"/>
      <c r="D2" s="2"/>
      <c r="E2" s="10"/>
    </row>
    <row r="3">
      <c r="A3" s="3"/>
      <c r="B3" s="11"/>
      <c r="C3" s="2"/>
      <c r="D3" s="2"/>
      <c r="E3" s="10"/>
    </row>
    <row r="4">
      <c r="A4" s="3" t="s">
        <v>19</v>
      </c>
      <c r="B4" s="4" t="s">
        <v>20</v>
      </c>
      <c r="C4" s="4" t="s">
        <v>21</v>
      </c>
      <c r="D4" s="2"/>
      <c r="E4" s="10"/>
    </row>
    <row r="5">
      <c r="A5" s="4">
        <v>3.0</v>
      </c>
      <c r="B5" s="7">
        <v>0.25</v>
      </c>
      <c r="C5" s="7">
        <v>0.2</v>
      </c>
      <c r="D5" s="7"/>
      <c r="E5" s="12"/>
      <c r="F5" s="13"/>
    </row>
    <row r="6">
      <c r="A6" s="4">
        <v>6.0</v>
      </c>
      <c r="B6" s="7">
        <v>0.2</v>
      </c>
      <c r="C6" s="7">
        <v>0.15</v>
      </c>
      <c r="D6" s="7"/>
      <c r="E6" s="14"/>
      <c r="F6" s="15"/>
    </row>
    <row r="7">
      <c r="A7" s="4">
        <v>10.0</v>
      </c>
      <c r="B7" s="7">
        <v>0.18</v>
      </c>
      <c r="C7" s="7">
        <v>0.1</v>
      </c>
      <c r="D7" s="2"/>
      <c r="E7" s="10"/>
    </row>
    <row r="8">
      <c r="A8" s="4">
        <v>15.0</v>
      </c>
      <c r="B8" s="16">
        <v>0.175</v>
      </c>
      <c r="C8" s="7">
        <v>0.07</v>
      </c>
      <c r="D8" s="2"/>
      <c r="E8" s="10"/>
    </row>
    <row r="9">
      <c r="A9" s="4">
        <v>20.0</v>
      </c>
      <c r="B9" s="16">
        <v>0.175</v>
      </c>
      <c r="C9" s="7">
        <v>0.05</v>
      </c>
      <c r="D9" s="2"/>
      <c r="E9" s="10"/>
    </row>
    <row r="10">
      <c r="A10" s="2"/>
      <c r="B10" s="2"/>
      <c r="C10" s="2"/>
      <c r="D10" s="2"/>
      <c r="E10" s="10"/>
    </row>
    <row r="11">
      <c r="A11" s="3" t="s">
        <v>22</v>
      </c>
      <c r="B11" s="2"/>
      <c r="C11" s="2"/>
      <c r="D11" s="2"/>
      <c r="E11" s="10"/>
    </row>
    <row r="12">
      <c r="A12" s="3" t="s">
        <v>23</v>
      </c>
      <c r="B12" s="2"/>
      <c r="C12" s="2"/>
      <c r="D12" s="2"/>
      <c r="E12" s="10"/>
    </row>
    <row r="13">
      <c r="A13" s="3" t="s">
        <v>24</v>
      </c>
      <c r="B13" s="2"/>
      <c r="C13" s="2"/>
      <c r="D13" s="2"/>
      <c r="E13" s="10"/>
    </row>
    <row r="16">
      <c r="A16" s="17" t="s">
        <v>25</v>
      </c>
    </row>
    <row r="18" ht="55.5" customHeight="1">
      <c r="A18" s="18" t="s">
        <v>26</v>
      </c>
      <c r="B18" s="18" t="s">
        <v>27</v>
      </c>
      <c r="C18" s="18" t="s">
        <v>28</v>
      </c>
      <c r="D18" s="18" t="s">
        <v>29</v>
      </c>
      <c r="E18" s="18" t="s">
        <v>30</v>
      </c>
      <c r="F18" s="18" t="s">
        <v>31</v>
      </c>
      <c r="G18" s="18" t="s">
        <v>32</v>
      </c>
      <c r="H18" s="18" t="s">
        <v>33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20" t="s">
        <v>34</v>
      </c>
      <c r="B19" s="20">
        <v>225.0</v>
      </c>
      <c r="C19" s="20">
        <v>22.0</v>
      </c>
      <c r="D19" s="21">
        <f t="shared" ref="D19:D21" si="1">sum(B19/C19)</f>
        <v>10.22727273</v>
      </c>
      <c r="E19" s="22">
        <f t="shared" ref="E19:E21" si="2">sum(C19/1.2)</f>
        <v>18.33333333</v>
      </c>
      <c r="F19" s="21">
        <f t="shared" ref="F19:F21" si="3">sum(B19/E19)</f>
        <v>12.27272727</v>
      </c>
      <c r="G19" s="23">
        <f t="shared" ref="G19:G21" si="4">sum((F19/D19)-1)</f>
        <v>0.2</v>
      </c>
      <c r="H19" s="24" t="s">
        <v>35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>
      <c r="A20" s="20" t="s">
        <v>36</v>
      </c>
      <c r="B20" s="26">
        <v>60.0</v>
      </c>
      <c r="C20" s="20">
        <v>12.0</v>
      </c>
      <c r="D20" s="25">
        <f t="shared" si="1"/>
        <v>5</v>
      </c>
      <c r="E20" s="20">
        <f t="shared" si="2"/>
        <v>10</v>
      </c>
      <c r="F20" s="21">
        <f t="shared" si="3"/>
        <v>6</v>
      </c>
      <c r="G20" s="23">
        <f t="shared" si="4"/>
        <v>0.2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>
      <c r="A21" s="20" t="s">
        <v>37</v>
      </c>
      <c r="B21" s="20">
        <v>100.0</v>
      </c>
      <c r="C21" s="20">
        <v>80.0</v>
      </c>
      <c r="D21" s="25">
        <f t="shared" si="1"/>
        <v>1.25</v>
      </c>
      <c r="E21" s="22">
        <f t="shared" si="2"/>
        <v>66.66666667</v>
      </c>
      <c r="F21" s="25">
        <f t="shared" si="3"/>
        <v>1.5</v>
      </c>
      <c r="G21" s="23">
        <f t="shared" si="4"/>
        <v>0.2</v>
      </c>
      <c r="H21" s="24" t="s">
        <v>38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3">
      <c r="A23" s="9" t="s">
        <v>39</v>
      </c>
    </row>
    <row r="25">
      <c r="A25" s="27" t="s">
        <v>40</v>
      </c>
    </row>
    <row r="26">
      <c r="A26" s="28" t="s">
        <v>41</v>
      </c>
    </row>
    <row r="28">
      <c r="A28" s="24" t="s">
        <v>37</v>
      </c>
      <c r="B28" s="24">
        <v>100.0</v>
      </c>
      <c r="C28" s="24">
        <f>sum(C21*0.6)</f>
        <v>48</v>
      </c>
      <c r="D28" s="29">
        <f>sum(B28/C28)</f>
        <v>2.083333333</v>
      </c>
      <c r="E28" s="22">
        <f>sum(C28/1.2)</f>
        <v>40</v>
      </c>
      <c r="F28" s="30">
        <f>sum(B28/E28)</f>
        <v>2.5</v>
      </c>
      <c r="G28" s="31">
        <f>sum((F28/D21)-1)</f>
        <v>1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30">
      <c r="A30" s="17" t="s">
        <v>42</v>
      </c>
    </row>
    <row r="31">
      <c r="A31" s="33" t="s">
        <v>43</v>
      </c>
      <c r="B31" s="33" t="s">
        <v>44</v>
      </c>
      <c r="C31" s="33" t="s">
        <v>45</v>
      </c>
      <c r="D31" s="33" t="s">
        <v>46</v>
      </c>
      <c r="E31" s="33" t="s">
        <v>47</v>
      </c>
      <c r="F31" s="18" t="s">
        <v>48</v>
      </c>
      <c r="G31" s="18" t="s">
        <v>49</v>
      </c>
      <c r="H31" s="18"/>
      <c r="I31" s="18" t="s">
        <v>50</v>
      </c>
      <c r="J31" s="18" t="s">
        <v>14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>
      <c r="A32" s="34">
        <v>1.0</v>
      </c>
      <c r="B32" s="35" t="s">
        <v>51</v>
      </c>
      <c r="C32" s="36" t="s">
        <v>52</v>
      </c>
      <c r="D32" s="35">
        <v>2.0</v>
      </c>
      <c r="E32" s="35">
        <f t="shared" ref="E32:E36" si="5">sum(D32*1.2)</f>
        <v>2.4</v>
      </c>
      <c r="F32" s="37">
        <f t="shared" ref="F32:F36" si="6">sum(E32/D32)</f>
        <v>1.2</v>
      </c>
      <c r="G32" s="15"/>
      <c r="H32" s="15"/>
      <c r="I32" s="15">
        <v>0.2</v>
      </c>
      <c r="J32" s="38">
        <f>sum(J35*(I32/I35))</f>
        <v>0.0225</v>
      </c>
    </row>
    <row r="33">
      <c r="A33" s="34">
        <v>2.0</v>
      </c>
      <c r="B33" s="35" t="s">
        <v>53</v>
      </c>
      <c r="C33" s="36" t="s">
        <v>54</v>
      </c>
      <c r="D33" s="35">
        <v>4.0</v>
      </c>
      <c r="E33" s="35">
        <f t="shared" si="5"/>
        <v>4.8</v>
      </c>
      <c r="F33" s="37">
        <f t="shared" si="6"/>
        <v>1.2</v>
      </c>
      <c r="G33" s="39">
        <f>sum(E33/E32)</f>
        <v>2</v>
      </c>
      <c r="H33" s="15"/>
      <c r="I33" s="15">
        <v>0.4</v>
      </c>
      <c r="J33" s="38">
        <f>sum(J35*(I33/I35))</f>
        <v>0.045</v>
      </c>
    </row>
    <row r="34">
      <c r="A34" s="34">
        <v>3.0</v>
      </c>
      <c r="B34" s="35" t="s">
        <v>55</v>
      </c>
      <c r="C34" s="36" t="s">
        <v>56</v>
      </c>
      <c r="D34" s="35">
        <v>6.0</v>
      </c>
      <c r="E34" s="35">
        <f t="shared" si="5"/>
        <v>7.2</v>
      </c>
      <c r="F34" s="40">
        <f t="shared" si="6"/>
        <v>1.2</v>
      </c>
      <c r="G34" s="39">
        <f>sum(E34/E32)</f>
        <v>3</v>
      </c>
      <c r="H34" s="15"/>
      <c r="I34" s="15">
        <v>0.6</v>
      </c>
      <c r="J34" s="38">
        <f>sum(J35*(I34/I35))</f>
        <v>0.0675</v>
      </c>
    </row>
    <row r="35">
      <c r="A35" s="34">
        <v>4.0</v>
      </c>
      <c r="B35" s="35" t="s">
        <v>57</v>
      </c>
      <c r="C35" s="36" t="s">
        <v>58</v>
      </c>
      <c r="D35" s="35">
        <v>8.0</v>
      </c>
      <c r="E35" s="35">
        <f t="shared" si="5"/>
        <v>9.6</v>
      </c>
      <c r="F35" s="40">
        <f t="shared" si="6"/>
        <v>1.2</v>
      </c>
      <c r="G35" s="39">
        <f>sum(E35/E32)</f>
        <v>4</v>
      </c>
      <c r="H35" s="15"/>
      <c r="I35" s="15">
        <v>0.8</v>
      </c>
      <c r="J35" s="15">
        <f>sum(Calculator!E6)</f>
        <v>0.09</v>
      </c>
    </row>
    <row r="36">
      <c r="A36" s="34">
        <v>5.0</v>
      </c>
      <c r="B36" s="35" t="s">
        <v>59</v>
      </c>
      <c r="C36" s="36" t="s">
        <v>60</v>
      </c>
      <c r="D36" s="35">
        <v>10.0</v>
      </c>
      <c r="E36" s="35">
        <f t="shared" si="5"/>
        <v>12</v>
      </c>
      <c r="F36" s="37">
        <f t="shared" si="6"/>
        <v>1.2</v>
      </c>
      <c r="G36" s="39">
        <f>sum(E36/E32)</f>
        <v>5</v>
      </c>
      <c r="H36" s="15"/>
      <c r="I36" s="15">
        <v>1.0</v>
      </c>
      <c r="J36" s="38">
        <f>sum(J35*(I36/I35))</f>
        <v>0.1125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2.75"/>
    <col customWidth="1" min="3" max="3" width="32.88"/>
  </cols>
  <sheetData>
    <row r="1">
      <c r="A1" s="41" t="s">
        <v>61</v>
      </c>
      <c r="B1" s="42" t="s">
        <v>62</v>
      </c>
      <c r="C1" s="43" t="s">
        <v>63</v>
      </c>
    </row>
    <row r="2">
      <c r="A2" s="44" t="s">
        <v>64</v>
      </c>
      <c r="B2" s="45" t="s">
        <v>65</v>
      </c>
      <c r="C2" s="46" t="s">
        <v>66</v>
      </c>
    </row>
    <row r="3">
      <c r="A3" s="44" t="s">
        <v>67</v>
      </c>
      <c r="B3" s="45" t="s">
        <v>68</v>
      </c>
      <c r="C3" s="46" t="s">
        <v>69</v>
      </c>
    </row>
    <row r="4">
      <c r="A4" s="44" t="s">
        <v>70</v>
      </c>
      <c r="B4" s="45" t="s">
        <v>71</v>
      </c>
      <c r="C4" s="46" t="s">
        <v>72</v>
      </c>
    </row>
    <row r="5">
      <c r="A5" s="44" t="s">
        <v>73</v>
      </c>
      <c r="B5" s="45" t="s">
        <v>74</v>
      </c>
      <c r="C5" s="46" t="s">
        <v>75</v>
      </c>
    </row>
    <row r="6">
      <c r="A6" s="44" t="s">
        <v>76</v>
      </c>
      <c r="B6" s="45" t="s">
        <v>77</v>
      </c>
      <c r="C6" s="46" t="s">
        <v>78</v>
      </c>
    </row>
    <row r="7">
      <c r="A7" s="44" t="s">
        <v>79</v>
      </c>
      <c r="B7" s="45" t="s">
        <v>80</v>
      </c>
      <c r="C7" s="46" t="s">
        <v>81</v>
      </c>
    </row>
    <row r="8">
      <c r="A8" s="44" t="s">
        <v>82</v>
      </c>
      <c r="B8" s="45" t="s">
        <v>83</v>
      </c>
      <c r="C8" s="46" t="s">
        <v>84</v>
      </c>
    </row>
    <row r="9">
      <c r="A9" s="44" t="s">
        <v>85</v>
      </c>
      <c r="B9" s="45" t="s">
        <v>86</v>
      </c>
      <c r="C9" s="46" t="s">
        <v>87</v>
      </c>
    </row>
    <row r="10">
      <c r="A10" s="44" t="s">
        <v>88</v>
      </c>
      <c r="B10" s="45" t="s">
        <v>89</v>
      </c>
      <c r="C10" s="46" t="s">
        <v>90</v>
      </c>
    </row>
    <row r="11">
      <c r="A11" s="44" t="s">
        <v>91</v>
      </c>
      <c r="B11" s="45" t="s">
        <v>92</v>
      </c>
      <c r="C11" s="46" t="s">
        <v>93</v>
      </c>
    </row>
    <row r="13">
      <c r="A13" s="17" t="s">
        <v>94</v>
      </c>
    </row>
    <row r="14">
      <c r="A14" s="47"/>
      <c r="B14" s="48" t="s">
        <v>95</v>
      </c>
      <c r="C14" s="48" t="s">
        <v>96</v>
      </c>
      <c r="D14" s="48" t="s">
        <v>14</v>
      </c>
    </row>
    <row r="15">
      <c r="A15" s="28" t="s">
        <v>97</v>
      </c>
      <c r="B15" s="28">
        <v>10.0</v>
      </c>
      <c r="C15" s="28">
        <v>2.0</v>
      </c>
      <c r="D15" s="15">
        <f t="shared" ref="D15:D19" si="1">sum(B15/C15)</f>
        <v>5</v>
      </c>
    </row>
    <row r="16">
      <c r="A16" s="28" t="s">
        <v>98</v>
      </c>
      <c r="B16" s="28">
        <v>21.0</v>
      </c>
      <c r="C16" s="28">
        <v>2.0</v>
      </c>
      <c r="D16" s="15">
        <f t="shared" si="1"/>
        <v>10.5</v>
      </c>
    </row>
    <row r="17">
      <c r="A17" s="28" t="s">
        <v>99</v>
      </c>
      <c r="B17" s="28">
        <v>14.0</v>
      </c>
      <c r="C17" s="28">
        <v>2.0</v>
      </c>
      <c r="D17" s="15">
        <f t="shared" si="1"/>
        <v>7</v>
      </c>
    </row>
    <row r="18">
      <c r="A18" s="28" t="s">
        <v>100</v>
      </c>
      <c r="B18" s="28">
        <v>8.0</v>
      </c>
      <c r="C18" s="28">
        <v>1.0</v>
      </c>
      <c r="D18" s="15">
        <f t="shared" si="1"/>
        <v>8</v>
      </c>
    </row>
    <row r="19">
      <c r="A19" s="49" t="s">
        <v>101</v>
      </c>
      <c r="B19" s="49">
        <f t="shared" ref="B19:C19" si="2">sum(B15:B18)</f>
        <v>53</v>
      </c>
      <c r="C19" s="49">
        <f t="shared" si="2"/>
        <v>7</v>
      </c>
      <c r="D19" s="50">
        <f t="shared" si="1"/>
        <v>7.571428571</v>
      </c>
    </row>
    <row r="23">
      <c r="A23" s="9" t="s">
        <v>102</v>
      </c>
    </row>
    <row r="24">
      <c r="A24" s="28" t="s">
        <v>103</v>
      </c>
      <c r="D24" s="51">
        <v>66.29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  <col customWidth="1" min="4" max="4" width="28.88"/>
    <col customWidth="1" min="7" max="7" width="28.13"/>
    <col customWidth="1" min="8" max="8" width="20.75"/>
    <col customWidth="1" min="9" max="9" width="21.0"/>
    <col customWidth="1" min="10" max="10" width="20.25"/>
    <col customWidth="1" min="13" max="13" width="22.75"/>
  </cols>
  <sheetData>
    <row r="1">
      <c r="A1" s="52" t="s">
        <v>104</v>
      </c>
    </row>
    <row r="2">
      <c r="A2" s="28"/>
      <c r="B2" s="28"/>
    </row>
    <row r="3" ht="90.75" customHeight="1">
      <c r="A3" s="53" t="s">
        <v>105</v>
      </c>
      <c r="B3" s="53">
        <v>3.0</v>
      </c>
      <c r="D3" s="54" t="s">
        <v>106</v>
      </c>
      <c r="G3" s="9"/>
      <c r="J3" s="3"/>
      <c r="K3" s="2"/>
      <c r="L3" s="2"/>
      <c r="M3" s="2"/>
      <c r="N3" s="2"/>
    </row>
    <row r="4">
      <c r="A4" s="9"/>
      <c r="B4" s="28"/>
      <c r="D4" s="55"/>
      <c r="G4" s="9"/>
      <c r="J4" s="3"/>
      <c r="K4" s="2"/>
      <c r="L4" s="2"/>
      <c r="M4" s="2"/>
      <c r="N4" s="2"/>
    </row>
    <row r="5">
      <c r="A5" s="9" t="s">
        <v>107</v>
      </c>
      <c r="B5" s="28"/>
      <c r="D5" s="56"/>
      <c r="G5" s="9" t="s">
        <v>108</v>
      </c>
      <c r="J5" s="3" t="s">
        <v>109</v>
      </c>
      <c r="K5" s="2"/>
      <c r="L5" s="2"/>
      <c r="M5" s="2"/>
      <c r="N5" s="2"/>
    </row>
    <row r="6">
      <c r="A6" s="28" t="s">
        <v>110</v>
      </c>
      <c r="B6" s="28">
        <v>10.0</v>
      </c>
      <c r="D6" s="28" t="s">
        <v>111</v>
      </c>
      <c r="E6" s="57">
        <f>IF(E15=1, (((B9*'Team based gains'!B10)+(B10*'Team based gains'!B11)))/(B9+B10)*('Knapsack platform efficiency'!I32/'Knapsack platform efficiency'!I35), IF(E15=2, (((B9*'Team based gains'!B10)+(B10*'Team based gains'!B11)))/(B9+B10)*('Knapsack platform efficiency'!I33/'Knapsack platform efficiency'!I35), IF(E15=3, (((B9*'Team based gains'!B10)+(B10*'Team based gains'!B11)))/(B9+B10)*('Knapsack platform efficiency'!I34/'Knapsack platform efficiency'!I35), IF(E15=4, (((B9*'Team based gains'!B10)+(B10*'Team based gains'!B11)))/(B9+B10)*('Knapsack platform efficiency'!I35/'Knapsack platform efficiency'!I35), (((B9*'Team based gains'!B10)+(B10*'Team based gains'!B11)))/(B9+B10)*('Knapsack platform efficiency'!I36/'Knapsack platform efficiency'!I35)
))))</f>
        <v>0.09</v>
      </c>
      <c r="G6" s="28" t="s">
        <v>112</v>
      </c>
      <c r="H6" s="58">
        <f>IF(E15=1, 'Knapsack platform efficiency'!E32, IF(AND(E15=2), 'Knapsack platform efficiency'!E33, IF(AND(E15=3), 'Knapsack platform efficiency'!E34, IF(AND(E15=4), 'Knapsack platform efficiency'!E35, IF(AND(E15=5), 'Knapsack platform efficiency'!E36, "error"))
)))</f>
        <v>2.4</v>
      </c>
      <c r="J6" s="4" t="s">
        <v>113</v>
      </c>
      <c r="K6" s="59">
        <f>sum(E12)</f>
        <v>0.8256880734</v>
      </c>
      <c r="L6" s="2"/>
      <c r="M6" s="2"/>
      <c r="N6" s="2"/>
    </row>
    <row r="7">
      <c r="A7" s="28"/>
      <c r="G7" s="28" t="s">
        <v>114</v>
      </c>
      <c r="H7" s="38">
        <f>sum((H6/E14)-1)</f>
        <v>0.68</v>
      </c>
      <c r="J7" s="4" t="s">
        <v>115</v>
      </c>
      <c r="K7" s="60">
        <f>sum(E8/H19)</f>
        <v>1.387155963</v>
      </c>
      <c r="L7" s="2"/>
      <c r="M7" s="4" t="s">
        <v>116</v>
      </c>
      <c r="N7" s="61">
        <f>if(isnumber(K8), E8/Q24, "N/A")</f>
        <v>16.98558322</v>
      </c>
    </row>
    <row r="8">
      <c r="A8" s="28"/>
      <c r="B8" s="28"/>
      <c r="D8" s="28" t="s">
        <v>117</v>
      </c>
      <c r="E8" s="62">
        <f>sum(B13-E9)</f>
        <v>766432.5688</v>
      </c>
      <c r="G8" s="28" t="s">
        <v>118</v>
      </c>
      <c r="H8" s="15">
        <f>sum(H7*(E15/5))</f>
        <v>0.136</v>
      </c>
      <c r="J8" s="4" t="s">
        <v>119</v>
      </c>
      <c r="K8" s="60">
        <f>if(isnumber(M25), E8/M25, "N/A")</f>
        <v>5.450928995</v>
      </c>
      <c r="L8" s="2"/>
      <c r="M8" s="63" t="s">
        <v>116</v>
      </c>
      <c r="N8" s="61">
        <f>if(isnumber(K8), E8/Q25, "N/A")</f>
        <v>46.72224853</v>
      </c>
    </row>
    <row r="9">
      <c r="A9" s="28" t="s">
        <v>120</v>
      </c>
      <c r="B9" s="28">
        <v>50.0</v>
      </c>
      <c r="D9" s="28" t="s">
        <v>121</v>
      </c>
      <c r="E9" s="62">
        <f>sum(B13/(1+E6))</f>
        <v>8515917.431</v>
      </c>
      <c r="G9" s="28" t="s">
        <v>122</v>
      </c>
      <c r="H9" s="64">
        <v>150000.0</v>
      </c>
      <c r="J9" s="4" t="s">
        <v>123</v>
      </c>
      <c r="K9" s="60">
        <f>if(isnumber(M26), E8/M26, "N/A")</f>
        <v>8.365122196</v>
      </c>
      <c r="L9" s="2"/>
      <c r="M9" s="63" t="s">
        <v>116</v>
      </c>
      <c r="N9" s="61">
        <f>if(isnumber(Q25), E8/Q26, "N/A")</f>
        <v>71.70104739</v>
      </c>
    </row>
    <row r="10">
      <c r="A10" s="28" t="s">
        <v>124</v>
      </c>
      <c r="B10" s="28">
        <v>20.0</v>
      </c>
      <c r="D10" s="28" t="s">
        <v>125</v>
      </c>
      <c r="E10" s="62">
        <f>sum(E9/B6)</f>
        <v>851591.7431</v>
      </c>
      <c r="J10" s="4" t="s">
        <v>126</v>
      </c>
      <c r="K10" s="61">
        <f>if(isnumber(M27), E8/M27, "N/A")</f>
        <v>11.2793154</v>
      </c>
      <c r="L10" s="2"/>
      <c r="M10" s="63" t="s">
        <v>116</v>
      </c>
      <c r="N10" s="61">
        <f>if(isnumber(Q27), E8/Q27, "N/A")</f>
        <v>96.67984625</v>
      </c>
    </row>
    <row r="11">
      <c r="A11" s="28" t="s">
        <v>127</v>
      </c>
      <c r="B11" s="62">
        <f>sum((((B9*'Team based gains'!B6)+(B10*'Team based gains'!B7))*'Team based gains'!B8)/(B9+B10))</f>
        <v>132605</v>
      </c>
      <c r="G11" s="28" t="s">
        <v>117</v>
      </c>
      <c r="H11" s="62">
        <f>sum(E9-H12)</f>
        <v>1019511.242</v>
      </c>
      <c r="J11" s="4" t="s">
        <v>128</v>
      </c>
      <c r="K11" s="61">
        <f>if(isnumber(M28), E8/M28, "N/A")</f>
        <v>14.1935086</v>
      </c>
      <c r="L11" s="2"/>
      <c r="M11" s="63" t="s">
        <v>116</v>
      </c>
      <c r="N11" s="61">
        <f>if(isnumber(Q28), E8/Q28, "N/A")</f>
        <v>121.6586451</v>
      </c>
    </row>
    <row r="12">
      <c r="D12" s="28" t="s">
        <v>129</v>
      </c>
      <c r="E12" s="58">
        <f>sum(E8/B24)</f>
        <v>0.8256880734</v>
      </c>
      <c r="G12" s="28" t="s">
        <v>121</v>
      </c>
      <c r="H12" s="62">
        <f>sum(E9/(1+H8))</f>
        <v>7496406.189</v>
      </c>
    </row>
    <row r="13">
      <c r="A13" s="28" t="s">
        <v>130</v>
      </c>
      <c r="B13" s="62">
        <f>sum(B11*(B9+B10))</f>
        <v>9282350</v>
      </c>
      <c r="G13" s="28" t="s">
        <v>125</v>
      </c>
      <c r="H13" s="62">
        <f>sum(H12/B6)</f>
        <v>749640.6189</v>
      </c>
    </row>
    <row r="14">
      <c r="A14" s="28" t="s">
        <v>131</v>
      </c>
      <c r="B14" s="62">
        <f>sum(B13/B6)</f>
        <v>928235</v>
      </c>
      <c r="D14" s="28" t="s">
        <v>132</v>
      </c>
      <c r="E14" s="58">
        <f>sum(B6/(B20+B21))</f>
        <v>1.428571429</v>
      </c>
    </row>
    <row r="15">
      <c r="D15" s="28" t="s">
        <v>133</v>
      </c>
      <c r="E15" s="65">
        <f>IF(E14&lt;='Knapsack platform efficiency'!D32, 1, IF(AND(E14&gt;'Knapsack platform efficiency'!D32, E14&lt;='Knapsack platform efficiency'!D33), 2, IF(AND(E14&gt;'Knapsack platform efficiency'!D33, E14&lt;='Knapsack platform efficiency'!D34), 3,IF(AND(E14&gt;'Knapsack platform efficiency'!D34, E14&lt;='Knapsack platform efficiency'!D35), 4, 5))))
</f>
        <v>1</v>
      </c>
      <c r="G15" s="28" t="s">
        <v>134</v>
      </c>
      <c r="H15" s="58">
        <f>sum(E17*(1+H8))</f>
        <v>2.813944954</v>
      </c>
    </row>
    <row r="16">
      <c r="A16" s="28" t="s">
        <v>135</v>
      </c>
      <c r="B16" s="62">
        <f>sum(B13*B3)</f>
        <v>27847050</v>
      </c>
      <c r="G16" s="28" t="s">
        <v>136</v>
      </c>
      <c r="H16" s="58">
        <f>sum(H22/(B13+H9))</f>
        <v>2.769195582</v>
      </c>
    </row>
    <row r="17">
      <c r="D17" s="28" t="s">
        <v>137</v>
      </c>
      <c r="E17" s="66">
        <f>sum(B3*E12)</f>
        <v>2.47706422</v>
      </c>
      <c r="I17" s="9"/>
    </row>
    <row r="18">
      <c r="D18" s="28" t="s">
        <v>138</v>
      </c>
      <c r="E18" s="64">
        <f>sum(E9*E17)</f>
        <v>21094474.37</v>
      </c>
      <c r="G18" s="67" t="s">
        <v>139</v>
      </c>
      <c r="H18" s="68">
        <f>sum((B22/H6))</f>
        <v>55252.08333</v>
      </c>
    </row>
    <row r="19">
      <c r="A19" s="9" t="s">
        <v>140</v>
      </c>
      <c r="D19" s="28" t="s">
        <v>141</v>
      </c>
      <c r="E19" s="62">
        <f>sum(B13*E17)</f>
        <v>22992977.06</v>
      </c>
      <c r="G19" s="67" t="s">
        <v>142</v>
      </c>
      <c r="H19" s="68">
        <f>sum((B24*E14/H6))</f>
        <v>552520.8333</v>
      </c>
      <c r="I19" s="28"/>
    </row>
    <row r="20">
      <c r="A20" s="28" t="s">
        <v>120</v>
      </c>
      <c r="B20" s="28">
        <v>5.0</v>
      </c>
      <c r="I20" s="28"/>
    </row>
    <row r="21">
      <c r="A21" s="28" t="s">
        <v>124</v>
      </c>
      <c r="B21" s="28">
        <v>2.0</v>
      </c>
      <c r="G21" s="28" t="s">
        <v>138</v>
      </c>
      <c r="H21" s="62">
        <f>sum(H12*H15)</f>
        <v>21094474.37</v>
      </c>
      <c r="I21" s="28"/>
    </row>
    <row r="22">
      <c r="A22" s="28" t="s">
        <v>127</v>
      </c>
      <c r="B22" s="62">
        <f>sum((((B20*'Team based gains'!B6)+(B21*'Team based gains'!B7))*'Team based gains'!B8)/(B20+B21))</f>
        <v>132605</v>
      </c>
      <c r="G22" s="28" t="s">
        <v>141</v>
      </c>
      <c r="H22" s="62">
        <f>sum(B13*H15)</f>
        <v>26120021.94</v>
      </c>
      <c r="N22" s="9" t="s">
        <v>143</v>
      </c>
    </row>
    <row r="23">
      <c r="I23" s="9"/>
      <c r="J23" s="9" t="s">
        <v>144</v>
      </c>
      <c r="K23" s="9" t="s">
        <v>14</v>
      </c>
      <c r="L23" s="9" t="s">
        <v>139</v>
      </c>
      <c r="M23" s="9" t="s">
        <v>142</v>
      </c>
      <c r="N23" s="9" t="s">
        <v>145</v>
      </c>
      <c r="P23" s="9" t="s">
        <v>139</v>
      </c>
      <c r="Q23" s="9" t="s">
        <v>142</v>
      </c>
      <c r="R23" s="9" t="s">
        <v>146</v>
      </c>
    </row>
    <row r="24">
      <c r="A24" s="28" t="s">
        <v>130</v>
      </c>
      <c r="B24" s="62">
        <f>sum(B22*(B20+B21))</f>
        <v>928235</v>
      </c>
      <c r="H24" s="9"/>
      <c r="J24" s="28" t="s">
        <v>147</v>
      </c>
      <c r="K24" s="69" t="s">
        <v>148</v>
      </c>
      <c r="L24" s="69" t="s">
        <v>148</v>
      </c>
      <c r="M24" s="69" t="s">
        <v>148</v>
      </c>
      <c r="N24" s="69" t="s">
        <v>148</v>
      </c>
      <c r="P24" s="70">
        <f>IF(E15=1, H18/(1+'Intelligent product engine'!D19), "N/A")</f>
        <v>6446.076389</v>
      </c>
      <c r="Q24" s="70">
        <f>IF(ISNUMBER(P24), (B20+B21)*P24, "N/A")</f>
        <v>45122.53472</v>
      </c>
      <c r="R24" s="71">
        <f>IF(ISNUMBER(P24), B24/Q24, "N/A")</f>
        <v>20.57142857</v>
      </c>
    </row>
    <row r="25">
      <c r="A25" s="28" t="s">
        <v>139</v>
      </c>
      <c r="B25" s="62">
        <f>sum(B22/E14)</f>
        <v>92823.5</v>
      </c>
      <c r="G25" s="9"/>
      <c r="I25" s="28"/>
      <c r="J25" s="28" t="s">
        <v>149</v>
      </c>
      <c r="K25" s="57">
        <f>IF((E15&gt;=2), "N/A", ('Knapsack platform efficiency'!E33/(E14*H7))-1)</f>
        <v>3.941176471</v>
      </c>
      <c r="L25" s="70">
        <f>IF(ISNUMBER(K25), B25/(H7+K25), "N/A")</f>
        <v>20086.55168</v>
      </c>
      <c r="M25" s="70">
        <f>IF(ISNUMBER(K25), (B20+B21)*L25, "N/A")</f>
        <v>140605.8618</v>
      </c>
      <c r="N25" s="71">
        <f>if(isnumber(M25), B24/M25, "N/A")</f>
        <v>6.601680672</v>
      </c>
      <c r="P25" s="70">
        <f>IF(E15=2, H18/(1+'Intelligent product engine'!D19), IF(ISNUMBER(K25), L25/(1+'Intelligent product engine'!D19), "N/A"))</f>
        <v>2343.431029</v>
      </c>
      <c r="Q25" s="70">
        <f>IF(ISNUMBER(P25), (B20+B21)*P25, "N/A")</f>
        <v>16404.01721</v>
      </c>
      <c r="R25" s="71">
        <f>IF(ISNUMBER(P25), B24/Q25, "N/A")</f>
        <v>56.58583433</v>
      </c>
    </row>
    <row r="26">
      <c r="H26" s="28"/>
      <c r="I26" s="28"/>
      <c r="J26" s="28" t="s">
        <v>150</v>
      </c>
      <c r="K26" s="57">
        <f>IF((E15&gt;=3), "N/A", ('Knapsack platform efficiency'!E34/(E14*H7))-1)</f>
        <v>6.411764706</v>
      </c>
      <c r="L26" s="70">
        <f>IF(ISNUMBER(K26), B25/(H7+K26), "N/A")</f>
        <v>13088.91423</v>
      </c>
      <c r="M26" s="70">
        <f>IF(ISNUMBER(K26), (B20+B21)*L26, "N/A")</f>
        <v>91622.39964</v>
      </c>
      <c r="N26" s="71">
        <f>if(isnumber(M26), B24/M26, "N/A")</f>
        <v>10.13109244</v>
      </c>
      <c r="P26" s="70">
        <f>IF(E15=3, H18/(1+'Intelligent product engine'!D19), IF(ISNUMBER(K26), L26/(1+'Intelligent product engine'!D19), "N/A"))
</f>
        <v>1527.039994</v>
      </c>
      <c r="Q26" s="70">
        <f>IF(ISNUMBER(P26), (B20+B21)*P26, "N/A")</f>
        <v>10689.27996</v>
      </c>
      <c r="R26" s="71">
        <f>IF(ISNUMBER(P26), B24/Q26, "N/A")</f>
        <v>86.83793517</v>
      </c>
    </row>
    <row r="27">
      <c r="A27" s="72" t="s">
        <v>151</v>
      </c>
      <c r="G27" s="28"/>
      <c r="H27" s="28"/>
      <c r="I27" s="28"/>
      <c r="J27" s="28" t="s">
        <v>152</v>
      </c>
      <c r="K27" s="57">
        <f>IF((E15&gt;=4), "N/A", ('Knapsack platform efficiency'!E35/(E14*H7))-1)</f>
        <v>8.882352941</v>
      </c>
      <c r="L27" s="70">
        <f>IF(ISNUMBER(K27), B25/(H7+K27), "N/A")</f>
        <v>9707.181964</v>
      </c>
      <c r="M27" s="70">
        <f>IF(ISNUMBER(K27), (B20+B21)*L27, "N/A")</f>
        <v>67950.27375</v>
      </c>
      <c r="N27" s="71">
        <f>if(isnumber(M27), B24/M27, "N/A")</f>
        <v>13.6605042</v>
      </c>
      <c r="P27" s="70">
        <f>IF(E15=4, H18/(1+'Intelligent product engine'!D19), IF(ISNUMBER(K27), L27/(1+'Intelligent product engine'!D19), "N/A"))
</f>
        <v>1132.504562</v>
      </c>
      <c r="Q27" s="70">
        <f>IF(ISNUMBER(P27), (B20+B21)*P27, "N/A")</f>
        <v>7927.531937</v>
      </c>
      <c r="R27" s="71">
        <f>IF(ISNUMBER(P27), B24/Q27, "N/A")</f>
        <v>117.090036</v>
      </c>
    </row>
    <row r="28">
      <c r="A28" s="28" t="s">
        <v>153</v>
      </c>
      <c r="F28" s="62">
        <f>sum(B13)</f>
        <v>9282350</v>
      </c>
      <c r="G28" s="28"/>
      <c r="H28" s="28"/>
      <c r="I28" s="28"/>
      <c r="J28" s="28" t="s">
        <v>154</v>
      </c>
      <c r="K28" s="57">
        <f>IF((E15&gt;=5), "N/A", ('Knapsack platform efficiency'!E36/(E14*H7))-1)</f>
        <v>11.35294118</v>
      </c>
      <c r="L28" s="70">
        <f>IF(ISNUMBER(K28), B25/(H7+K28), "N/A")</f>
        <v>7714.115663</v>
      </c>
      <c r="M28" s="70">
        <f>IF(ISNUMBER(K28), (B20+B21)*L28, "N/A")</f>
        <v>53998.80964</v>
      </c>
      <c r="N28" s="73">
        <f>if(isnumber(M28), B24/M28, "N/A")</f>
        <v>17.18991597</v>
      </c>
      <c r="P28" s="70">
        <f>IF(E15=5, H18/(1+'Intelligent product engine'!D19), L28/(1+'Intelligent product engine'!D19))</f>
        <v>899.9801607</v>
      </c>
      <c r="Q28" s="70">
        <f>IF(ISNUMBER(P28), (B20+B21)*P28, "N/A")</f>
        <v>6299.861125</v>
      </c>
      <c r="R28" s="71">
        <f>IF(ISNUMBER(P28), B24/Q28, "N/A")</f>
        <v>147.3421369</v>
      </c>
    </row>
    <row r="29">
      <c r="A29" s="28" t="s">
        <v>155</v>
      </c>
      <c r="F29" s="62">
        <f>sum(B24)</f>
        <v>928235</v>
      </c>
      <c r="G29" s="28"/>
      <c r="H29" s="28"/>
      <c r="I29" s="28"/>
    </row>
    <row r="30">
      <c r="A30" s="28" t="s">
        <v>156</v>
      </c>
      <c r="F30" s="62">
        <f>sum(E8)</f>
        <v>766432.5688</v>
      </c>
      <c r="G30" s="28"/>
      <c r="H30" s="28"/>
      <c r="M30" s="38"/>
    </row>
    <row r="31">
      <c r="A31" s="28" t="s">
        <v>157</v>
      </c>
      <c r="F31" s="74">
        <f>sum(F30-F29)</f>
        <v>-161802.4312</v>
      </c>
      <c r="G31" s="28"/>
      <c r="H31" s="28"/>
    </row>
    <row r="32">
      <c r="A32" s="28"/>
      <c r="F32" s="64"/>
      <c r="M32" s="62"/>
    </row>
    <row r="33">
      <c r="A33" s="9" t="s">
        <v>158</v>
      </c>
      <c r="F33" s="64"/>
    </row>
    <row r="34">
      <c r="A34" s="28" t="s">
        <v>159</v>
      </c>
      <c r="F34" s="64">
        <f>sum(H9)</f>
        <v>150000</v>
      </c>
    </row>
    <row r="35">
      <c r="A35" s="28" t="s">
        <v>160</v>
      </c>
      <c r="F35" s="62">
        <f>sum(B24-H19)</f>
        <v>375714.1667</v>
      </c>
    </row>
    <row r="36">
      <c r="A36" s="28" t="s">
        <v>161</v>
      </c>
      <c r="F36" s="62">
        <f>sum(F35-F34)</f>
        <v>225714.1667</v>
      </c>
    </row>
    <row r="37">
      <c r="A37" s="28" t="s">
        <v>162</v>
      </c>
      <c r="F37" s="62">
        <f>sum(F35-M25)</f>
        <v>235108.3049</v>
      </c>
    </row>
    <row r="38">
      <c r="A38" s="28" t="s">
        <v>163</v>
      </c>
      <c r="F38" s="74">
        <f>sum(F36:F37)</f>
        <v>460822.4716</v>
      </c>
      <c r="G38" s="28" t="s">
        <v>164</v>
      </c>
    </row>
    <row r="40">
      <c r="A40" s="9" t="s">
        <v>165</v>
      </c>
    </row>
    <row r="41">
      <c r="A41" s="28" t="s">
        <v>166</v>
      </c>
      <c r="F41" s="62">
        <f>sum(F34*5)</f>
        <v>750000</v>
      </c>
    </row>
    <row r="43">
      <c r="A43" s="9" t="s">
        <v>167</v>
      </c>
      <c r="F43" s="64"/>
    </row>
    <row r="44">
      <c r="A44" s="28" t="s">
        <v>168</v>
      </c>
      <c r="F44" s="62">
        <f>sum(B13)</f>
        <v>9282350</v>
      </c>
      <c r="G44" s="28"/>
    </row>
    <row r="45">
      <c r="A45" s="28" t="s">
        <v>169</v>
      </c>
      <c r="F45" s="62">
        <f>sum(F44*B3)</f>
        <v>27847050</v>
      </c>
    </row>
    <row r="46">
      <c r="A46" s="28" t="s">
        <v>170</v>
      </c>
      <c r="F46" s="62">
        <f>sum(F44*E17)</f>
        <v>22992977.06</v>
      </c>
    </row>
    <row r="47">
      <c r="A47" s="28" t="s">
        <v>171</v>
      </c>
      <c r="F47" s="62">
        <f>sum(F44*H15)</f>
        <v>26120021.94</v>
      </c>
      <c r="G47" s="75">
        <f>sum((F47-F46)/F41)</f>
        <v>4.169393174</v>
      </c>
    </row>
    <row r="48">
      <c r="A48" s="28" t="s">
        <v>172</v>
      </c>
      <c r="F48" s="76">
        <f>sum(F44*(B3*R25))</f>
        <v>1575748558</v>
      </c>
      <c r="G48" s="77" t="s">
        <v>173</v>
      </c>
    </row>
    <row r="49">
      <c r="A49" s="28" t="s">
        <v>174</v>
      </c>
      <c r="F49" s="78">
        <f>sum(F48/(F44+F41))</f>
        <v>157.0667449</v>
      </c>
      <c r="G49" s="77" t="s">
        <v>175</v>
      </c>
    </row>
    <row r="50">
      <c r="G50" s="75">
        <f>sum((F48-F46)/F41)</f>
        <v>2070.340775</v>
      </c>
    </row>
    <row r="51">
      <c r="A51" s="79" t="s">
        <v>176</v>
      </c>
    </row>
    <row r="52">
      <c r="A52" s="79" t="s">
        <v>177</v>
      </c>
      <c r="B52" s="79" t="s">
        <v>178</v>
      </c>
      <c r="C52" s="79" t="s">
        <v>179</v>
      </c>
      <c r="D52" s="79" t="s">
        <v>180</v>
      </c>
    </row>
    <row r="53">
      <c r="A53" s="4" t="s">
        <v>181</v>
      </c>
      <c r="B53" s="80" t="s">
        <v>182</v>
      </c>
      <c r="C53" s="80" t="s">
        <v>183</v>
      </c>
      <c r="D53" s="81">
        <v>0.0</v>
      </c>
    </row>
    <row r="54">
      <c r="A54" s="4" t="s">
        <v>184</v>
      </c>
      <c r="B54" s="80" t="s">
        <v>185</v>
      </c>
      <c r="C54" s="80" t="s">
        <v>186</v>
      </c>
      <c r="D54" s="81">
        <v>0.0</v>
      </c>
    </row>
    <row r="55">
      <c r="A55" s="4" t="s">
        <v>187</v>
      </c>
      <c r="B55" s="80" t="s">
        <v>188</v>
      </c>
      <c r="C55" s="80" t="s">
        <v>189</v>
      </c>
      <c r="D55" s="81" t="s">
        <v>190</v>
      </c>
    </row>
    <row r="56">
      <c r="A56" s="4" t="s">
        <v>191</v>
      </c>
      <c r="B56" s="80" t="s">
        <v>192</v>
      </c>
      <c r="C56" s="80" t="s">
        <v>193</v>
      </c>
      <c r="D56" s="81" t="s">
        <v>194</v>
      </c>
    </row>
  </sheetData>
  <mergeCells count="1">
    <mergeCell ref="A51:D5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4" max="4" width="25.63"/>
    <col customWidth="1" min="7" max="7" width="41.25"/>
    <col customWidth="1" min="11" max="11" width="16.13"/>
    <col customWidth="1" min="14" max="14" width="16.63"/>
    <col customWidth="1" min="15" max="15" width="15.38"/>
    <col customWidth="1" min="16" max="16" width="15.5"/>
    <col customWidth="1" min="17" max="17" width="19.75"/>
    <col customWidth="1" min="18" max="18" width="13.63"/>
    <col customWidth="1" min="20" max="20" width="25.38"/>
    <col customWidth="1" hidden="1" min="21" max="21" width="14.13"/>
    <col customWidth="1" min="24" max="24" width="15.25"/>
    <col customWidth="1" min="25" max="25" width="15.38"/>
    <col customWidth="1" min="26" max="26" width="15.0"/>
    <col customWidth="1" min="27" max="27" width="20.13"/>
    <col customWidth="1" min="28" max="28" width="22.25"/>
  </cols>
  <sheetData>
    <row r="1">
      <c r="A1" s="9" t="s">
        <v>195</v>
      </c>
      <c r="B1" s="24" t="s">
        <v>196</v>
      </c>
      <c r="C1" s="82"/>
      <c r="D1" s="83"/>
      <c r="E1" s="25"/>
      <c r="F1" s="25"/>
    </row>
    <row r="2">
      <c r="C2" s="19"/>
      <c r="K2" s="84"/>
      <c r="L2" s="84"/>
    </row>
    <row r="3">
      <c r="A3" s="9" t="s">
        <v>197</v>
      </c>
      <c r="C3" s="19"/>
      <c r="D3" s="9" t="s">
        <v>198</v>
      </c>
      <c r="G3" s="3" t="s">
        <v>199</v>
      </c>
      <c r="H3" s="2"/>
      <c r="I3" s="2"/>
      <c r="J3" s="3" t="s">
        <v>200</v>
      </c>
      <c r="K3" s="2"/>
      <c r="L3" s="2"/>
      <c r="M3" s="2"/>
      <c r="N3" s="2"/>
      <c r="O3" s="2"/>
      <c r="P3" s="2"/>
      <c r="Q3" s="2"/>
      <c r="R3" s="2"/>
    </row>
    <row r="4">
      <c r="C4" s="19"/>
      <c r="G4" s="3" t="s">
        <v>201</v>
      </c>
      <c r="H4" s="4" t="b">
        <v>1</v>
      </c>
      <c r="I4" s="4"/>
      <c r="J4" s="85" t="s">
        <v>202</v>
      </c>
      <c r="K4" s="86"/>
      <c r="L4" s="86"/>
      <c r="M4" s="87">
        <v>12.0</v>
      </c>
      <c r="N4" s="2"/>
      <c r="O4" s="2"/>
      <c r="P4" s="2"/>
      <c r="Q4" s="2"/>
      <c r="R4" s="2"/>
    </row>
    <row r="5">
      <c r="A5" s="88" t="s">
        <v>203</v>
      </c>
      <c r="B5" s="89">
        <v>160.0</v>
      </c>
      <c r="C5" s="90"/>
      <c r="D5" s="91" t="s">
        <v>204</v>
      </c>
      <c r="E5" s="92">
        <v>2.0</v>
      </c>
      <c r="G5" s="3" t="s">
        <v>205</v>
      </c>
      <c r="H5" s="93">
        <f>if(E5=1, 'Design system reference'!B5, if(E5=2, 'Design system reference'!B6, if(E5=3, 'Design system reference'!B7, if(E5=4, 'Design system reference'!B8, 'Design system reference'!B9))))</f>
        <v>0.263730625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9" t="s">
        <v>206</v>
      </c>
      <c r="B6" s="28">
        <v>26.25</v>
      </c>
      <c r="C6" s="90"/>
      <c r="D6" s="91" t="s">
        <v>203</v>
      </c>
      <c r="E6" s="92">
        <v>4.0</v>
      </c>
      <c r="G6" s="3" t="s">
        <v>207</v>
      </c>
      <c r="H6" s="93">
        <f>if(H4=TRUE, if(E5=1, 'Design system reference'!D5, if(E5=2, 'Design system reference'!D6, if(E5=3, 'Design system reference'!D7, if(E5=4, 'Design system reference'!D8, if(E5=5, 'Design system reference'!D9, "N/A"))))), "N/A")</f>
        <v>0.3</v>
      </c>
      <c r="I6" s="2"/>
      <c r="J6" s="4" t="s">
        <v>208</v>
      </c>
      <c r="K6" s="4" t="s">
        <v>209</v>
      </c>
      <c r="L6" s="4" t="s">
        <v>133</v>
      </c>
      <c r="M6" s="4" t="s">
        <v>210</v>
      </c>
      <c r="N6" s="4" t="s">
        <v>205</v>
      </c>
      <c r="O6" s="4" t="s">
        <v>211</v>
      </c>
      <c r="P6" s="4" t="s">
        <v>212</v>
      </c>
      <c r="Q6" s="4" t="s">
        <v>213</v>
      </c>
      <c r="R6" s="4" t="s">
        <v>214</v>
      </c>
    </row>
    <row r="7">
      <c r="A7" s="9" t="s">
        <v>4</v>
      </c>
      <c r="B7" s="28">
        <v>25.0</v>
      </c>
      <c r="C7" s="19"/>
      <c r="D7" s="9" t="s">
        <v>4</v>
      </c>
      <c r="E7" s="66">
        <f>sum(E6-E8)</f>
        <v>3</v>
      </c>
      <c r="G7" s="3" t="s">
        <v>215</v>
      </c>
      <c r="H7" s="7">
        <v>0.01</v>
      </c>
      <c r="I7" s="2"/>
      <c r="J7" s="4">
        <v>0.0</v>
      </c>
      <c r="K7" s="60">
        <f>sum(E5)</f>
        <v>2</v>
      </c>
      <c r="L7" s="94">
        <f t="shared" ref="L7:L17" si="1">min(5,(FLOOR(K7,1)))</f>
        <v>2</v>
      </c>
      <c r="M7" s="95">
        <f>if($H$4=TRUE, if(L7=1, 'Design system reference'!$D$5, if(L7=2, 'Design system reference'!$D$6, if(L7=3, 'Design system reference'!$D$7, if(L7=4, 'Design system reference'!$D$8, if(L7=5, 'Design system reference'!$D$9, "N/A"))))), if(ISNUMBER(H7), H7, 0))</f>
        <v>0.3</v>
      </c>
      <c r="N7" s="95">
        <f>if(K7&lt;2, 'Design system reference'!$B$5, IF(K7&lt;3, 'Design system reference'!$B$6, IF(K7&lt;4, 'Design system reference'!$B$7, IF(K7&lt;5, 'Design system reference'!$B$8, 'Design system reference'!$B$9))))</f>
        <v>0.263730625</v>
      </c>
      <c r="O7" s="95">
        <f t="shared" ref="O7:O17" si="2">sum(N7*M7)</f>
        <v>0.0791191875</v>
      </c>
      <c r="P7" s="2"/>
      <c r="Q7" s="2"/>
      <c r="R7" s="4">
        <v>0.0</v>
      </c>
    </row>
    <row r="8">
      <c r="A8" s="9" t="s">
        <v>6</v>
      </c>
      <c r="B8" s="28">
        <v>1.25</v>
      </c>
      <c r="C8" s="19"/>
      <c r="D8" s="9" t="s">
        <v>6</v>
      </c>
      <c r="E8" s="66">
        <f>if(E5=1, ROUNDDOWN(E6/(1+'Design system reference'!C5),0), if(E5=2, ROUNDDOWN(E6/(1+'Design system reference'!C6),0), if(E5=3, ROUNDDOWN(E6/(1+'Design system reference'!C7),0), if(E5=4, ROUNDDOWN(E6/(1+'Design system reference'!C8),0), if(E5=5, ROUNDDOWN(E6/(1+'Design system reference'!C9),0), FALSE )))))</f>
        <v>1</v>
      </c>
      <c r="G8" s="3" t="s">
        <v>211</v>
      </c>
      <c r="H8" s="95">
        <f>if(isnumber(H7), H7*H5, H6*H5)</f>
        <v>0.00263730625</v>
      </c>
      <c r="I8" s="2"/>
      <c r="J8" s="4">
        <v>6.0</v>
      </c>
      <c r="K8" s="60">
        <f t="shared" ref="K8:K17" si="3">if(K7=5,K7, SUM(K7+((1/$M$4)*(J8-J7))))</f>
        <v>2.5</v>
      </c>
      <c r="L8" s="94">
        <f t="shared" si="1"/>
        <v>2</v>
      </c>
      <c r="M8" s="95">
        <f>if($H$4=TRUE, if(L8=1, 'Design system reference'!$D$5, if(L8=2, 'Design system reference'!$D$6, if(L8=3, 'Design system reference'!$D$7, if(L8=4, 'Design system reference'!$D$8, if(L8=5, 'Design system reference'!$D$9, "N/A"))))), if(ISNUMBER(H8), H8, 0))</f>
        <v>0.3</v>
      </c>
      <c r="N8" s="95">
        <f>if(K8&lt;2, 'Design system reference'!$B$5, IF(K8&lt;3, 'Design system reference'!$B$6, IF(K8&lt;4, 'Design system reference'!$B$7, IF(K8&lt;5, 'Design system reference'!$B$8, 'Design system reference'!$B$9))))</f>
        <v>0.263730625</v>
      </c>
      <c r="O8" s="95">
        <f t="shared" si="2"/>
        <v>0.0791191875</v>
      </c>
      <c r="P8" s="96">
        <f t="shared" ref="P8:P17" si="4">sum(($B$20*O8)*0.5)</f>
        <v>298113.8789</v>
      </c>
      <c r="Q8" s="96">
        <f t="shared" ref="Q8:Q17" si="5">sum(P8-$E$11)</f>
        <v>-708397.3411</v>
      </c>
      <c r="R8" s="96">
        <f t="shared" ref="R8:R17" si="6">sum(R7+Q8)</f>
        <v>-708397.3411</v>
      </c>
    </row>
    <row r="9">
      <c r="A9" s="9" t="s">
        <v>216</v>
      </c>
      <c r="B9" s="97">
        <v>6.0</v>
      </c>
      <c r="C9" s="19"/>
      <c r="G9" s="2"/>
      <c r="H9" s="2"/>
      <c r="I9" s="2"/>
      <c r="J9" s="4">
        <v>12.0</v>
      </c>
      <c r="K9" s="60">
        <f t="shared" si="3"/>
        <v>3</v>
      </c>
      <c r="L9" s="94">
        <f t="shared" si="1"/>
        <v>3</v>
      </c>
      <c r="M9" s="95">
        <f>if($H$4=TRUE, if(L9=1, 'Design system reference'!$D$5, if(L9=2, 'Design system reference'!$D$6, if(L9=3, 'Design system reference'!$D$7, if(L9=4, 'Design system reference'!$D$8, if(L9=5, 'Design system reference'!$D$9, "N/A"))))), if(ISNUMBER(H9), H9, 0))</f>
        <v>0.5</v>
      </c>
      <c r="N9" s="95">
        <f>if(K9&lt;2, 'Design system reference'!$B$5, IF(K9&lt;3, 'Design system reference'!$B$6, IF(K9&lt;4, 'Design system reference'!$B$7, IF(K9&lt;5, 'Design system reference'!$B$8, 'Design system reference'!$B$9))))</f>
        <v>0.461875</v>
      </c>
      <c r="O9" s="95">
        <f t="shared" si="2"/>
        <v>0.2309375</v>
      </c>
      <c r="P9" s="96">
        <f t="shared" si="4"/>
        <v>870151.427</v>
      </c>
      <c r="Q9" s="96">
        <f t="shared" si="5"/>
        <v>-136359.793</v>
      </c>
      <c r="R9" s="96">
        <f t="shared" si="6"/>
        <v>-844757.1342</v>
      </c>
    </row>
    <row r="10">
      <c r="C10" s="19"/>
      <c r="D10" s="9" t="s">
        <v>217</v>
      </c>
      <c r="E10" s="76">
        <f>sum((((B11*E7)+(B12*E8))/E6)*B13)</f>
        <v>251627.805</v>
      </c>
      <c r="G10" s="3" t="s">
        <v>212</v>
      </c>
      <c r="H10" s="96">
        <f>sum(B20*H8)</f>
        <v>19874.25859</v>
      </c>
      <c r="I10" s="2"/>
      <c r="J10" s="4">
        <v>18.0</v>
      </c>
      <c r="K10" s="60">
        <f t="shared" si="3"/>
        <v>3.5</v>
      </c>
      <c r="L10" s="94">
        <f t="shared" si="1"/>
        <v>3</v>
      </c>
      <c r="M10" s="95">
        <f>if($H$4=TRUE, if(L10=1, 'Design system reference'!$D$5, if(L10=2, 'Design system reference'!$D$6, if(L10=3, 'Design system reference'!$D$7, if(L10=4, 'Design system reference'!$D$8, if(L10=5, 'Design system reference'!$D$9, "N/A"))))), if(ISNUMBER(H10), H10, 0))</f>
        <v>0.5</v>
      </c>
      <c r="N10" s="95">
        <f>if(K10&lt;2, 'Design system reference'!$B$5, IF(K10&lt;3, 'Design system reference'!$B$6, IF(K10&lt;4, 'Design system reference'!$B$7, IF(K10&lt;5, 'Design system reference'!$B$8, 'Design system reference'!$B$9))))</f>
        <v>0.461875</v>
      </c>
      <c r="O10" s="95">
        <f t="shared" si="2"/>
        <v>0.2309375</v>
      </c>
      <c r="P10" s="96">
        <f t="shared" si="4"/>
        <v>870151.427</v>
      </c>
      <c r="Q10" s="96">
        <f t="shared" si="5"/>
        <v>-136359.793</v>
      </c>
      <c r="R10" s="96">
        <f t="shared" si="6"/>
        <v>-981116.9272</v>
      </c>
    </row>
    <row r="11">
      <c r="A11" s="9" t="s">
        <v>218</v>
      </c>
      <c r="B11" s="98">
        <v>208000.0</v>
      </c>
      <c r="C11" s="90" t="s">
        <v>219</v>
      </c>
      <c r="D11" s="9" t="s">
        <v>220</v>
      </c>
      <c r="E11" s="76">
        <f>sum(E10*E6)</f>
        <v>1006511.22</v>
      </c>
      <c r="G11" s="3" t="s">
        <v>213</v>
      </c>
      <c r="H11" s="96">
        <f>sum(H10-E11)</f>
        <v>-986636.9614</v>
      </c>
      <c r="I11" s="2"/>
      <c r="J11" s="4">
        <v>24.0</v>
      </c>
      <c r="K11" s="60">
        <f t="shared" si="3"/>
        <v>4</v>
      </c>
      <c r="L11" s="94">
        <f t="shared" si="1"/>
        <v>4</v>
      </c>
      <c r="M11" s="95">
        <f>if($H$4=TRUE, if(L11=1, 'Design system reference'!$D$5, if(L11=2, 'Design system reference'!$D$6, if(L11=3, 'Design system reference'!$D$7, if(L11=4, 'Design system reference'!$D$8, if(L11=5, 'Design system reference'!$D$9, "N/A"))))), if(ISNUMBER(H11), H11, 0))</f>
        <v>0.8</v>
      </c>
      <c r="N11" s="95">
        <f>if(K11&lt;2, 'Design system reference'!$B$5, IF(K11&lt;3, 'Design system reference'!$B$6, IF(K11&lt;4, 'Design system reference'!$B$7, IF(K11&lt;5, 'Design system reference'!$B$8, 'Design system reference'!$B$9))))</f>
        <v>0.59397125</v>
      </c>
      <c r="O11" s="95">
        <f t="shared" si="2"/>
        <v>0.475177</v>
      </c>
      <c r="P11" s="96">
        <f t="shared" si="4"/>
        <v>1790423.576</v>
      </c>
      <c r="Q11" s="96">
        <f t="shared" si="5"/>
        <v>783912.3561</v>
      </c>
      <c r="R11" s="96">
        <f t="shared" si="6"/>
        <v>-197204.5711</v>
      </c>
    </row>
    <row r="12">
      <c r="A12" s="9" t="s">
        <v>221</v>
      </c>
      <c r="B12" s="62">
        <f>sum('Other references'!B9)</f>
        <v>79854</v>
      </c>
      <c r="C12" s="90" t="s">
        <v>222</v>
      </c>
      <c r="G12" s="2"/>
      <c r="H12" s="2"/>
      <c r="I12" s="2"/>
      <c r="J12" s="4">
        <v>30.0</v>
      </c>
      <c r="K12" s="60">
        <f t="shared" si="3"/>
        <v>4.5</v>
      </c>
      <c r="L12" s="94">
        <f t="shared" si="1"/>
        <v>4</v>
      </c>
      <c r="M12" s="95">
        <f>if($H$4=TRUE, if(L12=1, 'Design system reference'!$D$5, if(L12=2, 'Design system reference'!$D$6, if(L12=3, 'Design system reference'!$D$7, if(L12=4, 'Design system reference'!$D$8, if(L12=5, 'Design system reference'!$D$9, "N/A"))))), if(ISNUMBER(H12), H12, 0))</f>
        <v>0.8</v>
      </c>
      <c r="N12" s="95">
        <f>if(K12&lt;2, 'Design system reference'!$B$5, IF(K12&lt;3, 'Design system reference'!$B$6, IF(K12&lt;4, 'Design system reference'!$B$7, IF(K12&lt;5, 'Design system reference'!$B$8, 'Design system reference'!$B$9))))</f>
        <v>0.59397125</v>
      </c>
      <c r="O12" s="95">
        <f t="shared" si="2"/>
        <v>0.475177</v>
      </c>
      <c r="P12" s="96">
        <f t="shared" si="4"/>
        <v>1790423.576</v>
      </c>
      <c r="Q12" s="96">
        <f t="shared" si="5"/>
        <v>783912.3561</v>
      </c>
      <c r="R12" s="96">
        <f t="shared" si="6"/>
        <v>586707.785</v>
      </c>
    </row>
    <row r="13">
      <c r="A13" s="9" t="s">
        <v>11</v>
      </c>
      <c r="B13" s="66">
        <f>sum('Other references'!B10)</f>
        <v>1.43</v>
      </c>
      <c r="C13" s="19"/>
      <c r="G13" s="2"/>
      <c r="H13" s="2"/>
      <c r="I13" s="2"/>
      <c r="J13" s="4">
        <v>36.0</v>
      </c>
      <c r="K13" s="60">
        <f t="shared" si="3"/>
        <v>5</v>
      </c>
      <c r="L13" s="94">
        <f t="shared" si="1"/>
        <v>5</v>
      </c>
      <c r="M13" s="95">
        <f>if($H$4=TRUE, if(L13=1, 'Design system reference'!$D$5, if(L13=2, 'Design system reference'!$D$6, if(L13=3, 'Design system reference'!$D$7, if(L13=4, 'Design system reference'!$D$8, if(L13=5, 'Design system reference'!$D$9, "N/A"))))), if(ISNUMBER(H19), H19, 0))</f>
        <v>0.95</v>
      </c>
      <c r="N13" s="95">
        <f>if(K13&lt;2, 'Design system reference'!$B$5, IF(K13&lt;3, 'Design system reference'!$B$6, IF(K13&lt;4, 'Design system reference'!$B$7, IF(K13&lt;5, 'Design system reference'!$B$8, 'Design system reference'!$B$9))))</f>
        <v>0.660019375</v>
      </c>
      <c r="O13" s="95">
        <f t="shared" si="2"/>
        <v>0.6270184063</v>
      </c>
      <c r="P13" s="96">
        <f t="shared" si="4"/>
        <v>2362548.139</v>
      </c>
      <c r="Q13" s="96">
        <f t="shared" si="5"/>
        <v>1356036.919</v>
      </c>
      <c r="R13" s="96">
        <f t="shared" si="6"/>
        <v>1942744.704</v>
      </c>
    </row>
    <row r="14">
      <c r="A14" s="9"/>
      <c r="C14" s="19"/>
      <c r="G14" s="2"/>
      <c r="H14" s="2"/>
      <c r="I14" s="2"/>
      <c r="J14" s="4">
        <v>42.0</v>
      </c>
      <c r="K14" s="60">
        <f t="shared" si="3"/>
        <v>5</v>
      </c>
      <c r="L14" s="94">
        <f t="shared" si="1"/>
        <v>5</v>
      </c>
      <c r="M14" s="95">
        <f>if($H$4=TRUE, if(L14=1, 'Design system reference'!$D$5, if(L14=2, 'Design system reference'!$D$6, if(L14=3, 'Design system reference'!$D$7, if(L14=4, 'Design system reference'!$D$8, if(L14=5, 'Design system reference'!$D$9, "N/A"))))), if(ISNUMBER(H20), H20, 0))</f>
        <v>0.95</v>
      </c>
      <c r="N14" s="95">
        <f>if(K14&lt;2, 'Design system reference'!$B$5, IF(K14&lt;3, 'Design system reference'!$B$6, IF(K14&lt;4, 'Design system reference'!$B$7, IF(K14&lt;5, 'Design system reference'!$B$8, 'Design system reference'!$B$9))))</f>
        <v>0.660019375</v>
      </c>
      <c r="O14" s="95">
        <f t="shared" si="2"/>
        <v>0.6270184063</v>
      </c>
      <c r="P14" s="96">
        <f t="shared" si="4"/>
        <v>2362548.139</v>
      </c>
      <c r="Q14" s="96">
        <f t="shared" si="5"/>
        <v>1356036.919</v>
      </c>
      <c r="R14" s="96">
        <f t="shared" si="6"/>
        <v>3298781.624</v>
      </c>
    </row>
    <row r="15">
      <c r="A15" s="9" t="s">
        <v>223</v>
      </c>
      <c r="B15" s="76">
        <f>sum(B11*B13)</f>
        <v>297440</v>
      </c>
      <c r="C15" s="19"/>
      <c r="G15" s="2"/>
      <c r="H15" s="2"/>
      <c r="I15" s="2"/>
      <c r="J15" s="4">
        <v>48.0</v>
      </c>
      <c r="K15" s="60">
        <f t="shared" si="3"/>
        <v>5</v>
      </c>
      <c r="L15" s="94">
        <f t="shared" si="1"/>
        <v>5</v>
      </c>
      <c r="M15" s="95">
        <f>if($H$4=TRUE, if(L15=1, 'Design system reference'!$D$5, if(L15=2, 'Design system reference'!$D$6, if(L15=3, 'Design system reference'!$D$7, if(L15=4, 'Design system reference'!$D$8, if(L15=5, 'Design system reference'!$D$9, "N/A"))))), if(ISNUMBER(H21), H21, 0))</f>
        <v>0.95</v>
      </c>
      <c r="N15" s="95">
        <f>if(K15&lt;2, 'Design system reference'!$B$5, IF(K15&lt;3, 'Design system reference'!$B$6, IF(K15&lt;4, 'Design system reference'!$B$7, IF(K15&lt;5, 'Design system reference'!$B$8, 'Design system reference'!$B$9))))</f>
        <v>0.660019375</v>
      </c>
      <c r="O15" s="95">
        <f t="shared" si="2"/>
        <v>0.6270184063</v>
      </c>
      <c r="P15" s="96">
        <f t="shared" si="4"/>
        <v>2362548.139</v>
      </c>
      <c r="Q15" s="96">
        <f t="shared" si="5"/>
        <v>1356036.919</v>
      </c>
      <c r="R15" s="96">
        <f t="shared" si="6"/>
        <v>4654818.543</v>
      </c>
    </row>
    <row r="16">
      <c r="A16" s="9" t="s">
        <v>224</v>
      </c>
      <c r="B16" s="62">
        <f>sum(B12*B13)</f>
        <v>114191.22</v>
      </c>
      <c r="C16" s="19"/>
      <c r="G16" s="2"/>
      <c r="H16" s="2"/>
      <c r="I16" s="2"/>
      <c r="J16" s="4">
        <v>54.0</v>
      </c>
      <c r="K16" s="60">
        <f t="shared" si="3"/>
        <v>5</v>
      </c>
      <c r="L16" s="94">
        <f t="shared" si="1"/>
        <v>5</v>
      </c>
      <c r="M16" s="95">
        <f>if($H$4=TRUE, if(L16=1, 'Design system reference'!$D$5, if(L16=2, 'Design system reference'!$D$6, if(L16=3, 'Design system reference'!$D$7, if(L16=4, 'Design system reference'!$D$8, if(L16=5, 'Design system reference'!$D$9, "N/A"))))), if(ISNUMBER(H22), H22, 0))</f>
        <v>0.95</v>
      </c>
      <c r="N16" s="95">
        <f>if(K16&lt;2, 'Design system reference'!$B$5, IF(K16&lt;3, 'Design system reference'!$B$6, IF(K16&lt;4, 'Design system reference'!$B$7, IF(K16&lt;5, 'Design system reference'!$B$8, 'Design system reference'!$B$9))))</f>
        <v>0.660019375</v>
      </c>
      <c r="O16" s="95">
        <f t="shared" si="2"/>
        <v>0.6270184063</v>
      </c>
      <c r="P16" s="96">
        <f t="shared" si="4"/>
        <v>2362548.139</v>
      </c>
      <c r="Q16" s="96">
        <f t="shared" si="5"/>
        <v>1356036.919</v>
      </c>
      <c r="R16" s="96">
        <f t="shared" si="6"/>
        <v>6010855.462</v>
      </c>
    </row>
    <row r="17">
      <c r="C17" s="19"/>
      <c r="G17" s="2"/>
      <c r="H17" s="2"/>
      <c r="I17" s="2"/>
      <c r="J17" s="4">
        <v>60.0</v>
      </c>
      <c r="K17" s="60">
        <f t="shared" si="3"/>
        <v>5</v>
      </c>
      <c r="L17" s="94">
        <f t="shared" si="1"/>
        <v>5</v>
      </c>
      <c r="M17" s="95">
        <f>if($H$4=TRUE, if(L17=1, 'Design system reference'!$D$5, if(L17=2, 'Design system reference'!$D$6, if(L17=3, 'Design system reference'!$D$7, if(L17=4, 'Design system reference'!$D$8, if(L17=5, 'Design system reference'!$D$9, "N/A"))))), if(ISNUMBER(H17), H17, 0))</f>
        <v>0.95</v>
      </c>
      <c r="N17" s="95">
        <f>if(K17&lt;2, 'Design system reference'!$B$5, IF(K17&lt;3, 'Design system reference'!$B$6, IF(K17&lt;4, 'Design system reference'!$B$7, IF(K17&lt;5, 'Design system reference'!$B$8, 'Design system reference'!$B$9))))</f>
        <v>0.660019375</v>
      </c>
      <c r="O17" s="95">
        <f t="shared" si="2"/>
        <v>0.6270184063</v>
      </c>
      <c r="P17" s="96">
        <f t="shared" si="4"/>
        <v>2362548.139</v>
      </c>
      <c r="Q17" s="96">
        <f t="shared" si="5"/>
        <v>1356036.919</v>
      </c>
      <c r="R17" s="96">
        <f t="shared" si="6"/>
        <v>7366892.382</v>
      </c>
    </row>
    <row r="18">
      <c r="A18" s="9" t="s">
        <v>225</v>
      </c>
      <c r="B18" s="76">
        <f>sum(((B15*B7)+(B12*B8))/B6)</f>
        <v>287078.7619</v>
      </c>
      <c r="C18" s="19"/>
    </row>
    <row r="19">
      <c r="C19" s="19"/>
      <c r="G19" s="99" t="s">
        <v>226</v>
      </c>
      <c r="H19" s="100"/>
      <c r="I19" s="100"/>
      <c r="J19" s="99" t="s">
        <v>227</v>
      </c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V19" s="100"/>
    </row>
    <row r="20">
      <c r="A20" s="9" t="s">
        <v>228</v>
      </c>
      <c r="B20" s="76">
        <f>sum(B18*B6)</f>
        <v>7535817.5</v>
      </c>
      <c r="C20" s="19"/>
      <c r="G20" s="101" t="s">
        <v>229</v>
      </c>
      <c r="H20" s="100"/>
      <c r="I20" s="100"/>
      <c r="J20" s="102" t="s">
        <v>202</v>
      </c>
      <c r="K20" s="103"/>
      <c r="L20" s="104"/>
      <c r="M20" s="104" t="s">
        <v>230</v>
      </c>
      <c r="N20" s="104">
        <v>6.0</v>
      </c>
      <c r="O20" s="103"/>
      <c r="P20" s="104" t="s">
        <v>231</v>
      </c>
      <c r="Q20" s="104">
        <v>9.0</v>
      </c>
      <c r="R20" s="100"/>
      <c r="S20" s="100"/>
      <c r="T20" s="100"/>
      <c r="V20" s="100"/>
    </row>
    <row r="21">
      <c r="C21" s="19"/>
      <c r="G21" s="99" t="s">
        <v>232</v>
      </c>
      <c r="H21" s="105">
        <v>75000.0</v>
      </c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V21" s="100"/>
    </row>
    <row r="22">
      <c r="A22" s="9" t="s">
        <v>233</v>
      </c>
      <c r="B22" s="28">
        <v>3.0</v>
      </c>
      <c r="C22" s="19"/>
      <c r="G22" s="99" t="s">
        <v>234</v>
      </c>
      <c r="H22" s="106">
        <f>sum((E11*'Knapsack reference'!B3)-H21)</f>
        <v>75976.683</v>
      </c>
      <c r="I22" s="100"/>
      <c r="J22" s="105" t="s">
        <v>208</v>
      </c>
      <c r="K22" s="105" t="s">
        <v>209</v>
      </c>
      <c r="L22" s="105" t="s">
        <v>133</v>
      </c>
      <c r="M22" s="105" t="s">
        <v>210</v>
      </c>
      <c r="N22" s="105" t="s">
        <v>205</v>
      </c>
      <c r="O22" s="105" t="s">
        <v>211</v>
      </c>
      <c r="P22" s="105" t="s">
        <v>212</v>
      </c>
      <c r="Q22" s="105" t="s">
        <v>213</v>
      </c>
      <c r="R22" s="105" t="s">
        <v>235</v>
      </c>
      <c r="S22" s="105" t="s">
        <v>236</v>
      </c>
      <c r="T22" s="105" t="s">
        <v>237</v>
      </c>
      <c r="V22" s="105" t="s">
        <v>233</v>
      </c>
    </row>
    <row r="23">
      <c r="C23" s="19"/>
      <c r="G23" s="100"/>
      <c r="H23" s="100"/>
      <c r="I23" s="100"/>
      <c r="J23" s="105">
        <v>0.0</v>
      </c>
      <c r="K23" s="107">
        <f>sum(E5)</f>
        <v>2</v>
      </c>
      <c r="L23" s="100">
        <f t="shared" ref="L23:L25" si="7">floor(K23,1)</f>
        <v>2</v>
      </c>
      <c r="M23" s="108">
        <f>if($H$4=TRUE, if(L23=1, 'Design system reference'!D$5, if(L23=2, 'Design system reference'!D$6, if(L23=3, 'Design system reference'!D$7, if(L23=4, 'Design system reference'!D$8, if(L23=5, 'Design system reference'!D$9, "N/A"))))), if(ISNUMBER($H$7), $H$7, 0))</f>
        <v>0.3</v>
      </c>
      <c r="N23" s="108">
        <f>if(L23&lt;2, 'Design system reference'!$B$5, IF(L23&lt;3, 'Design system reference'!$B$6, IF(L23&lt;4, 'Design system reference'!$B$7, IF(L23&lt;5, 'Design system reference'!$B$8, 'Design system reference'!$B$9))))</f>
        <v>0.263730625</v>
      </c>
      <c r="O23" s="108">
        <f t="shared" ref="O23:O33" si="8">sum(N23*M23)</f>
        <v>0.0791191875</v>
      </c>
      <c r="P23" s="100"/>
      <c r="Q23" s="100"/>
      <c r="R23" s="105">
        <v>0.0</v>
      </c>
      <c r="S23" s="100"/>
      <c r="T23" s="100"/>
      <c r="V23" s="100">
        <f>sum($B$22)</f>
        <v>3</v>
      </c>
    </row>
    <row r="24">
      <c r="A24" s="9" t="s">
        <v>238</v>
      </c>
      <c r="B24" s="76">
        <f>sum(B20*B22)</f>
        <v>22607452.5</v>
      </c>
      <c r="C24" s="19"/>
      <c r="G24" s="99"/>
      <c r="H24" s="100"/>
      <c r="I24" s="100"/>
      <c r="J24" s="105">
        <v>6.0</v>
      </c>
      <c r="K24" s="107">
        <f t="shared" ref="K24:K33" si="9">if(K23=5,K23, IF(K23&lt;3, SUM(K23+((1/$N$20)*(J24-J23))), IF(K23&gt;=3, SUM(K23+((1/$Q$20)*(J24-J23))))))</f>
        <v>3</v>
      </c>
      <c r="L24" s="100">
        <f t="shared" si="7"/>
        <v>3</v>
      </c>
      <c r="M24" s="108">
        <f>if($H$4=TRUE, if(L24=1, 'Design system reference'!D$5, if(L24=2, 'Design system reference'!D$6, if(L24=3, 'Design system reference'!D$7, if(L24=4, 'Design system reference'!D$8, if(L24=5, 'Design system reference'!D$9, "N/A"))))), if(ISNUMBER($H$7), $H$7, 0))</f>
        <v>0.5</v>
      </c>
      <c r="N24" s="108">
        <f>if(L24&lt;2, 'Design system reference'!$B$5, IF(L24&lt;3, 'Design system reference'!$B$6, IF(L24&lt;4, 'Design system reference'!$B$7, IF(L24&lt;5, 'Design system reference'!$B$8, 'Design system reference'!$B$9))))</f>
        <v>0.461875</v>
      </c>
      <c r="O24" s="108">
        <f t="shared" si="8"/>
        <v>0.2309375</v>
      </c>
      <c r="P24" s="106">
        <f t="shared" ref="P24:P33" si="10">sum(($B$20*O24)*0.5)</f>
        <v>870151.427</v>
      </c>
      <c r="Q24" s="106">
        <f t="shared" ref="Q24:Q33" si="11">sum(P24-$E$11+$H$22)</f>
        <v>-60383.11005</v>
      </c>
      <c r="R24" s="106">
        <f t="shared" ref="R24:R33" si="12">sum(R23+Q24)</f>
        <v>-60383.11005</v>
      </c>
      <c r="S24" s="106">
        <f t="shared" ref="S24:S33" si="13">sum(R24-R8)</f>
        <v>648014.2311</v>
      </c>
      <c r="T24" s="109">
        <f>sum(S24/B20)</f>
        <v>0.08599123202</v>
      </c>
      <c r="V24" s="110">
        <f t="shared" ref="V24:V33" si="14">sum($B$22*(1+T24))</f>
        <v>3.257973696</v>
      </c>
    </row>
    <row r="25">
      <c r="C25" s="19"/>
      <c r="G25" s="100"/>
      <c r="H25" s="100"/>
      <c r="I25" s="100"/>
      <c r="J25" s="105">
        <v>12.0</v>
      </c>
      <c r="K25" s="107">
        <f t="shared" si="9"/>
        <v>3.666666667</v>
      </c>
      <c r="L25" s="100">
        <f t="shared" si="7"/>
        <v>3</v>
      </c>
      <c r="M25" s="108">
        <f>if($H$4=TRUE, if(L25=1, 'Design system reference'!D$5, if(L25=2, 'Design system reference'!D$6, if(L25=3, 'Design system reference'!D$7, if(L25=4, 'Design system reference'!D$8, if(L25=5, 'Design system reference'!D$9, "N/A"))))), if(ISNUMBER($H$7), $H$7, 0))</f>
        <v>0.5</v>
      </c>
      <c r="N25" s="108">
        <f>if(L25&lt;2, 'Design system reference'!$B$5, IF(L25&lt;3, 'Design system reference'!$B$6, IF(L25&lt;4, 'Design system reference'!$B$7, IF(L25&lt;5, 'Design system reference'!$B$8, 'Design system reference'!$B$9))))</f>
        <v>0.461875</v>
      </c>
      <c r="O25" s="108">
        <f t="shared" si="8"/>
        <v>0.2309375</v>
      </c>
      <c r="P25" s="106">
        <f t="shared" si="10"/>
        <v>870151.427</v>
      </c>
      <c r="Q25" s="106">
        <f t="shared" si="11"/>
        <v>-60383.11005</v>
      </c>
      <c r="R25" s="106">
        <f t="shared" si="12"/>
        <v>-120766.2201</v>
      </c>
      <c r="S25" s="106">
        <f t="shared" si="13"/>
        <v>723990.9141</v>
      </c>
      <c r="T25" s="109">
        <f t="shared" ref="T25:T33" si="15">sum(S25/$B$20)</f>
        <v>0.09607330778</v>
      </c>
      <c r="V25" s="110">
        <f t="shared" si="14"/>
        <v>3.288219923</v>
      </c>
    </row>
    <row r="26">
      <c r="C26" s="19"/>
      <c r="G26" s="100"/>
      <c r="H26" s="100"/>
      <c r="I26" s="100"/>
      <c r="J26" s="105">
        <v>18.0</v>
      </c>
      <c r="K26" s="107">
        <f t="shared" si="9"/>
        <v>4.333333333</v>
      </c>
      <c r="L26" s="100">
        <f t="shared" ref="L26:L33" si="16">MIN(5,(floor(K26,1)))</f>
        <v>4</v>
      </c>
      <c r="M26" s="108">
        <f>if($H$4=TRUE, if(L26=1, 'Design system reference'!D$5, if(L26=2, 'Design system reference'!D$6, if(L26=3, 'Design system reference'!D$7, if(L26=4, 'Design system reference'!D$8, if(L26=5, 'Design system reference'!D$9, "N/A"))))), if(ISNUMBER($H$7), $H$7, 0))</f>
        <v>0.8</v>
      </c>
      <c r="N26" s="108">
        <f>if(L26&lt;2, 'Design system reference'!$B$5, IF(L26&lt;3, 'Design system reference'!$B$6, IF(L26&lt;4, 'Design system reference'!$B$7, IF(L26&lt;5, 'Design system reference'!$B$8, 'Design system reference'!$B$9))))</f>
        <v>0.59397125</v>
      </c>
      <c r="O26" s="108">
        <f t="shared" si="8"/>
        <v>0.475177</v>
      </c>
      <c r="P26" s="106">
        <f t="shared" si="10"/>
        <v>1790423.576</v>
      </c>
      <c r="Q26" s="106">
        <f t="shared" si="11"/>
        <v>859889.0391</v>
      </c>
      <c r="R26" s="106">
        <f t="shared" si="12"/>
        <v>739122.819</v>
      </c>
      <c r="S26" s="106">
        <f t="shared" si="13"/>
        <v>1720239.746</v>
      </c>
      <c r="T26" s="109">
        <f t="shared" si="15"/>
        <v>0.2282751336</v>
      </c>
      <c r="V26" s="110">
        <f t="shared" si="14"/>
        <v>3.684825401</v>
      </c>
    </row>
    <row r="27">
      <c r="C27" s="19"/>
      <c r="G27" s="100"/>
      <c r="H27" s="100"/>
      <c r="I27" s="100"/>
      <c r="J27" s="105">
        <v>24.0</v>
      </c>
      <c r="K27" s="107">
        <f t="shared" si="9"/>
        <v>5</v>
      </c>
      <c r="L27" s="100">
        <f t="shared" si="16"/>
        <v>5</v>
      </c>
      <c r="M27" s="108">
        <f>if($H$4=TRUE, if(L27=1, 'Design system reference'!D$5, if(L27=2, 'Design system reference'!D$6, if(L27=3, 'Design system reference'!D$7, if(L27=4, 'Design system reference'!D$8, if(L27=5, 'Design system reference'!D$9, "N/A"))))), if(ISNUMBER($H$7), $H$7, 0))</f>
        <v>0.95</v>
      </c>
      <c r="N27" s="108">
        <f>if(L27&lt;2, 'Design system reference'!$B$5, IF(L27&lt;3, 'Design system reference'!$B$6, IF(L27&lt;4, 'Design system reference'!$B$7, IF(L27&lt;5, 'Design system reference'!$B$8, 'Design system reference'!$B$9))))</f>
        <v>0.660019375</v>
      </c>
      <c r="O27" s="108">
        <f t="shared" si="8"/>
        <v>0.6270184063</v>
      </c>
      <c r="P27" s="106">
        <f t="shared" si="10"/>
        <v>2362548.139</v>
      </c>
      <c r="Q27" s="106">
        <f t="shared" si="11"/>
        <v>1432013.602</v>
      </c>
      <c r="R27" s="106">
        <f t="shared" si="12"/>
        <v>2171136.421</v>
      </c>
      <c r="S27" s="106">
        <f t="shared" si="13"/>
        <v>2368340.992</v>
      </c>
      <c r="T27" s="109">
        <f t="shared" si="15"/>
        <v>0.3142779124</v>
      </c>
      <c r="V27" s="110">
        <f t="shared" si="14"/>
        <v>3.942833737</v>
      </c>
    </row>
    <row r="28">
      <c r="C28" s="19"/>
      <c r="G28" s="100"/>
      <c r="H28" s="100"/>
      <c r="I28" s="100"/>
      <c r="J28" s="105">
        <v>30.0</v>
      </c>
      <c r="K28" s="107">
        <f t="shared" si="9"/>
        <v>5</v>
      </c>
      <c r="L28" s="100">
        <f t="shared" si="16"/>
        <v>5</v>
      </c>
      <c r="M28" s="108">
        <f>if($H$4=TRUE, if(L28=1, 'Design system reference'!D$5, if(L28=2, 'Design system reference'!D$6, if(L28=3, 'Design system reference'!D$7, if(L28=4, 'Design system reference'!D$8, if(L28=5, 'Design system reference'!D$9, "N/A"))))), if(ISNUMBER($H$7), $H$7, 0))</f>
        <v>0.95</v>
      </c>
      <c r="N28" s="108">
        <f>if(L28&lt;2, 'Design system reference'!$B$5, IF(L28&lt;3, 'Design system reference'!$B$6, IF(L28&lt;4, 'Design system reference'!$B$7, IF(L28&lt;5, 'Design system reference'!$B$8, 'Design system reference'!$B$9))))</f>
        <v>0.660019375</v>
      </c>
      <c r="O28" s="108">
        <f t="shared" si="8"/>
        <v>0.6270184063</v>
      </c>
      <c r="P28" s="106">
        <f t="shared" si="10"/>
        <v>2362548.139</v>
      </c>
      <c r="Q28" s="106">
        <f t="shared" si="11"/>
        <v>1432013.602</v>
      </c>
      <c r="R28" s="106">
        <f t="shared" si="12"/>
        <v>3603150.024</v>
      </c>
      <c r="S28" s="106">
        <f t="shared" si="13"/>
        <v>3016442.239</v>
      </c>
      <c r="T28" s="109">
        <f t="shared" si="15"/>
        <v>0.4002806913</v>
      </c>
      <c r="V28" s="110">
        <f t="shared" si="14"/>
        <v>4.200842074</v>
      </c>
    </row>
    <row r="29">
      <c r="C29" s="19"/>
      <c r="G29" s="100"/>
      <c r="H29" s="100"/>
      <c r="I29" s="100"/>
      <c r="J29" s="105">
        <v>36.0</v>
      </c>
      <c r="K29" s="107">
        <f t="shared" si="9"/>
        <v>5</v>
      </c>
      <c r="L29" s="100">
        <f t="shared" si="16"/>
        <v>5</v>
      </c>
      <c r="M29" s="108">
        <f>if($H$4=TRUE, if(L29=1, 'Design system reference'!D$5, if(L29=2, 'Design system reference'!D$6, if(L29=3, 'Design system reference'!D$7, if(L29=4, 'Design system reference'!D$8, if(L29=5, 'Design system reference'!D$9, "N/A"))))), if(ISNUMBER($H$7), $H$7, 0))</f>
        <v>0.95</v>
      </c>
      <c r="N29" s="108">
        <f>if(L29&lt;2, 'Design system reference'!$B$5, IF(L29&lt;3, 'Design system reference'!$B$6, IF(L29&lt;4, 'Design system reference'!$B$7, IF(L29&lt;5, 'Design system reference'!$B$8, 'Design system reference'!$B$9))))</f>
        <v>0.660019375</v>
      </c>
      <c r="O29" s="108">
        <f t="shared" si="8"/>
        <v>0.6270184063</v>
      </c>
      <c r="P29" s="106">
        <f t="shared" si="10"/>
        <v>2362548.139</v>
      </c>
      <c r="Q29" s="106">
        <f t="shared" si="11"/>
        <v>1432013.602</v>
      </c>
      <c r="R29" s="106">
        <f t="shared" si="12"/>
        <v>5035163.626</v>
      </c>
      <c r="S29" s="106">
        <f t="shared" si="13"/>
        <v>3092418.922</v>
      </c>
      <c r="T29" s="109">
        <f t="shared" si="15"/>
        <v>0.4103627671</v>
      </c>
      <c r="V29" s="110">
        <f t="shared" si="14"/>
        <v>4.231088301</v>
      </c>
    </row>
    <row r="30">
      <c r="C30" s="19"/>
      <c r="G30" s="100"/>
      <c r="H30" s="100"/>
      <c r="I30" s="100"/>
      <c r="J30" s="105">
        <v>42.0</v>
      </c>
      <c r="K30" s="107">
        <f t="shared" si="9"/>
        <v>5</v>
      </c>
      <c r="L30" s="100">
        <f t="shared" si="16"/>
        <v>5</v>
      </c>
      <c r="M30" s="108">
        <f>if($H$4=TRUE, if(L30=1, 'Design system reference'!D$5, if(L30=2, 'Design system reference'!D$6, if(L30=3, 'Design system reference'!D$7, if(L30=4, 'Design system reference'!D$8, if(L30=5, 'Design system reference'!D$9, "N/A"))))), if(ISNUMBER($H$7), $H$7, 0))</f>
        <v>0.95</v>
      </c>
      <c r="N30" s="108">
        <f>if(L30&lt;2, 'Design system reference'!$B$5, IF(L30&lt;3, 'Design system reference'!$B$6, IF(L30&lt;4, 'Design system reference'!$B$7, IF(L30&lt;5, 'Design system reference'!$B$8, 'Design system reference'!$B$9))))</f>
        <v>0.660019375</v>
      </c>
      <c r="O30" s="108">
        <f t="shared" si="8"/>
        <v>0.6270184063</v>
      </c>
      <c r="P30" s="106">
        <f t="shared" si="10"/>
        <v>2362548.139</v>
      </c>
      <c r="Q30" s="106">
        <f t="shared" si="11"/>
        <v>1432013.602</v>
      </c>
      <c r="R30" s="106">
        <f t="shared" si="12"/>
        <v>6467177.228</v>
      </c>
      <c r="S30" s="106">
        <f t="shared" si="13"/>
        <v>3168395.605</v>
      </c>
      <c r="T30" s="109">
        <f t="shared" si="15"/>
        <v>0.4204448429</v>
      </c>
      <c r="V30" s="110">
        <f t="shared" si="14"/>
        <v>4.261334529</v>
      </c>
    </row>
    <row r="31">
      <c r="C31" s="19"/>
      <c r="G31" s="100"/>
      <c r="H31" s="100"/>
      <c r="I31" s="100"/>
      <c r="J31" s="105">
        <v>48.0</v>
      </c>
      <c r="K31" s="107">
        <f t="shared" si="9"/>
        <v>5</v>
      </c>
      <c r="L31" s="100">
        <f t="shared" si="16"/>
        <v>5</v>
      </c>
      <c r="M31" s="108">
        <f>if($H$4=TRUE, if(L31=1, 'Design system reference'!D$5, if(L31=2, 'Design system reference'!D$6, if(L31=3, 'Design system reference'!D$7, if(L31=4, 'Design system reference'!D$8, if(L31=5, 'Design system reference'!D$9, "N/A"))))), if(ISNUMBER($H$7), $H$7, 0))</f>
        <v>0.95</v>
      </c>
      <c r="N31" s="108">
        <f>if(L31&lt;2, 'Design system reference'!$B$5, IF(L31&lt;3, 'Design system reference'!$B$6, IF(L31&lt;4, 'Design system reference'!$B$7, IF(L31&lt;5, 'Design system reference'!$B$8, 'Design system reference'!$B$9))))</f>
        <v>0.660019375</v>
      </c>
      <c r="O31" s="108">
        <f t="shared" si="8"/>
        <v>0.6270184063</v>
      </c>
      <c r="P31" s="106">
        <f t="shared" si="10"/>
        <v>2362548.139</v>
      </c>
      <c r="Q31" s="106">
        <f t="shared" si="11"/>
        <v>1432013.602</v>
      </c>
      <c r="R31" s="106">
        <f t="shared" si="12"/>
        <v>7899190.831</v>
      </c>
      <c r="S31" s="106">
        <f t="shared" si="13"/>
        <v>3244372.288</v>
      </c>
      <c r="T31" s="109">
        <f t="shared" si="15"/>
        <v>0.4305269186</v>
      </c>
      <c r="V31" s="110">
        <f t="shared" si="14"/>
        <v>4.291580756</v>
      </c>
    </row>
    <row r="32">
      <c r="C32" s="19"/>
      <c r="G32" s="100"/>
      <c r="H32" s="100"/>
      <c r="I32" s="100"/>
      <c r="J32" s="105">
        <v>54.0</v>
      </c>
      <c r="K32" s="107">
        <f t="shared" si="9"/>
        <v>5</v>
      </c>
      <c r="L32" s="100">
        <f t="shared" si="16"/>
        <v>5</v>
      </c>
      <c r="M32" s="108">
        <f>if($H$4=TRUE, if(L32=1, 'Design system reference'!D$5, if(L32=2, 'Design system reference'!D$6, if(L32=3, 'Design system reference'!D$7, if(L32=4, 'Design system reference'!D$8, if(L32=5, 'Design system reference'!D$9, "N/A"))))), if(ISNUMBER($H$7), $H$7, 0))</f>
        <v>0.95</v>
      </c>
      <c r="N32" s="108">
        <f>if(L32&lt;2, 'Design system reference'!$B$5, IF(L32&lt;3, 'Design system reference'!$B$6, IF(L32&lt;4, 'Design system reference'!$B$7, IF(L32&lt;5, 'Design system reference'!$B$8, 'Design system reference'!$B$9))))</f>
        <v>0.660019375</v>
      </c>
      <c r="O32" s="108">
        <f t="shared" si="8"/>
        <v>0.6270184063</v>
      </c>
      <c r="P32" s="106">
        <f t="shared" si="10"/>
        <v>2362548.139</v>
      </c>
      <c r="Q32" s="106">
        <f t="shared" si="11"/>
        <v>1432013.602</v>
      </c>
      <c r="R32" s="106">
        <f t="shared" si="12"/>
        <v>9331204.433</v>
      </c>
      <c r="S32" s="106">
        <f t="shared" si="13"/>
        <v>3320348.971</v>
      </c>
      <c r="T32" s="109">
        <f t="shared" si="15"/>
        <v>0.4406089944</v>
      </c>
      <c r="V32" s="110">
        <f t="shared" si="14"/>
        <v>4.321826983</v>
      </c>
    </row>
    <row r="33">
      <c r="C33" s="19"/>
      <c r="G33" s="100"/>
      <c r="H33" s="100"/>
      <c r="I33" s="100"/>
      <c r="J33" s="105">
        <v>60.0</v>
      </c>
      <c r="K33" s="107">
        <f t="shared" si="9"/>
        <v>5</v>
      </c>
      <c r="L33" s="100">
        <f t="shared" si="16"/>
        <v>5</v>
      </c>
      <c r="M33" s="108">
        <f>if($H$4=TRUE, if(L33=1, 'Design system reference'!D$5, if(L33=2, 'Design system reference'!D$6, if(L33=3, 'Design system reference'!D$7, if(L33=4, 'Design system reference'!D$8, if(L33=5, 'Design system reference'!D$9, "N/A"))))), if(ISNUMBER($H$7), $H$7, 0))</f>
        <v>0.95</v>
      </c>
      <c r="N33" s="108">
        <f>if(L33&lt;2, 'Design system reference'!$B$5, IF(L33&lt;3, 'Design system reference'!$B$6, IF(L33&lt;4, 'Design system reference'!$B$7, IF(L33&lt;5, 'Design system reference'!$B$8, 'Design system reference'!$B$9))))</f>
        <v>0.660019375</v>
      </c>
      <c r="O33" s="108">
        <f t="shared" si="8"/>
        <v>0.6270184063</v>
      </c>
      <c r="P33" s="106">
        <f t="shared" si="10"/>
        <v>2362548.139</v>
      </c>
      <c r="Q33" s="106">
        <f t="shared" si="11"/>
        <v>1432013.602</v>
      </c>
      <c r="R33" s="106">
        <f t="shared" si="12"/>
        <v>10763218.04</v>
      </c>
      <c r="S33" s="106">
        <f t="shared" si="13"/>
        <v>3396325.654</v>
      </c>
      <c r="T33" s="109">
        <f t="shared" si="15"/>
        <v>0.4506910702</v>
      </c>
      <c r="V33" s="110">
        <f t="shared" si="14"/>
        <v>4.352073211</v>
      </c>
    </row>
    <row r="34">
      <c r="C34" s="19"/>
    </row>
    <row r="35">
      <c r="C35" s="19"/>
      <c r="G35" s="111" t="s">
        <v>239</v>
      </c>
      <c r="H35" s="25"/>
      <c r="I35" s="25"/>
      <c r="J35" s="111" t="s">
        <v>240</v>
      </c>
      <c r="K35" s="25"/>
      <c r="L35" s="25"/>
      <c r="M35" s="25"/>
      <c r="N35" s="25"/>
      <c r="O35" s="25"/>
      <c r="P35" s="25"/>
      <c r="Q35" s="44" t="s">
        <v>241</v>
      </c>
      <c r="R35" s="2"/>
    </row>
    <row r="36" ht="51.75" customHeight="1">
      <c r="C36" s="19"/>
      <c r="G36" s="25"/>
      <c r="H36" s="25"/>
      <c r="I36" s="25"/>
      <c r="J36" s="112" t="s">
        <v>208</v>
      </c>
      <c r="K36" s="113"/>
      <c r="L36" s="112" t="s">
        <v>242</v>
      </c>
      <c r="M36" s="112" t="s">
        <v>243</v>
      </c>
      <c r="N36" s="112" t="s">
        <v>244</v>
      </c>
      <c r="O36" s="112" t="s">
        <v>245</v>
      </c>
      <c r="P36" s="112" t="s">
        <v>246</v>
      </c>
      <c r="Q36" s="114" t="s">
        <v>247</v>
      </c>
      <c r="R36" s="114" t="s">
        <v>248</v>
      </c>
    </row>
    <row r="37">
      <c r="C37" s="19"/>
      <c r="G37" s="111" t="s">
        <v>32</v>
      </c>
      <c r="H37" s="115">
        <f>sum('Knapsack reference'!D33)</f>
        <v>12</v>
      </c>
      <c r="I37" s="25"/>
      <c r="J37" s="116">
        <v>0.0</v>
      </c>
      <c r="K37" s="25"/>
      <c r="L37" s="29"/>
      <c r="M37" s="20"/>
      <c r="N37" s="20">
        <v>0.0</v>
      </c>
      <c r="O37" s="25"/>
      <c r="P37" s="25"/>
      <c r="Q37" s="2"/>
      <c r="R37" s="4">
        <v>0.0</v>
      </c>
    </row>
    <row r="38">
      <c r="C38" s="19"/>
      <c r="G38" s="111" t="s">
        <v>232</v>
      </c>
      <c r="H38" s="25">
        <f>sum(H21*5)</f>
        <v>375000</v>
      </c>
      <c r="I38" s="25"/>
      <c r="J38" s="116">
        <v>6.0</v>
      </c>
      <c r="K38" s="25"/>
      <c r="L38" s="29">
        <f t="shared" ref="L38:L47" si="17">sum($H$37*V24)</f>
        <v>39.09568435</v>
      </c>
      <c r="M38" s="117">
        <f t="shared" ref="M38:M47" si="18">sum(($B$20*L38)*0.5)</f>
        <v>147308971.2</v>
      </c>
      <c r="N38" s="117">
        <f t="shared" ref="N38:N47" si="19">sum(N37+M38)</f>
        <v>147308971.2</v>
      </c>
      <c r="O38" s="25"/>
      <c r="P38" s="25"/>
      <c r="Q38" s="96">
        <f t="shared" ref="Q38:Q47" si="20">sum($B$24)</f>
        <v>22607452.5</v>
      </c>
      <c r="R38" s="96">
        <f t="shared" ref="R38:R47" si="21">sum(R37+Q38)</f>
        <v>22607452.5</v>
      </c>
    </row>
    <row r="39">
      <c r="C39" s="19"/>
      <c r="G39" s="25"/>
      <c r="H39" s="25"/>
      <c r="I39" s="25"/>
      <c r="J39" s="116">
        <v>12.0</v>
      </c>
      <c r="K39" s="25"/>
      <c r="L39" s="29">
        <f t="shared" si="17"/>
        <v>39.45863908</v>
      </c>
      <c r="M39" s="117">
        <f t="shared" si="18"/>
        <v>148676551.5</v>
      </c>
      <c r="N39" s="117">
        <f t="shared" si="19"/>
        <v>295985522.6</v>
      </c>
      <c r="O39" s="117">
        <f>sum(M38+M39)</f>
        <v>295985522.6</v>
      </c>
      <c r="P39" s="118">
        <f>sum((O39-$B$24)/$H$38)</f>
        <v>729.008187</v>
      </c>
      <c r="Q39" s="96">
        <f t="shared" si="20"/>
        <v>22607452.5</v>
      </c>
      <c r="R39" s="96">
        <f t="shared" si="21"/>
        <v>45214905</v>
      </c>
    </row>
    <row r="40">
      <c r="C40" s="19"/>
      <c r="G40" s="24" t="s">
        <v>249</v>
      </c>
      <c r="H40" s="25"/>
      <c r="I40" s="25"/>
      <c r="J40" s="116">
        <v>18.0</v>
      </c>
      <c r="K40" s="25"/>
      <c r="L40" s="29">
        <f t="shared" si="17"/>
        <v>44.21790481</v>
      </c>
      <c r="M40" s="117">
        <f t="shared" si="18"/>
        <v>166609030.4</v>
      </c>
      <c r="N40" s="117">
        <f t="shared" si="19"/>
        <v>462594553</v>
      </c>
      <c r="O40" s="25"/>
      <c r="P40" s="25"/>
      <c r="Q40" s="96">
        <f t="shared" si="20"/>
        <v>22607452.5</v>
      </c>
      <c r="R40" s="96">
        <f t="shared" si="21"/>
        <v>67822357.5</v>
      </c>
    </row>
    <row r="41">
      <c r="C41" s="19"/>
      <c r="G41" s="25"/>
      <c r="H41" s="25"/>
      <c r="I41" s="25"/>
      <c r="J41" s="116">
        <v>24.0</v>
      </c>
      <c r="K41" s="25"/>
      <c r="L41" s="29">
        <f t="shared" si="17"/>
        <v>47.31400485</v>
      </c>
      <c r="M41" s="117">
        <f t="shared" si="18"/>
        <v>178274852.9</v>
      </c>
      <c r="N41" s="117">
        <f t="shared" si="19"/>
        <v>640869405.9</v>
      </c>
      <c r="O41" s="117">
        <f>sum(M40+M41)</f>
        <v>344883883.3</v>
      </c>
      <c r="P41" s="118">
        <f>sum((O41-$B$24)/$H$38)</f>
        <v>859.4038155</v>
      </c>
      <c r="Q41" s="96">
        <f t="shared" si="20"/>
        <v>22607452.5</v>
      </c>
      <c r="R41" s="96">
        <f t="shared" si="21"/>
        <v>90429810</v>
      </c>
    </row>
    <row r="42">
      <c r="C42" s="19"/>
      <c r="G42" s="25"/>
      <c r="H42" s="25"/>
      <c r="I42" s="25"/>
      <c r="J42" s="116">
        <v>30.0</v>
      </c>
      <c r="K42" s="25"/>
      <c r="L42" s="29">
        <f t="shared" si="17"/>
        <v>50.41010489</v>
      </c>
      <c r="M42" s="117">
        <f t="shared" si="18"/>
        <v>189940675.3</v>
      </c>
      <c r="N42" s="117">
        <f t="shared" si="19"/>
        <v>830810081.2</v>
      </c>
      <c r="O42" s="25"/>
      <c r="P42" s="25"/>
      <c r="Q42" s="96">
        <f t="shared" si="20"/>
        <v>22607452.5</v>
      </c>
      <c r="R42" s="96">
        <f t="shared" si="21"/>
        <v>113037262.5</v>
      </c>
    </row>
    <row r="43">
      <c r="C43" s="19"/>
      <c r="G43" s="25"/>
      <c r="H43" s="25"/>
      <c r="I43" s="25"/>
      <c r="J43" s="116">
        <v>36.0</v>
      </c>
      <c r="K43" s="25"/>
      <c r="L43" s="29">
        <f t="shared" si="17"/>
        <v>50.77305962</v>
      </c>
      <c r="M43" s="117">
        <f t="shared" si="18"/>
        <v>191308255.6</v>
      </c>
      <c r="N43" s="117">
        <f t="shared" si="19"/>
        <v>1022118337</v>
      </c>
      <c r="O43" s="117">
        <f>sum(M42+M43)</f>
        <v>381248930.9</v>
      </c>
      <c r="P43" s="118">
        <f>sum((O43-$B$24)/$H$38)</f>
        <v>956.3772757</v>
      </c>
      <c r="Q43" s="96">
        <f t="shared" si="20"/>
        <v>22607452.5</v>
      </c>
      <c r="R43" s="96">
        <f t="shared" si="21"/>
        <v>135644715</v>
      </c>
    </row>
    <row r="44">
      <c r="C44" s="19"/>
      <c r="G44" s="25"/>
      <c r="H44" s="25"/>
      <c r="I44" s="25"/>
      <c r="J44" s="116">
        <v>42.0</v>
      </c>
      <c r="K44" s="25"/>
      <c r="L44" s="29">
        <f t="shared" si="17"/>
        <v>51.13601434</v>
      </c>
      <c r="M44" s="117">
        <f t="shared" si="18"/>
        <v>192675835.9</v>
      </c>
      <c r="N44" s="117">
        <f t="shared" si="19"/>
        <v>1214794173</v>
      </c>
      <c r="O44" s="25"/>
      <c r="P44" s="25"/>
      <c r="Q44" s="96">
        <f t="shared" si="20"/>
        <v>22607452.5</v>
      </c>
      <c r="R44" s="96">
        <f t="shared" si="21"/>
        <v>158252167.5</v>
      </c>
    </row>
    <row r="45">
      <c r="C45" s="19"/>
      <c r="G45" s="25"/>
      <c r="H45" s="25"/>
      <c r="I45" s="25"/>
      <c r="J45" s="116">
        <v>48.0</v>
      </c>
      <c r="K45" s="25"/>
      <c r="L45" s="29">
        <f t="shared" si="17"/>
        <v>51.49896907</v>
      </c>
      <c r="M45" s="117">
        <f t="shared" si="18"/>
        <v>194043416.2</v>
      </c>
      <c r="N45" s="117">
        <f t="shared" si="19"/>
        <v>1408837589</v>
      </c>
      <c r="O45" s="117">
        <f>sum(M44+M45)</f>
        <v>386719252.1</v>
      </c>
      <c r="P45" s="118">
        <f>sum((O45-$B$24)/$H$38)</f>
        <v>970.9647988</v>
      </c>
      <c r="Q45" s="96">
        <f t="shared" si="20"/>
        <v>22607452.5</v>
      </c>
      <c r="R45" s="96">
        <f t="shared" si="21"/>
        <v>180859620</v>
      </c>
    </row>
    <row r="46">
      <c r="C46" s="19"/>
      <c r="G46" s="25"/>
      <c r="H46" s="25"/>
      <c r="I46" s="25"/>
      <c r="J46" s="116">
        <v>54.0</v>
      </c>
      <c r="K46" s="25"/>
      <c r="L46" s="29">
        <f t="shared" si="17"/>
        <v>51.8619238</v>
      </c>
      <c r="M46" s="117">
        <f t="shared" si="18"/>
        <v>195410996.5</v>
      </c>
      <c r="N46" s="117">
        <f t="shared" si="19"/>
        <v>1604248585</v>
      </c>
      <c r="O46" s="25"/>
      <c r="P46" s="25"/>
      <c r="Q46" s="96">
        <f t="shared" si="20"/>
        <v>22607452.5</v>
      </c>
      <c r="R46" s="96">
        <f t="shared" si="21"/>
        <v>203467072.5</v>
      </c>
    </row>
    <row r="47">
      <c r="C47" s="19"/>
      <c r="G47" s="25"/>
      <c r="H47" s="25"/>
      <c r="I47" s="25"/>
      <c r="J47" s="116">
        <v>60.0</v>
      </c>
      <c r="K47" s="25"/>
      <c r="L47" s="29">
        <f t="shared" si="17"/>
        <v>52.22487853</v>
      </c>
      <c r="M47" s="117">
        <f t="shared" si="18"/>
        <v>196778576.8</v>
      </c>
      <c r="N47" s="117">
        <f t="shared" si="19"/>
        <v>1801027162</v>
      </c>
      <c r="O47" s="117">
        <f>sum(M46+M47)</f>
        <v>392189573.2</v>
      </c>
      <c r="P47" s="118">
        <f>sum((O47-$B$24)/$H$38)</f>
        <v>985.552322</v>
      </c>
      <c r="Q47" s="96">
        <f t="shared" si="20"/>
        <v>22607452.5</v>
      </c>
      <c r="R47" s="96">
        <f t="shared" si="21"/>
        <v>226074525</v>
      </c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  <row r="1001">
      <c r="C1001" s="19"/>
    </row>
    <row r="1002">
      <c r="C1002" s="19"/>
    </row>
    <row r="1003">
      <c r="C1003" s="19"/>
    </row>
    <row r="1004">
      <c r="C1004" s="19"/>
    </row>
    <row r="1005">
      <c r="C100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18.13"/>
    <col customWidth="1" min="3" max="3" width="15.13"/>
  </cols>
  <sheetData>
    <row r="2">
      <c r="A2" s="9"/>
      <c r="B2" s="9"/>
      <c r="C2" s="9"/>
      <c r="D2" s="119"/>
      <c r="E2" s="119"/>
      <c r="F2" s="119" t="s">
        <v>250</v>
      </c>
    </row>
    <row r="3">
      <c r="A3" s="9"/>
      <c r="B3" s="9" t="s">
        <v>205</v>
      </c>
      <c r="C3" s="9" t="s">
        <v>251</v>
      </c>
      <c r="D3" s="9" t="s">
        <v>252</v>
      </c>
      <c r="E3" s="51"/>
      <c r="F3" s="51">
        <v>0.2</v>
      </c>
      <c r="G3" s="51">
        <v>0.4</v>
      </c>
      <c r="H3" s="51">
        <v>0.6</v>
      </c>
      <c r="I3" s="51">
        <v>0.8</v>
      </c>
      <c r="J3" s="51">
        <v>1.0</v>
      </c>
    </row>
    <row r="4">
      <c r="A4" s="120"/>
    </row>
    <row r="5">
      <c r="A5" s="67" t="s">
        <v>253</v>
      </c>
      <c r="B5" s="38">
        <f>sum(B7*0.286)</f>
        <v>0.13209625</v>
      </c>
      <c r="C5" s="28">
        <v>4.0</v>
      </c>
      <c r="D5" s="15">
        <v>0.1</v>
      </c>
      <c r="F5" s="38">
        <f>sum(F3*B5)</f>
        <v>0.02641925</v>
      </c>
      <c r="G5" s="38">
        <f>sum(G3*B5)</f>
        <v>0.0528385</v>
      </c>
      <c r="H5" s="38">
        <f>sum(H3*B5)</f>
        <v>0.07925775</v>
      </c>
      <c r="I5" s="38">
        <f>sum(I3*B5)</f>
        <v>0.105677</v>
      </c>
      <c r="J5" s="38">
        <f>sum(J3*B5)</f>
        <v>0.13209625</v>
      </c>
    </row>
    <row r="6">
      <c r="A6" s="67" t="s">
        <v>254</v>
      </c>
      <c r="B6" s="38">
        <f>sum(B7*0.571)</f>
        <v>0.263730625</v>
      </c>
      <c r="C6" s="28">
        <v>3.0</v>
      </c>
      <c r="D6" s="15">
        <v>0.3</v>
      </c>
      <c r="F6" s="38">
        <f>sum(F3*B6)</f>
        <v>0.052746125</v>
      </c>
      <c r="G6" s="38">
        <f>sum(G3*B6)</f>
        <v>0.10549225</v>
      </c>
      <c r="H6" s="38">
        <f>sum(H3*B6)</f>
        <v>0.158238375</v>
      </c>
      <c r="I6" s="38">
        <f>sum(I3*B6)</f>
        <v>0.2109845</v>
      </c>
      <c r="J6" s="38">
        <f>sum(J3*B6)</f>
        <v>0.263730625</v>
      </c>
    </row>
    <row r="7">
      <c r="A7" s="67" t="s">
        <v>255</v>
      </c>
      <c r="B7" s="38">
        <f>sum(((B11*'Other references'!B3*10)+(B12*'Other references'!B4*10))/10)</f>
        <v>0.461875</v>
      </c>
      <c r="C7" s="28">
        <v>2.0</v>
      </c>
      <c r="D7" s="15">
        <v>0.5</v>
      </c>
      <c r="F7" s="38">
        <f>sum(F3*B7)</f>
        <v>0.092375</v>
      </c>
      <c r="G7" s="38">
        <f>sum(G3*B7)</f>
        <v>0.18475</v>
      </c>
      <c r="H7" s="38">
        <f>sum(H3*B7)</f>
        <v>0.277125</v>
      </c>
      <c r="I7" s="38">
        <f>sum(I3*B7)</f>
        <v>0.3695</v>
      </c>
      <c r="J7" s="38">
        <f>sum(J3*B7)</f>
        <v>0.461875</v>
      </c>
    </row>
    <row r="8">
      <c r="A8" s="67" t="s">
        <v>256</v>
      </c>
      <c r="B8" s="38">
        <f>sum(B7*1.286)</f>
        <v>0.59397125</v>
      </c>
      <c r="C8" s="28">
        <v>1.5</v>
      </c>
      <c r="D8" s="15">
        <v>0.8</v>
      </c>
      <c r="F8" s="38">
        <f>sum(F3*B8)</f>
        <v>0.11879425</v>
      </c>
      <c r="G8" s="38">
        <f>sum(G3*B8)</f>
        <v>0.2375885</v>
      </c>
      <c r="H8" s="38">
        <f>sum(H3*B8)</f>
        <v>0.35638275</v>
      </c>
      <c r="I8" s="38">
        <f>sum(I3*B8)</f>
        <v>0.475177</v>
      </c>
      <c r="J8" s="38">
        <f>sum(J3*B8)</f>
        <v>0.59397125</v>
      </c>
    </row>
    <row r="9">
      <c r="A9" s="67" t="s">
        <v>257</v>
      </c>
      <c r="B9" s="38">
        <f>sum(B7*1.429)</f>
        <v>0.660019375</v>
      </c>
      <c r="C9" s="28">
        <v>1.0</v>
      </c>
      <c r="D9" s="15">
        <v>0.95</v>
      </c>
      <c r="F9" s="38">
        <f>sum(F3*B9)</f>
        <v>0.132003875</v>
      </c>
      <c r="G9" s="38">
        <f>sum(G3*B9)</f>
        <v>0.26400775</v>
      </c>
      <c r="H9" s="38">
        <f>sum(H3*B9)</f>
        <v>0.396011625</v>
      </c>
      <c r="I9" s="38">
        <f>sum(I3*B9)</f>
        <v>0.5280155</v>
      </c>
      <c r="J9" s="38">
        <f>sum(J3*B9)</f>
        <v>0.660019375</v>
      </c>
    </row>
    <row r="11">
      <c r="A11" s="9" t="s">
        <v>258</v>
      </c>
      <c r="B11" s="15">
        <f>sum(38%/0.8)</f>
        <v>0.475</v>
      </c>
      <c r="C11" s="121" t="s">
        <v>259</v>
      </c>
    </row>
    <row r="12">
      <c r="A12" s="9" t="s">
        <v>260</v>
      </c>
      <c r="B12" s="15">
        <f>sum(31%/0.8)</f>
        <v>0.3875</v>
      </c>
      <c r="C12" s="121" t="s">
        <v>259</v>
      </c>
    </row>
    <row r="14">
      <c r="A14" s="33" t="s">
        <v>43</v>
      </c>
      <c r="B14" s="33" t="s">
        <v>44</v>
      </c>
      <c r="C14" s="33" t="s">
        <v>45</v>
      </c>
    </row>
    <row r="15">
      <c r="A15" s="34">
        <v>1.0</v>
      </c>
      <c r="B15" s="35" t="s">
        <v>51</v>
      </c>
      <c r="C15" s="36" t="s">
        <v>52</v>
      </c>
    </row>
    <row r="16">
      <c r="A16" s="34">
        <v>2.0</v>
      </c>
      <c r="B16" s="35" t="s">
        <v>53</v>
      </c>
      <c r="C16" s="36" t="s">
        <v>54</v>
      </c>
    </row>
    <row r="17">
      <c r="A17" s="34">
        <v>3.0</v>
      </c>
      <c r="B17" s="35" t="s">
        <v>55</v>
      </c>
      <c r="C17" s="36" t="s">
        <v>56</v>
      </c>
    </row>
    <row r="18">
      <c r="A18" s="34">
        <v>4.0</v>
      </c>
      <c r="B18" s="35" t="s">
        <v>57</v>
      </c>
      <c r="C18" s="36" t="s">
        <v>58</v>
      </c>
    </row>
    <row r="19">
      <c r="A19" s="34">
        <v>5.0</v>
      </c>
      <c r="B19" s="35" t="s">
        <v>59</v>
      </c>
      <c r="C19" s="36" t="s">
        <v>60</v>
      </c>
    </row>
    <row r="20">
      <c r="A20" s="15"/>
    </row>
  </sheetData>
  <mergeCells count="1">
    <mergeCell ref="F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22.0"/>
    <col customWidth="1" min="3" max="3" width="31.5"/>
  </cols>
  <sheetData>
    <row r="1">
      <c r="A1" s="9"/>
      <c r="B1" s="9"/>
      <c r="C1" s="9"/>
    </row>
    <row r="2">
      <c r="A2" s="9" t="s">
        <v>261</v>
      </c>
      <c r="B2" s="9" t="s">
        <v>262</v>
      </c>
      <c r="C2" s="9" t="s">
        <v>33</v>
      </c>
    </row>
    <row r="3">
      <c r="A3" s="28" t="s">
        <v>263</v>
      </c>
      <c r="B3" s="15">
        <v>0.15</v>
      </c>
      <c r="C3" s="121" t="s">
        <v>264</v>
      </c>
    </row>
    <row r="4">
      <c r="A4" s="28" t="s">
        <v>265</v>
      </c>
      <c r="B4" s="64">
        <v>150000.0</v>
      </c>
    </row>
    <row r="5">
      <c r="A5" s="28" t="s">
        <v>266</v>
      </c>
      <c r="B5" s="62">
        <f>sum(B4*5)</f>
        <v>750000</v>
      </c>
    </row>
    <row r="7">
      <c r="A7" s="9" t="s">
        <v>267</v>
      </c>
    </row>
    <row r="8">
      <c r="A8" s="119" t="s">
        <v>268</v>
      </c>
      <c r="B8" s="119" t="s">
        <v>269</v>
      </c>
      <c r="C8" s="119" t="s">
        <v>270</v>
      </c>
      <c r="D8" s="119" t="s">
        <v>271</v>
      </c>
      <c r="E8" s="119" t="s">
        <v>272</v>
      </c>
    </row>
    <row r="9">
      <c r="A9" s="28" t="s">
        <v>273</v>
      </c>
      <c r="B9" s="28">
        <v>12.0</v>
      </c>
      <c r="C9" s="28">
        <v>6.0</v>
      </c>
      <c r="D9" s="28">
        <v>6.0</v>
      </c>
      <c r="E9" s="38">
        <f t="shared" ref="E9:E12" si="1">sum(D9/B9)</f>
        <v>0.5</v>
      </c>
    </row>
    <row r="10">
      <c r="A10" s="28" t="s">
        <v>274</v>
      </c>
      <c r="B10" s="28">
        <v>12.0</v>
      </c>
      <c r="C10" s="28">
        <v>6.0</v>
      </c>
      <c r="D10" s="28">
        <v>6.0</v>
      </c>
      <c r="E10" s="38">
        <f t="shared" si="1"/>
        <v>0.5</v>
      </c>
    </row>
    <row r="11">
      <c r="A11" s="28" t="s">
        <v>275</v>
      </c>
      <c r="B11" s="28">
        <v>12.0</v>
      </c>
      <c r="C11" s="28">
        <v>8.0</v>
      </c>
      <c r="D11" s="28">
        <v>4.0</v>
      </c>
      <c r="E11" s="15">
        <f t="shared" si="1"/>
        <v>0.3333333333</v>
      </c>
    </row>
    <row r="12">
      <c r="A12" s="28" t="s">
        <v>276</v>
      </c>
      <c r="B12" s="28">
        <v>12.0</v>
      </c>
      <c r="C12" s="28">
        <v>10.0</v>
      </c>
      <c r="D12" s="28">
        <v>2.0</v>
      </c>
      <c r="E12" s="15">
        <f t="shared" si="1"/>
        <v>0.1666666667</v>
      </c>
    </row>
    <row r="13">
      <c r="A13" s="9"/>
    </row>
    <row r="14">
      <c r="A14" s="9" t="s">
        <v>277</v>
      </c>
    </row>
    <row r="15">
      <c r="A15" s="41" t="s">
        <v>61</v>
      </c>
      <c r="B15" s="42" t="s">
        <v>62</v>
      </c>
      <c r="C15" s="43" t="s">
        <v>63</v>
      </c>
    </row>
    <row r="16">
      <c r="A16" s="44" t="s">
        <v>64</v>
      </c>
      <c r="B16" s="45" t="s">
        <v>65</v>
      </c>
      <c r="C16" s="46" t="s">
        <v>66</v>
      </c>
    </row>
    <row r="17">
      <c r="A17" s="44" t="s">
        <v>67</v>
      </c>
      <c r="B17" s="45" t="s">
        <v>68</v>
      </c>
      <c r="C17" s="46" t="s">
        <v>69</v>
      </c>
    </row>
    <row r="18">
      <c r="A18" s="44" t="s">
        <v>70</v>
      </c>
      <c r="B18" s="45" t="s">
        <v>71</v>
      </c>
      <c r="C18" s="46" t="s">
        <v>72</v>
      </c>
    </row>
    <row r="19">
      <c r="A19" s="44" t="s">
        <v>73</v>
      </c>
      <c r="B19" s="45" t="s">
        <v>74</v>
      </c>
      <c r="C19" s="46" t="s">
        <v>75</v>
      </c>
    </row>
    <row r="20">
      <c r="A20" s="44" t="s">
        <v>76</v>
      </c>
      <c r="B20" s="45" t="s">
        <v>77</v>
      </c>
      <c r="C20" s="46" t="s">
        <v>78</v>
      </c>
    </row>
    <row r="21">
      <c r="A21" s="44" t="s">
        <v>79</v>
      </c>
      <c r="B21" s="45" t="s">
        <v>80</v>
      </c>
      <c r="C21" s="46" t="s">
        <v>81</v>
      </c>
    </row>
    <row r="22">
      <c r="A22" s="44" t="s">
        <v>82</v>
      </c>
      <c r="B22" s="45" t="s">
        <v>83</v>
      </c>
      <c r="C22" s="46" t="s">
        <v>84</v>
      </c>
    </row>
    <row r="23">
      <c r="A23" s="44" t="s">
        <v>85</v>
      </c>
      <c r="B23" s="45" t="s">
        <v>86</v>
      </c>
      <c r="C23" s="46" t="s">
        <v>87</v>
      </c>
    </row>
    <row r="24">
      <c r="A24" s="44" t="s">
        <v>88</v>
      </c>
      <c r="B24" s="45" t="s">
        <v>89</v>
      </c>
      <c r="C24" s="46" t="s">
        <v>90</v>
      </c>
    </row>
    <row r="25">
      <c r="A25" s="44" t="s">
        <v>91</v>
      </c>
      <c r="B25" s="45" t="s">
        <v>92</v>
      </c>
      <c r="C25" s="46" t="s">
        <v>93</v>
      </c>
    </row>
    <row r="27">
      <c r="A27" s="17" t="s">
        <v>94</v>
      </c>
    </row>
    <row r="28">
      <c r="A28" s="47"/>
      <c r="B28" s="48" t="s">
        <v>95</v>
      </c>
      <c r="C28" s="48" t="s">
        <v>96</v>
      </c>
      <c r="D28" s="48" t="s">
        <v>14</v>
      </c>
    </row>
    <row r="29">
      <c r="A29" s="28" t="s">
        <v>97</v>
      </c>
      <c r="B29" s="28">
        <v>10.0</v>
      </c>
      <c r="C29" s="28">
        <v>1.0</v>
      </c>
      <c r="D29" s="15">
        <f t="shared" ref="D29:D33" si="2">sum(B29/C29)</f>
        <v>10</v>
      </c>
    </row>
    <row r="30">
      <c r="A30" s="28" t="s">
        <v>98</v>
      </c>
      <c r="B30" s="28">
        <v>25.0</v>
      </c>
      <c r="C30" s="28">
        <v>1.0</v>
      </c>
      <c r="D30" s="15">
        <f t="shared" si="2"/>
        <v>25</v>
      </c>
    </row>
    <row r="31">
      <c r="A31" s="28" t="s">
        <v>99</v>
      </c>
      <c r="B31" s="28">
        <v>15.0</v>
      </c>
      <c r="C31" s="28">
        <v>2.0</v>
      </c>
      <c r="D31" s="15">
        <f t="shared" si="2"/>
        <v>7.5</v>
      </c>
    </row>
    <row r="32">
      <c r="A32" s="28" t="s">
        <v>100</v>
      </c>
      <c r="B32" s="28">
        <v>10.0</v>
      </c>
      <c r="C32" s="28">
        <v>1.0</v>
      </c>
      <c r="D32" s="15">
        <f t="shared" si="2"/>
        <v>10</v>
      </c>
    </row>
    <row r="33">
      <c r="A33" s="49" t="s">
        <v>101</v>
      </c>
      <c r="B33" s="49">
        <f t="shared" ref="B33:C33" si="3">sum(B29:B32)</f>
        <v>60</v>
      </c>
      <c r="C33" s="49">
        <f t="shared" si="3"/>
        <v>5</v>
      </c>
      <c r="D33" s="50">
        <f t="shared" si="2"/>
        <v>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2">
      <c r="A2" s="9" t="s">
        <v>278</v>
      </c>
      <c r="B2" s="15">
        <v>0.2</v>
      </c>
      <c r="C2" s="121" t="s">
        <v>279</v>
      </c>
    </row>
    <row r="3">
      <c r="A3" s="9" t="s">
        <v>280</v>
      </c>
      <c r="B3" s="15">
        <v>0.85</v>
      </c>
    </row>
    <row r="4">
      <c r="A4" s="9" t="s">
        <v>281</v>
      </c>
      <c r="B4" s="15">
        <v>0.15</v>
      </c>
    </row>
    <row r="6">
      <c r="A6" s="9" t="s">
        <v>282</v>
      </c>
      <c r="B6" s="28">
        <v>3.0</v>
      </c>
      <c r="C6" s="121" t="s">
        <v>283</v>
      </c>
    </row>
    <row r="8">
      <c r="A8" s="9" t="s">
        <v>284</v>
      </c>
      <c r="B8" s="122">
        <v>116576.0</v>
      </c>
      <c r="C8" s="121" t="s">
        <v>285</v>
      </c>
    </row>
    <row r="9">
      <c r="A9" s="9" t="s">
        <v>286</v>
      </c>
      <c r="B9" s="122">
        <v>79854.0</v>
      </c>
      <c r="C9" s="121" t="s">
        <v>285</v>
      </c>
    </row>
    <row r="10">
      <c r="A10" s="9" t="s">
        <v>11</v>
      </c>
      <c r="B10" s="28">
        <v>1.43</v>
      </c>
      <c r="C10" s="121" t="s">
        <v>287</v>
      </c>
    </row>
    <row r="12">
      <c r="A12" s="9" t="s">
        <v>288</v>
      </c>
      <c r="B12" s="28">
        <v>12.0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4" max="4" width="25.63"/>
    <col customWidth="1" min="7" max="7" width="28.0"/>
    <col customWidth="1" hidden="1" min="11" max="11" width="16.13"/>
    <col customWidth="1" min="14" max="14" width="16.63"/>
    <col customWidth="1" min="15" max="15" width="15.38"/>
    <col customWidth="1" min="16" max="16" width="15.5"/>
    <col customWidth="1" min="17" max="17" width="19.75"/>
    <col customWidth="1" min="18" max="18" width="13.63"/>
    <col customWidth="1" min="20" max="20" width="25.38"/>
    <col customWidth="1" hidden="1" min="21" max="21" width="14.13"/>
    <col customWidth="1" min="24" max="24" width="15.25"/>
    <col customWidth="1" min="25" max="25" width="15.38"/>
    <col customWidth="1" min="26" max="26" width="15.0"/>
    <col customWidth="1" min="27" max="27" width="20.13"/>
    <col customWidth="1" min="28" max="28" width="22.25"/>
  </cols>
  <sheetData>
    <row r="1">
      <c r="A1" s="9" t="s">
        <v>289</v>
      </c>
      <c r="D1" s="84"/>
    </row>
    <row r="2">
      <c r="K2" s="84"/>
      <c r="L2" s="84"/>
    </row>
    <row r="3">
      <c r="A3" s="9" t="s">
        <v>197</v>
      </c>
      <c r="D3" s="9" t="s">
        <v>198</v>
      </c>
      <c r="G3" s="3" t="s">
        <v>199</v>
      </c>
      <c r="H3" s="2"/>
      <c r="I3" s="2"/>
      <c r="J3" s="3" t="s">
        <v>200</v>
      </c>
      <c r="K3" s="2"/>
      <c r="L3" s="2"/>
      <c r="M3" s="2"/>
      <c r="N3" s="2"/>
      <c r="O3" s="2"/>
      <c r="P3" s="2"/>
      <c r="Q3" s="2"/>
      <c r="R3" s="2"/>
    </row>
    <row r="4">
      <c r="G4" s="3" t="s">
        <v>290</v>
      </c>
      <c r="H4" s="4" t="b">
        <v>1</v>
      </c>
      <c r="I4" s="4"/>
      <c r="J4" s="85" t="s">
        <v>202</v>
      </c>
      <c r="K4" s="86"/>
      <c r="L4" s="86"/>
      <c r="M4" s="87">
        <v>12.0</v>
      </c>
      <c r="N4" s="2"/>
      <c r="O4" s="2"/>
      <c r="P4" s="2"/>
      <c r="Q4" s="2"/>
      <c r="R4" s="2"/>
    </row>
    <row r="5">
      <c r="A5" s="9" t="s">
        <v>203</v>
      </c>
      <c r="B5" s="28">
        <v>1000.0</v>
      </c>
      <c r="D5" s="9" t="s">
        <v>204</v>
      </c>
      <c r="E5" s="28">
        <v>1.0</v>
      </c>
      <c r="G5" s="3" t="s">
        <v>205</v>
      </c>
      <c r="H5" s="93">
        <f>if(E5=1, 'Design system reference'!B5, if(E5=2, 'Design system reference'!B6, if(E5=3, 'Design system reference'!B7, if(E5=4, 'Design system reference'!B8, 'Design system reference'!B9))))</f>
        <v>0.13209625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9" t="s">
        <v>206</v>
      </c>
      <c r="B6" s="66">
        <f>sum(B5*'Other references'!B2)</f>
        <v>200</v>
      </c>
      <c r="D6" s="9" t="s">
        <v>203</v>
      </c>
      <c r="E6" s="28">
        <v>12.0</v>
      </c>
      <c r="G6" s="3" t="s">
        <v>207</v>
      </c>
      <c r="H6" s="93">
        <f>if(H4=TRUE, if(E5=1, 'Design system reference'!D5, if(E5=2, 'Design system reference'!D6, if(E5=3, 'Design system reference'!D7, if(E5=4, 'Design system reference'!D8, if(E5=5, 'Design system reference'!D9, "N/A"))))), "N/A")</f>
        <v>0.1</v>
      </c>
      <c r="I6" s="2"/>
      <c r="J6" s="4" t="s">
        <v>208</v>
      </c>
      <c r="K6" s="4" t="s">
        <v>209</v>
      </c>
      <c r="L6" s="4" t="s">
        <v>133</v>
      </c>
      <c r="M6" s="4" t="s">
        <v>210</v>
      </c>
      <c r="N6" s="4" t="s">
        <v>205</v>
      </c>
      <c r="O6" s="4" t="s">
        <v>211</v>
      </c>
      <c r="P6" s="4" t="s">
        <v>212</v>
      </c>
      <c r="Q6" s="4" t="s">
        <v>213</v>
      </c>
      <c r="R6" s="4" t="s">
        <v>214</v>
      </c>
    </row>
    <row r="7">
      <c r="A7" s="9" t="s">
        <v>4</v>
      </c>
      <c r="B7" s="66">
        <f>sum(B6*'Other references'!B3)</f>
        <v>170</v>
      </c>
      <c r="D7" s="9" t="s">
        <v>4</v>
      </c>
      <c r="E7" s="66">
        <f>sum(E6-E8)</f>
        <v>10</v>
      </c>
      <c r="G7" s="3" t="s">
        <v>215</v>
      </c>
      <c r="H7" s="7"/>
      <c r="I7" s="2"/>
      <c r="J7" s="4">
        <v>0.0</v>
      </c>
      <c r="K7" s="60">
        <f>sum(E5)</f>
        <v>1</v>
      </c>
      <c r="L7" s="94">
        <f t="shared" ref="L7:L17" si="1">min(5,(FLOOR(K7,1)))</f>
        <v>1</v>
      </c>
      <c r="M7" s="95">
        <f>if($H$4=TRUE, if(L7=1, 'Design system reference'!$D$5, if(L7=2, 'Design system reference'!$D$6, if(L7=3, 'Design system reference'!$D$7, if(L7=4, 'Design system reference'!$D$8, if(L7=5, 'Design system reference'!$D$9, "N/A"))))), if(ISNUMBER(H7), H7, 0))</f>
        <v>0.1</v>
      </c>
      <c r="N7" s="95">
        <f>if(K7&lt;2, 'Design system reference'!$B$5, IF(K7&lt;3, 'Design system reference'!$B$6, IF(K7&lt;4, 'Design system reference'!$B$7, IF(K7&lt;5, 'Design system reference'!$B$8, 'Design system reference'!$B$9))))</f>
        <v>0.13209625</v>
      </c>
      <c r="O7" s="95">
        <f t="shared" ref="O7:O17" si="2">sum(N7*M7)</f>
        <v>0.013209625</v>
      </c>
      <c r="P7" s="2"/>
      <c r="Q7" s="2"/>
      <c r="R7" s="4">
        <v>0.0</v>
      </c>
    </row>
    <row r="8">
      <c r="A8" s="9" t="s">
        <v>6</v>
      </c>
      <c r="B8" s="66">
        <f>sum(B6*'Other references'!B4)</f>
        <v>30</v>
      </c>
      <c r="D8" s="9" t="s">
        <v>6</v>
      </c>
      <c r="E8" s="66">
        <f>if(E5=1, ROUNDDOWN(E6/(1+'Design system reference'!C5),0), if(E5=2, ROUNDDOWN(E6/(1+'Design system reference'!C6),0), if(E5=3, ROUNDDOWN(E6/(1+'Design system reference'!C7),0), if(E5=4, ROUNDDOWN(E6/(1+'Design system reference'!C8),0), if(E5=5, ROUNDDOWN(E6/(1+'Design system reference'!C9),0), FALSE )))))</f>
        <v>2</v>
      </c>
      <c r="G8" s="3" t="s">
        <v>211</v>
      </c>
      <c r="H8" s="95">
        <f>if(isnumber(H7), H7*H5, H6*H5)</f>
        <v>0.013209625</v>
      </c>
      <c r="I8" s="2"/>
      <c r="J8" s="4">
        <v>6.0</v>
      </c>
      <c r="K8" s="60">
        <f t="shared" ref="K8:K17" si="3">if(K7=5,K7, SUM(K7+((1/$M$4)*(J8-J7))))</f>
        <v>1.5</v>
      </c>
      <c r="L8" s="94">
        <f t="shared" si="1"/>
        <v>1</v>
      </c>
      <c r="M8" s="95">
        <f>if($H$4=TRUE, if(L8=1, 'Design system reference'!$D$5, if(L8=2, 'Design system reference'!$D$6, if(L8=3, 'Design system reference'!$D$7, if(L8=4, 'Design system reference'!$D$8, if(L8=5, 'Design system reference'!$D$9, "N/A"))))), if(ISNUMBER(H8), H8, 0))</f>
        <v>0.1</v>
      </c>
      <c r="N8" s="95">
        <f>if(K8&lt;2, 'Design system reference'!$B$5, IF(K8&lt;3, 'Design system reference'!$B$6, IF(K8&lt;4, 'Design system reference'!$B$7, IF(K8&lt;5, 'Design system reference'!$B$8, 'Design system reference'!$B$9))))</f>
        <v>0.13209625</v>
      </c>
      <c r="O8" s="95">
        <f t="shared" si="2"/>
        <v>0.013209625</v>
      </c>
      <c r="P8" s="6">
        <f t="shared" ref="P8:P17" si="4">sum(($B$20*O8)*0.5)</f>
        <v>203000.5343</v>
      </c>
      <c r="Q8" s="6">
        <f t="shared" ref="Q8:Q17" si="5">sum(P8-$E$11)</f>
        <v>-1692418.706</v>
      </c>
      <c r="R8" s="6">
        <f t="shared" ref="R8:R17" si="6">sum(R7+Q8)</f>
        <v>-1692418.706</v>
      </c>
    </row>
    <row r="9">
      <c r="A9" s="9" t="s">
        <v>216</v>
      </c>
      <c r="B9" s="75">
        <f>sum(B6/'Other references'!B12)</f>
        <v>16.66666667</v>
      </c>
      <c r="G9" s="2"/>
      <c r="H9" s="2"/>
      <c r="I9" s="2"/>
      <c r="J9" s="4">
        <v>12.0</v>
      </c>
      <c r="K9" s="60">
        <f t="shared" si="3"/>
        <v>2</v>
      </c>
      <c r="L9" s="94">
        <f t="shared" si="1"/>
        <v>2</v>
      </c>
      <c r="M9" s="95">
        <f>if($H$4=TRUE, if(L9=1, 'Design system reference'!$D$5, if(L9=2, 'Design system reference'!$D$6, if(L9=3, 'Design system reference'!$D$7, if(L9=4, 'Design system reference'!$D$8, if(L9=5, 'Design system reference'!$D$9, "N/A"))))), if(ISNUMBER(H9), H9, 0))</f>
        <v>0.3</v>
      </c>
      <c r="N9" s="95">
        <f>if(K9&lt;2, 'Design system reference'!$B$5, IF(K9&lt;3, 'Design system reference'!$B$6, IF(K9&lt;4, 'Design system reference'!$B$7, IF(K9&lt;5, 'Design system reference'!$B$8, 'Design system reference'!$B$9))))</f>
        <v>0.263730625</v>
      </c>
      <c r="O9" s="95">
        <f t="shared" si="2"/>
        <v>0.0791191875</v>
      </c>
      <c r="P9" s="6">
        <f t="shared" si="4"/>
        <v>1215873.83</v>
      </c>
      <c r="Q9" s="6">
        <f t="shared" si="5"/>
        <v>-679545.4103</v>
      </c>
      <c r="R9" s="6">
        <f t="shared" si="6"/>
        <v>-2371964.116</v>
      </c>
    </row>
    <row r="10">
      <c r="D10" s="9" t="s">
        <v>217</v>
      </c>
      <c r="E10" s="62">
        <f>sum((((B11*E7)+(B12*E8))/E6)*B13)</f>
        <v>157951.6033</v>
      </c>
      <c r="G10" s="3" t="s">
        <v>212</v>
      </c>
      <c r="H10" s="6">
        <f>sum(B20*H8)</f>
        <v>406001.0687</v>
      </c>
      <c r="I10" s="2"/>
      <c r="J10" s="4">
        <v>18.0</v>
      </c>
      <c r="K10" s="60">
        <f t="shared" si="3"/>
        <v>2.5</v>
      </c>
      <c r="L10" s="94">
        <f t="shared" si="1"/>
        <v>2</v>
      </c>
      <c r="M10" s="95">
        <f>if($H$4=TRUE, if(L10=1, 'Design system reference'!$D$5, if(L10=2, 'Design system reference'!$D$6, if(L10=3, 'Design system reference'!$D$7, if(L10=4, 'Design system reference'!$D$8, if(L10=5, 'Design system reference'!$D$9, "N/A"))))), if(ISNUMBER(H10), H10, 0))</f>
        <v>0.3</v>
      </c>
      <c r="N10" s="95">
        <f>if(K10&lt;2, 'Design system reference'!$B$5, IF(K10&lt;3, 'Design system reference'!$B$6, IF(K10&lt;4, 'Design system reference'!$B$7, IF(K10&lt;5, 'Design system reference'!$B$8, 'Design system reference'!$B$9))))</f>
        <v>0.263730625</v>
      </c>
      <c r="O10" s="95">
        <f t="shared" si="2"/>
        <v>0.0791191875</v>
      </c>
      <c r="P10" s="6">
        <f t="shared" si="4"/>
        <v>1215873.83</v>
      </c>
      <c r="Q10" s="6">
        <f t="shared" si="5"/>
        <v>-679545.4103</v>
      </c>
      <c r="R10" s="6">
        <f t="shared" si="6"/>
        <v>-3051509.526</v>
      </c>
    </row>
    <row r="11">
      <c r="A11" s="9" t="s">
        <v>218</v>
      </c>
      <c r="B11" s="62">
        <f>sum('Other references'!B8)</f>
        <v>116576</v>
      </c>
      <c r="D11" s="9" t="s">
        <v>220</v>
      </c>
      <c r="E11" s="62">
        <f>sum(E10*E6)</f>
        <v>1895419.24</v>
      </c>
      <c r="G11" s="3" t="s">
        <v>213</v>
      </c>
      <c r="H11" s="6">
        <f>sum(H10-E11)</f>
        <v>-1489418.171</v>
      </c>
      <c r="I11" s="2"/>
      <c r="J11" s="4">
        <v>24.0</v>
      </c>
      <c r="K11" s="60">
        <f t="shared" si="3"/>
        <v>3</v>
      </c>
      <c r="L11" s="94">
        <f t="shared" si="1"/>
        <v>3</v>
      </c>
      <c r="M11" s="95">
        <f>if($H$4=TRUE, if(L11=1, 'Design system reference'!$D$5, if(L11=2, 'Design system reference'!$D$6, if(L11=3, 'Design system reference'!$D$7, if(L11=4, 'Design system reference'!$D$8, if(L11=5, 'Design system reference'!$D$9, "N/A"))))), if(ISNUMBER(H11), H11, 0))</f>
        <v>0.5</v>
      </c>
      <c r="N11" s="95">
        <f>if(K11&lt;2, 'Design system reference'!$B$5, IF(K11&lt;3, 'Design system reference'!$B$6, IF(K11&lt;4, 'Design system reference'!$B$7, IF(K11&lt;5, 'Design system reference'!$B$8, 'Design system reference'!$B$9))))</f>
        <v>0.461875</v>
      </c>
      <c r="O11" s="95">
        <f t="shared" si="2"/>
        <v>0.2309375</v>
      </c>
      <c r="P11" s="6">
        <f t="shared" si="4"/>
        <v>3548960.39</v>
      </c>
      <c r="Q11" s="6">
        <f t="shared" si="5"/>
        <v>1653541.15</v>
      </c>
      <c r="R11" s="6">
        <f t="shared" si="6"/>
        <v>-1397968.376</v>
      </c>
    </row>
    <row r="12">
      <c r="A12" s="9" t="s">
        <v>221</v>
      </c>
      <c r="B12" s="62">
        <f>sum('Other references'!B9)</f>
        <v>79854</v>
      </c>
      <c r="G12" s="2"/>
      <c r="H12" s="2"/>
      <c r="I12" s="2"/>
      <c r="J12" s="4">
        <v>30.0</v>
      </c>
      <c r="K12" s="60">
        <f t="shared" si="3"/>
        <v>3.5</v>
      </c>
      <c r="L12" s="94">
        <f t="shared" si="1"/>
        <v>3</v>
      </c>
      <c r="M12" s="95">
        <f>if($H$4=TRUE, if(L12=1, 'Design system reference'!$D$5, if(L12=2, 'Design system reference'!$D$6, if(L12=3, 'Design system reference'!$D$7, if(L12=4, 'Design system reference'!$D$8, if(L12=5, 'Design system reference'!$D$9, "N/A"))))), if(ISNUMBER(H12), H12, 0))</f>
        <v>0.5</v>
      </c>
      <c r="N12" s="95">
        <f>if(K12&lt;2, 'Design system reference'!$B$5, IF(K12&lt;3, 'Design system reference'!$B$6, IF(K12&lt;4, 'Design system reference'!$B$7, IF(K12&lt;5, 'Design system reference'!$B$8, 'Design system reference'!$B$9))))</f>
        <v>0.461875</v>
      </c>
      <c r="O12" s="95">
        <f t="shared" si="2"/>
        <v>0.2309375</v>
      </c>
      <c r="P12" s="6">
        <f t="shared" si="4"/>
        <v>3548960.39</v>
      </c>
      <c r="Q12" s="6">
        <f t="shared" si="5"/>
        <v>1653541.15</v>
      </c>
      <c r="R12" s="6">
        <f t="shared" si="6"/>
        <v>255572.7746</v>
      </c>
    </row>
    <row r="13">
      <c r="A13" s="9" t="s">
        <v>11</v>
      </c>
      <c r="B13" s="66">
        <f>sum('Other references'!B10)</f>
        <v>1.43</v>
      </c>
      <c r="G13" s="2"/>
      <c r="H13" s="2"/>
      <c r="I13" s="2"/>
      <c r="J13" s="4">
        <v>36.0</v>
      </c>
      <c r="K13" s="60">
        <f t="shared" si="3"/>
        <v>4</v>
      </c>
      <c r="L13" s="94">
        <f t="shared" si="1"/>
        <v>4</v>
      </c>
      <c r="M13" s="95">
        <f>if($H$4=TRUE, if(L13=1, 'Design system reference'!$D$5, if(L13=2, 'Design system reference'!$D$6, if(L13=3, 'Design system reference'!$D$7, if(L13=4, 'Design system reference'!$D$8, if(L13=5, 'Design system reference'!$D$9, "N/A"))))), if(ISNUMBER(H19), H19, 0))</f>
        <v>0.8</v>
      </c>
      <c r="N13" s="95">
        <f>if(K13&lt;2, 'Design system reference'!$B$5, IF(K13&lt;3, 'Design system reference'!$B$6, IF(K13&lt;4, 'Design system reference'!$B$7, IF(K13&lt;5, 'Design system reference'!$B$8, 'Design system reference'!$B$9))))</f>
        <v>0.59397125</v>
      </c>
      <c r="O13" s="95">
        <f t="shared" si="2"/>
        <v>0.475177</v>
      </c>
      <c r="P13" s="6">
        <f t="shared" si="4"/>
        <v>7302340.899</v>
      </c>
      <c r="Q13" s="6">
        <f t="shared" si="5"/>
        <v>5406921.659</v>
      </c>
      <c r="R13" s="6">
        <f t="shared" si="6"/>
        <v>5662494.434</v>
      </c>
    </row>
    <row r="14">
      <c r="A14" s="9"/>
      <c r="G14" s="2"/>
      <c r="H14" s="2"/>
      <c r="I14" s="2"/>
      <c r="J14" s="4">
        <v>42.0</v>
      </c>
      <c r="K14" s="60">
        <f t="shared" si="3"/>
        <v>4.5</v>
      </c>
      <c r="L14" s="94">
        <f t="shared" si="1"/>
        <v>4</v>
      </c>
      <c r="M14" s="95">
        <f>if($H$4=TRUE, if(L14=1, 'Design system reference'!$D$5, if(L14=2, 'Design system reference'!$D$6, if(L14=3, 'Design system reference'!$D$7, if(L14=4, 'Design system reference'!$D$8, if(L14=5, 'Design system reference'!$D$9, "N/A"))))), if(ISNUMBER(H20), H20, 0))</f>
        <v>0.8</v>
      </c>
      <c r="N14" s="95">
        <f>if(K14&lt;2, 'Design system reference'!$B$5, IF(K14&lt;3, 'Design system reference'!$B$6, IF(K14&lt;4, 'Design system reference'!$B$7, IF(K14&lt;5, 'Design system reference'!$B$8, 'Design system reference'!$B$9))))</f>
        <v>0.59397125</v>
      </c>
      <c r="O14" s="95">
        <f t="shared" si="2"/>
        <v>0.475177</v>
      </c>
      <c r="P14" s="6">
        <f t="shared" si="4"/>
        <v>7302340.899</v>
      </c>
      <c r="Q14" s="6">
        <f t="shared" si="5"/>
        <v>5406921.659</v>
      </c>
      <c r="R14" s="6">
        <f t="shared" si="6"/>
        <v>11069416.09</v>
      </c>
    </row>
    <row r="15">
      <c r="A15" s="9" t="s">
        <v>223</v>
      </c>
      <c r="B15" s="62">
        <f>sum(B11*B13)</f>
        <v>166703.68</v>
      </c>
      <c r="G15" s="2"/>
      <c r="H15" s="2"/>
      <c r="I15" s="2"/>
      <c r="J15" s="4">
        <v>48.0</v>
      </c>
      <c r="K15" s="60">
        <f t="shared" si="3"/>
        <v>5</v>
      </c>
      <c r="L15" s="94">
        <f t="shared" si="1"/>
        <v>5</v>
      </c>
      <c r="M15" s="95">
        <f>if($H$4=TRUE, if(L15=1, 'Design system reference'!$D$5, if(L15=2, 'Design system reference'!$D$6, if(L15=3, 'Design system reference'!$D$7, if(L15=4, 'Design system reference'!$D$8, if(L15=5, 'Design system reference'!$D$9, "N/A"))))), if(ISNUMBER(H21), H21, 0))</f>
        <v>0.95</v>
      </c>
      <c r="N15" s="95">
        <f>if(K15&lt;2, 'Design system reference'!$B$5, IF(K15&lt;3, 'Design system reference'!$B$6, IF(K15&lt;4, 'Design system reference'!$B$7, IF(K15&lt;5, 'Design system reference'!$B$8, 'Design system reference'!$B$9))))</f>
        <v>0.660019375</v>
      </c>
      <c r="O15" s="95">
        <f t="shared" si="2"/>
        <v>0.6270184063</v>
      </c>
      <c r="P15" s="6">
        <f t="shared" si="4"/>
        <v>9635782.356</v>
      </c>
      <c r="Q15" s="6">
        <f t="shared" si="5"/>
        <v>7740363.116</v>
      </c>
      <c r="R15" s="6">
        <f t="shared" si="6"/>
        <v>18809779.21</v>
      </c>
    </row>
    <row r="16">
      <c r="A16" s="9" t="s">
        <v>224</v>
      </c>
      <c r="B16" s="62">
        <f>sum(B12*B13)</f>
        <v>114191.22</v>
      </c>
      <c r="G16" s="2"/>
      <c r="H16" s="2"/>
      <c r="I16" s="2"/>
      <c r="J16" s="4">
        <v>54.0</v>
      </c>
      <c r="K16" s="60">
        <f t="shared" si="3"/>
        <v>5</v>
      </c>
      <c r="L16" s="94">
        <f t="shared" si="1"/>
        <v>5</v>
      </c>
      <c r="M16" s="95">
        <f>if($H$4=TRUE, if(L16=1, 'Design system reference'!$D$5, if(L16=2, 'Design system reference'!$D$6, if(L16=3, 'Design system reference'!$D$7, if(L16=4, 'Design system reference'!$D$8, if(L16=5, 'Design system reference'!$D$9, "N/A"))))), if(ISNUMBER(H22), H22, 0))</f>
        <v>0.95</v>
      </c>
      <c r="N16" s="95">
        <f>if(K16&lt;2, 'Design system reference'!$B$5, IF(K16&lt;3, 'Design system reference'!$B$6, IF(K16&lt;4, 'Design system reference'!$B$7, IF(K16&lt;5, 'Design system reference'!$B$8, 'Design system reference'!$B$9))))</f>
        <v>0.660019375</v>
      </c>
      <c r="O16" s="95">
        <f t="shared" si="2"/>
        <v>0.6270184063</v>
      </c>
      <c r="P16" s="6">
        <f t="shared" si="4"/>
        <v>9635782.356</v>
      </c>
      <c r="Q16" s="6">
        <f t="shared" si="5"/>
        <v>7740363.116</v>
      </c>
      <c r="R16" s="6">
        <f t="shared" si="6"/>
        <v>26550142.32</v>
      </c>
    </row>
    <row r="17">
      <c r="G17" s="2"/>
      <c r="H17" s="2"/>
      <c r="I17" s="2"/>
      <c r="J17" s="4">
        <v>60.0</v>
      </c>
      <c r="K17" s="60">
        <f t="shared" si="3"/>
        <v>5</v>
      </c>
      <c r="L17" s="94">
        <f t="shared" si="1"/>
        <v>5</v>
      </c>
      <c r="M17" s="95">
        <f>if($H$4=TRUE, if(L17=1, 'Design system reference'!$D$5, if(L17=2, 'Design system reference'!$D$6, if(L17=3, 'Design system reference'!$D$7, if(L17=4, 'Design system reference'!$D$8, if(L17=5, 'Design system reference'!$D$9, "N/A"))))), if(ISNUMBER(H17), H17, 0))</f>
        <v>0.95</v>
      </c>
      <c r="N17" s="95">
        <f>if(K17&lt;2, 'Design system reference'!$B$5, IF(K17&lt;3, 'Design system reference'!$B$6, IF(K17&lt;4, 'Design system reference'!$B$7, IF(K17&lt;5, 'Design system reference'!$B$8, 'Design system reference'!$B$9))))</f>
        <v>0.660019375</v>
      </c>
      <c r="O17" s="95">
        <f t="shared" si="2"/>
        <v>0.6270184063</v>
      </c>
      <c r="P17" s="6">
        <f t="shared" si="4"/>
        <v>9635782.356</v>
      </c>
      <c r="Q17" s="6">
        <f t="shared" si="5"/>
        <v>7740363.116</v>
      </c>
      <c r="R17" s="6">
        <f t="shared" si="6"/>
        <v>34290505.44</v>
      </c>
    </row>
    <row r="18">
      <c r="A18" s="9" t="s">
        <v>225</v>
      </c>
      <c r="B18" s="62">
        <f>sum(((B15*B7)+(B12*B8))/B6)</f>
        <v>153676.228</v>
      </c>
    </row>
    <row r="19">
      <c r="G19" s="99" t="s">
        <v>226</v>
      </c>
      <c r="H19" s="100"/>
      <c r="I19" s="100"/>
      <c r="J19" s="99" t="s">
        <v>227</v>
      </c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V19" s="100"/>
    </row>
    <row r="20">
      <c r="A20" s="9" t="s">
        <v>228</v>
      </c>
      <c r="B20" s="62">
        <f>sum(B18*B6)</f>
        <v>30735245.6</v>
      </c>
      <c r="G20" s="101" t="s">
        <v>229</v>
      </c>
      <c r="H20" s="100"/>
      <c r="I20" s="100"/>
      <c r="J20" s="102" t="s">
        <v>202</v>
      </c>
      <c r="K20" s="103"/>
      <c r="L20" s="104"/>
      <c r="M20" s="104" t="s">
        <v>230</v>
      </c>
      <c r="N20" s="104">
        <v>6.0</v>
      </c>
      <c r="O20" s="103"/>
      <c r="P20" s="104" t="s">
        <v>231</v>
      </c>
      <c r="Q20" s="104">
        <v>9.0</v>
      </c>
      <c r="R20" s="100"/>
      <c r="S20" s="100"/>
      <c r="T20" s="100"/>
      <c r="V20" s="100"/>
    </row>
    <row r="21">
      <c r="G21" s="99" t="s">
        <v>232</v>
      </c>
      <c r="H21" s="123">
        <f>sum('Knapsack reference'!B4)</f>
        <v>150000</v>
      </c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V21" s="100"/>
    </row>
    <row r="22">
      <c r="A22" s="9" t="s">
        <v>233</v>
      </c>
      <c r="B22" s="66">
        <f>sum('Other references'!B6)</f>
        <v>3</v>
      </c>
      <c r="G22" s="99" t="s">
        <v>234</v>
      </c>
      <c r="H22" s="123">
        <f>sum((E11*'Knapsack reference'!B3)-H21)</f>
        <v>134312.886</v>
      </c>
      <c r="I22" s="100"/>
      <c r="J22" s="105" t="s">
        <v>208</v>
      </c>
      <c r="K22" s="105" t="s">
        <v>209</v>
      </c>
      <c r="L22" s="105" t="s">
        <v>133</v>
      </c>
      <c r="M22" s="105" t="s">
        <v>210</v>
      </c>
      <c r="N22" s="105" t="s">
        <v>205</v>
      </c>
      <c r="O22" s="105" t="s">
        <v>211</v>
      </c>
      <c r="P22" s="105" t="s">
        <v>212</v>
      </c>
      <c r="Q22" s="105" t="s">
        <v>213</v>
      </c>
      <c r="R22" s="105" t="s">
        <v>235</v>
      </c>
      <c r="S22" s="105" t="s">
        <v>236</v>
      </c>
      <c r="T22" s="105" t="s">
        <v>237</v>
      </c>
      <c r="V22" s="105" t="s">
        <v>233</v>
      </c>
    </row>
    <row r="23">
      <c r="G23" s="100"/>
      <c r="H23" s="100"/>
      <c r="I23" s="100"/>
      <c r="J23" s="105">
        <v>0.0</v>
      </c>
      <c r="K23" s="107">
        <f>sum(E5)</f>
        <v>1</v>
      </c>
      <c r="L23" s="100">
        <f t="shared" ref="L23:L25" si="7">floor(K23,1)</f>
        <v>1</v>
      </c>
      <c r="M23" s="108">
        <f>if($H$4=TRUE, if(L23=1, 'Design system reference'!D$5, if(L23=2, 'Design system reference'!D$6, if(L23=3, 'Design system reference'!D$7, if(L23=4, 'Design system reference'!D$8, if(L23=5, 'Design system reference'!D$9, "N/A"))))), if(ISNUMBER($H$7), $H$7, 0))</f>
        <v>0.1</v>
      </c>
      <c r="N23" s="108">
        <f>if(L23&lt;2, 'Design system reference'!$B$5, IF(L23&lt;3, 'Design system reference'!$B$6, IF(L23&lt;4, 'Design system reference'!$B$7, IF(L23&lt;5, 'Design system reference'!$B$8, 'Design system reference'!$B$9))))</f>
        <v>0.13209625</v>
      </c>
      <c r="O23" s="108">
        <f t="shared" ref="O23:O33" si="8">sum(N23*M23)</f>
        <v>0.013209625</v>
      </c>
      <c r="P23" s="100"/>
      <c r="Q23" s="100"/>
      <c r="R23" s="105">
        <v>0.0</v>
      </c>
      <c r="S23" s="100"/>
      <c r="T23" s="100"/>
      <c r="V23" s="100">
        <f>sum($B$22)</f>
        <v>3</v>
      </c>
    </row>
    <row r="24">
      <c r="A24" s="9" t="s">
        <v>238</v>
      </c>
      <c r="B24" s="62">
        <f>sum(B20*B22)</f>
        <v>92205736.8</v>
      </c>
      <c r="G24" s="99"/>
      <c r="H24" s="100"/>
      <c r="I24" s="100"/>
      <c r="J24" s="105">
        <v>6.0</v>
      </c>
      <c r="K24" s="107">
        <f t="shared" ref="K24:K33" si="9">if(K23=5,K23, IF(K23&lt;3, SUM(K23+((1/$N$20)*(J24-J23))), IF(K23&gt;=3, SUM(K23+((1/$Q$20)*(J24-J23))))))</f>
        <v>2</v>
      </c>
      <c r="L24" s="100">
        <f t="shared" si="7"/>
        <v>2</v>
      </c>
      <c r="M24" s="108">
        <f>if($H$4=TRUE, if(L24=1, 'Design system reference'!D$5, if(L24=2, 'Design system reference'!D$6, if(L24=3, 'Design system reference'!D$7, if(L24=4, 'Design system reference'!D$8, if(L24=5, 'Design system reference'!D$9, "N/A"))))), if(ISNUMBER($H$7), $H$7, 0))</f>
        <v>0.3</v>
      </c>
      <c r="N24" s="108">
        <f>if(L24&lt;2, 'Design system reference'!$B$5, IF(L24&lt;3, 'Design system reference'!$B$6, IF(L24&lt;4, 'Design system reference'!$B$7, IF(L24&lt;5, 'Design system reference'!$B$8, 'Design system reference'!$B$9))))</f>
        <v>0.263730625</v>
      </c>
      <c r="O24" s="108">
        <f t="shared" si="8"/>
        <v>0.0791191875</v>
      </c>
      <c r="P24" s="123">
        <f t="shared" ref="P24:P33" si="10">sum(($B$20*O24)*0.5)</f>
        <v>1215873.83</v>
      </c>
      <c r="Q24" s="123">
        <f t="shared" ref="Q24:Q33" si="11">sum(P24-$E$11+$H$22)</f>
        <v>-545232.5243</v>
      </c>
      <c r="R24" s="123">
        <f t="shared" ref="R24:R33" si="12">sum(R23+Q24)</f>
        <v>-545232.5243</v>
      </c>
      <c r="S24" s="123">
        <f t="shared" ref="S24:S33" si="13">sum(R24-R8)</f>
        <v>1147186.181</v>
      </c>
      <c r="T24" s="109">
        <f>sum(S24/B20)</f>
        <v>0.03732477678</v>
      </c>
      <c r="V24" s="110">
        <f t="shared" ref="V24:V33" si="14">sum($B$22*(1+T24))</f>
        <v>3.11197433</v>
      </c>
    </row>
    <row r="25">
      <c r="G25" s="100"/>
      <c r="H25" s="100"/>
      <c r="I25" s="100"/>
      <c r="J25" s="105">
        <v>12.0</v>
      </c>
      <c r="K25" s="107">
        <f t="shared" si="9"/>
        <v>3</v>
      </c>
      <c r="L25" s="100">
        <f t="shared" si="7"/>
        <v>3</v>
      </c>
      <c r="M25" s="108">
        <f>if($H$4=TRUE, if(L25=1, 'Design system reference'!D$5, if(L25=2, 'Design system reference'!D$6, if(L25=3, 'Design system reference'!D$7, if(L25=4, 'Design system reference'!D$8, if(L25=5, 'Design system reference'!D$9, "N/A"))))), if(ISNUMBER($H$7), $H$7, 0))</f>
        <v>0.5</v>
      </c>
      <c r="N25" s="108">
        <f>if(L25&lt;2, 'Design system reference'!$B$5, IF(L25&lt;3, 'Design system reference'!$B$6, IF(L25&lt;4, 'Design system reference'!$B$7, IF(L25&lt;5, 'Design system reference'!$B$8, 'Design system reference'!$B$9))))</f>
        <v>0.461875</v>
      </c>
      <c r="O25" s="108">
        <f t="shared" si="8"/>
        <v>0.2309375</v>
      </c>
      <c r="P25" s="123">
        <f t="shared" si="10"/>
        <v>3548960.39</v>
      </c>
      <c r="Q25" s="123">
        <f t="shared" si="11"/>
        <v>1787854.036</v>
      </c>
      <c r="R25" s="123">
        <f t="shared" si="12"/>
        <v>1242621.512</v>
      </c>
      <c r="S25" s="123">
        <f t="shared" si="13"/>
        <v>3614585.628</v>
      </c>
      <c r="T25" s="109">
        <f t="shared" ref="T25:T33" si="15">sum(S25/$B$20)</f>
        <v>0.1176039286</v>
      </c>
      <c r="V25" s="110">
        <f t="shared" si="14"/>
        <v>3.352811786</v>
      </c>
    </row>
    <row r="26">
      <c r="G26" s="100"/>
      <c r="H26" s="100"/>
      <c r="I26" s="100"/>
      <c r="J26" s="105">
        <v>18.0</v>
      </c>
      <c r="K26" s="107">
        <f t="shared" si="9"/>
        <v>3.666666667</v>
      </c>
      <c r="L26" s="100">
        <f t="shared" ref="L26:L33" si="16">MIN(5,(floor(K26,1)))</f>
        <v>3</v>
      </c>
      <c r="M26" s="108">
        <f>if($H$4=TRUE, if(L26=1, 'Design system reference'!D$5, if(L26=2, 'Design system reference'!D$6, if(L26=3, 'Design system reference'!D$7, if(L26=4, 'Design system reference'!D$8, if(L26=5, 'Design system reference'!D$9, "N/A"))))), if(ISNUMBER($H$7), $H$7, 0))</f>
        <v>0.5</v>
      </c>
      <c r="N26" s="108">
        <f>if(L26&lt;2, 'Design system reference'!$B$5, IF(L26&lt;3, 'Design system reference'!$B$6, IF(L26&lt;4, 'Design system reference'!$B$7, IF(L26&lt;5, 'Design system reference'!$B$8, 'Design system reference'!$B$9))))</f>
        <v>0.461875</v>
      </c>
      <c r="O26" s="108">
        <f t="shared" si="8"/>
        <v>0.2309375</v>
      </c>
      <c r="P26" s="123">
        <f t="shared" si="10"/>
        <v>3548960.39</v>
      </c>
      <c r="Q26" s="123">
        <f t="shared" si="11"/>
        <v>1787854.036</v>
      </c>
      <c r="R26" s="123">
        <f t="shared" si="12"/>
        <v>3030475.548</v>
      </c>
      <c r="S26" s="123">
        <f t="shared" si="13"/>
        <v>6081985.075</v>
      </c>
      <c r="T26" s="109">
        <f t="shared" si="15"/>
        <v>0.1978830804</v>
      </c>
      <c r="V26" s="110">
        <f t="shared" si="14"/>
        <v>3.593649241</v>
      </c>
    </row>
    <row r="27">
      <c r="G27" s="100"/>
      <c r="H27" s="100"/>
      <c r="I27" s="100"/>
      <c r="J27" s="105">
        <v>24.0</v>
      </c>
      <c r="K27" s="107">
        <f t="shared" si="9"/>
        <v>4.333333333</v>
      </c>
      <c r="L27" s="100">
        <f t="shared" si="16"/>
        <v>4</v>
      </c>
      <c r="M27" s="108">
        <f>if($H$4=TRUE, if(L27=1, 'Design system reference'!D$5, if(L27=2, 'Design system reference'!D$6, if(L27=3, 'Design system reference'!D$7, if(L27=4, 'Design system reference'!D$8, if(L27=5, 'Design system reference'!D$9, "N/A"))))), if(ISNUMBER($H$7), $H$7, 0))</f>
        <v>0.8</v>
      </c>
      <c r="N27" s="108">
        <f>if(L27&lt;2, 'Design system reference'!$B$5, IF(L27&lt;3, 'Design system reference'!$B$6, IF(L27&lt;4, 'Design system reference'!$B$7, IF(L27&lt;5, 'Design system reference'!$B$8, 'Design system reference'!$B$9))))</f>
        <v>0.59397125</v>
      </c>
      <c r="O27" s="108">
        <f t="shared" si="8"/>
        <v>0.475177</v>
      </c>
      <c r="P27" s="123">
        <f t="shared" si="10"/>
        <v>7302340.899</v>
      </c>
      <c r="Q27" s="123">
        <f t="shared" si="11"/>
        <v>5541234.545</v>
      </c>
      <c r="R27" s="123">
        <f t="shared" si="12"/>
        <v>8571710.094</v>
      </c>
      <c r="S27" s="123">
        <f t="shared" si="13"/>
        <v>9969678.47</v>
      </c>
      <c r="T27" s="109">
        <f t="shared" si="15"/>
        <v>0.3243728259</v>
      </c>
      <c r="V27" s="110">
        <f t="shared" si="14"/>
        <v>3.973118478</v>
      </c>
    </row>
    <row r="28">
      <c r="G28" s="100"/>
      <c r="H28" s="100"/>
      <c r="I28" s="100"/>
      <c r="J28" s="105">
        <v>30.0</v>
      </c>
      <c r="K28" s="107">
        <f t="shared" si="9"/>
        <v>5</v>
      </c>
      <c r="L28" s="100">
        <f t="shared" si="16"/>
        <v>5</v>
      </c>
      <c r="M28" s="108">
        <f>if($H$4=TRUE, if(L28=1, 'Design system reference'!D$5, if(L28=2, 'Design system reference'!D$6, if(L28=3, 'Design system reference'!D$7, if(L28=4, 'Design system reference'!D$8, if(L28=5, 'Design system reference'!D$9, "N/A"))))), if(ISNUMBER($H$7), $H$7, 0))</f>
        <v>0.95</v>
      </c>
      <c r="N28" s="108">
        <f>if(L28&lt;2, 'Design system reference'!$B$5, IF(L28&lt;3, 'Design system reference'!$B$6, IF(L28&lt;4, 'Design system reference'!$B$7, IF(L28&lt;5, 'Design system reference'!$B$8, 'Design system reference'!$B$9))))</f>
        <v>0.660019375</v>
      </c>
      <c r="O28" s="108">
        <f t="shared" si="8"/>
        <v>0.6270184063</v>
      </c>
      <c r="P28" s="123">
        <f t="shared" si="10"/>
        <v>9635782.356</v>
      </c>
      <c r="Q28" s="123">
        <f t="shared" si="11"/>
        <v>7874676.002</v>
      </c>
      <c r="R28" s="123">
        <f t="shared" si="12"/>
        <v>16446386.1</v>
      </c>
      <c r="S28" s="123">
        <f t="shared" si="13"/>
        <v>16190813.32</v>
      </c>
      <c r="T28" s="109">
        <f t="shared" si="15"/>
        <v>0.5267832745</v>
      </c>
      <c r="V28" s="110">
        <f t="shared" si="14"/>
        <v>4.580349824</v>
      </c>
    </row>
    <row r="29">
      <c r="G29" s="100"/>
      <c r="H29" s="100"/>
      <c r="I29" s="100"/>
      <c r="J29" s="105">
        <v>36.0</v>
      </c>
      <c r="K29" s="107">
        <f t="shared" si="9"/>
        <v>5</v>
      </c>
      <c r="L29" s="100">
        <f t="shared" si="16"/>
        <v>5</v>
      </c>
      <c r="M29" s="108">
        <f>if($H$4=TRUE, if(L29=1, 'Design system reference'!D$5, if(L29=2, 'Design system reference'!D$6, if(L29=3, 'Design system reference'!D$7, if(L29=4, 'Design system reference'!D$8, if(L29=5, 'Design system reference'!D$9, "N/A"))))), if(ISNUMBER($H$7), $H$7, 0))</f>
        <v>0.95</v>
      </c>
      <c r="N29" s="108">
        <f>if(L29&lt;2, 'Design system reference'!$B$5, IF(L29&lt;3, 'Design system reference'!$B$6, IF(L29&lt;4, 'Design system reference'!$B$7, IF(L29&lt;5, 'Design system reference'!$B$8, 'Design system reference'!$B$9))))</f>
        <v>0.660019375</v>
      </c>
      <c r="O29" s="108">
        <f t="shared" si="8"/>
        <v>0.6270184063</v>
      </c>
      <c r="P29" s="123">
        <f t="shared" si="10"/>
        <v>9635782.356</v>
      </c>
      <c r="Q29" s="123">
        <f t="shared" si="11"/>
        <v>7874676.002</v>
      </c>
      <c r="R29" s="123">
        <f t="shared" si="12"/>
        <v>24321062.1</v>
      </c>
      <c r="S29" s="123">
        <f t="shared" si="13"/>
        <v>18658567.66</v>
      </c>
      <c r="T29" s="109">
        <f t="shared" si="15"/>
        <v>0.6070739732</v>
      </c>
      <c r="V29" s="110">
        <f t="shared" si="14"/>
        <v>4.82122192</v>
      </c>
    </row>
    <row r="30">
      <c r="G30" s="100"/>
      <c r="H30" s="100"/>
      <c r="I30" s="100"/>
      <c r="J30" s="105">
        <v>42.0</v>
      </c>
      <c r="K30" s="107">
        <f t="shared" si="9"/>
        <v>5</v>
      </c>
      <c r="L30" s="100">
        <f t="shared" si="16"/>
        <v>5</v>
      </c>
      <c r="M30" s="108">
        <f>if($H$4=TRUE, if(L30=1, 'Design system reference'!D$5, if(L30=2, 'Design system reference'!D$6, if(L30=3, 'Design system reference'!D$7, if(L30=4, 'Design system reference'!D$8, if(L30=5, 'Design system reference'!D$9, "N/A"))))), if(ISNUMBER($H$7), $H$7, 0))</f>
        <v>0.95</v>
      </c>
      <c r="N30" s="108">
        <f>if(L30&lt;2, 'Design system reference'!$B$5, IF(L30&lt;3, 'Design system reference'!$B$6, IF(L30&lt;4, 'Design system reference'!$B$7, IF(L30&lt;5, 'Design system reference'!$B$8, 'Design system reference'!$B$9))))</f>
        <v>0.660019375</v>
      </c>
      <c r="O30" s="108">
        <f t="shared" si="8"/>
        <v>0.6270184063</v>
      </c>
      <c r="P30" s="123">
        <f t="shared" si="10"/>
        <v>9635782.356</v>
      </c>
      <c r="Q30" s="123">
        <f t="shared" si="11"/>
        <v>7874676.002</v>
      </c>
      <c r="R30" s="123">
        <f t="shared" si="12"/>
        <v>32195738.1</v>
      </c>
      <c r="S30" s="123">
        <f t="shared" si="13"/>
        <v>21126322.01</v>
      </c>
      <c r="T30" s="109">
        <f t="shared" si="15"/>
        <v>0.6873646719</v>
      </c>
      <c r="V30" s="110">
        <f t="shared" si="14"/>
        <v>5.062094016</v>
      </c>
    </row>
    <row r="31">
      <c r="G31" s="100"/>
      <c r="H31" s="100"/>
      <c r="I31" s="100"/>
      <c r="J31" s="105">
        <v>48.0</v>
      </c>
      <c r="K31" s="107">
        <f t="shared" si="9"/>
        <v>5</v>
      </c>
      <c r="L31" s="100">
        <f t="shared" si="16"/>
        <v>5</v>
      </c>
      <c r="M31" s="108">
        <f>if($H$4=TRUE, if(L31=1, 'Design system reference'!D$5, if(L31=2, 'Design system reference'!D$6, if(L31=3, 'Design system reference'!D$7, if(L31=4, 'Design system reference'!D$8, if(L31=5, 'Design system reference'!D$9, "N/A"))))), if(ISNUMBER($H$7), $H$7, 0))</f>
        <v>0.95</v>
      </c>
      <c r="N31" s="108">
        <f>if(L31&lt;2, 'Design system reference'!$B$5, IF(L31&lt;3, 'Design system reference'!$B$6, IF(L31&lt;4, 'Design system reference'!$B$7, IF(L31&lt;5, 'Design system reference'!$B$8, 'Design system reference'!$B$9))))</f>
        <v>0.660019375</v>
      </c>
      <c r="O31" s="108">
        <f t="shared" si="8"/>
        <v>0.6270184063</v>
      </c>
      <c r="P31" s="123">
        <f t="shared" si="10"/>
        <v>9635782.356</v>
      </c>
      <c r="Q31" s="123">
        <f t="shared" si="11"/>
        <v>7874676.002</v>
      </c>
      <c r="R31" s="123">
        <f t="shared" si="12"/>
        <v>40070414.1</v>
      </c>
      <c r="S31" s="123">
        <f t="shared" si="13"/>
        <v>21260634.89</v>
      </c>
      <c r="T31" s="109">
        <f t="shared" si="15"/>
        <v>0.6917346674</v>
      </c>
      <c r="V31" s="110">
        <f t="shared" si="14"/>
        <v>5.075204002</v>
      </c>
    </row>
    <row r="32">
      <c r="G32" s="100"/>
      <c r="H32" s="100"/>
      <c r="I32" s="100"/>
      <c r="J32" s="105">
        <v>54.0</v>
      </c>
      <c r="K32" s="107">
        <f t="shared" si="9"/>
        <v>5</v>
      </c>
      <c r="L32" s="100">
        <f t="shared" si="16"/>
        <v>5</v>
      </c>
      <c r="M32" s="108">
        <f>if($H$4=TRUE, if(L32=1, 'Design system reference'!D$5, if(L32=2, 'Design system reference'!D$6, if(L32=3, 'Design system reference'!D$7, if(L32=4, 'Design system reference'!D$8, if(L32=5, 'Design system reference'!D$9, "N/A"))))), if(ISNUMBER($H$7), $H$7, 0))</f>
        <v>0.95</v>
      </c>
      <c r="N32" s="108">
        <f>if(L32&lt;2, 'Design system reference'!$B$5, IF(L32&lt;3, 'Design system reference'!$B$6, IF(L32&lt;4, 'Design system reference'!$B$7, IF(L32&lt;5, 'Design system reference'!$B$8, 'Design system reference'!$B$9))))</f>
        <v>0.660019375</v>
      </c>
      <c r="O32" s="108">
        <f t="shared" si="8"/>
        <v>0.6270184063</v>
      </c>
      <c r="P32" s="123">
        <f t="shared" si="10"/>
        <v>9635782.356</v>
      </c>
      <c r="Q32" s="123">
        <f t="shared" si="11"/>
        <v>7874676.002</v>
      </c>
      <c r="R32" s="123">
        <f t="shared" si="12"/>
        <v>47945090.1</v>
      </c>
      <c r="S32" s="123">
        <f t="shared" si="13"/>
        <v>21394947.78</v>
      </c>
      <c r="T32" s="109">
        <f t="shared" si="15"/>
        <v>0.6961046629</v>
      </c>
      <c r="V32" s="110">
        <f t="shared" si="14"/>
        <v>5.088313989</v>
      </c>
    </row>
    <row r="33">
      <c r="G33" s="100"/>
      <c r="H33" s="100"/>
      <c r="I33" s="100"/>
      <c r="J33" s="105">
        <v>60.0</v>
      </c>
      <c r="K33" s="107">
        <f t="shared" si="9"/>
        <v>5</v>
      </c>
      <c r="L33" s="100">
        <f t="shared" si="16"/>
        <v>5</v>
      </c>
      <c r="M33" s="108">
        <f>if($H$4=TRUE, if(L33=1, 'Design system reference'!D$5, if(L33=2, 'Design system reference'!D$6, if(L33=3, 'Design system reference'!D$7, if(L33=4, 'Design system reference'!D$8, if(L33=5, 'Design system reference'!D$9, "N/A"))))), if(ISNUMBER($H$7), $H$7, 0))</f>
        <v>0.95</v>
      </c>
      <c r="N33" s="108">
        <f>if(L33&lt;2, 'Design system reference'!$B$5, IF(L33&lt;3, 'Design system reference'!$B$6, IF(L33&lt;4, 'Design system reference'!$B$7, IF(L33&lt;5, 'Design system reference'!$B$8, 'Design system reference'!$B$9))))</f>
        <v>0.660019375</v>
      </c>
      <c r="O33" s="108">
        <f t="shared" si="8"/>
        <v>0.6270184063</v>
      </c>
      <c r="P33" s="123">
        <f t="shared" si="10"/>
        <v>9635782.356</v>
      </c>
      <c r="Q33" s="123">
        <f t="shared" si="11"/>
        <v>7874676.002</v>
      </c>
      <c r="R33" s="123">
        <f t="shared" si="12"/>
        <v>55819766.11</v>
      </c>
      <c r="S33" s="123">
        <f t="shared" si="13"/>
        <v>21529260.66</v>
      </c>
      <c r="T33" s="109">
        <f t="shared" si="15"/>
        <v>0.7004746585</v>
      </c>
      <c r="V33" s="110">
        <f t="shared" si="14"/>
        <v>5.101423975</v>
      </c>
    </row>
    <row r="35">
      <c r="G35" s="111" t="s">
        <v>239</v>
      </c>
      <c r="H35" s="25"/>
      <c r="I35" s="25"/>
      <c r="J35" s="111" t="s">
        <v>240</v>
      </c>
      <c r="K35" s="25"/>
      <c r="L35" s="25"/>
      <c r="M35" s="25"/>
      <c r="N35" s="25"/>
      <c r="O35" s="25"/>
      <c r="P35" s="25"/>
      <c r="Q35" s="44" t="s">
        <v>241</v>
      </c>
      <c r="R35" s="2"/>
    </row>
    <row r="36" ht="51.75" customHeight="1">
      <c r="G36" s="25"/>
      <c r="H36" s="25"/>
      <c r="I36" s="25"/>
      <c r="J36" s="112" t="s">
        <v>208</v>
      </c>
      <c r="K36" s="113"/>
      <c r="L36" s="112" t="s">
        <v>242</v>
      </c>
      <c r="M36" s="112" t="s">
        <v>243</v>
      </c>
      <c r="N36" s="112" t="s">
        <v>244</v>
      </c>
      <c r="O36" s="112" t="s">
        <v>245</v>
      </c>
      <c r="P36" s="112" t="s">
        <v>246</v>
      </c>
      <c r="Q36" s="114" t="s">
        <v>247</v>
      </c>
      <c r="R36" s="114" t="s">
        <v>248</v>
      </c>
    </row>
    <row r="37">
      <c r="G37" s="111" t="s">
        <v>32</v>
      </c>
      <c r="H37" s="115">
        <f>sum('Knapsack reference'!D33)</f>
        <v>12</v>
      </c>
      <c r="I37" s="25"/>
      <c r="J37" s="116">
        <v>0.0</v>
      </c>
      <c r="K37" s="25"/>
      <c r="L37" s="29"/>
      <c r="M37" s="20"/>
      <c r="N37" s="20">
        <v>0.0</v>
      </c>
      <c r="O37" s="25"/>
      <c r="P37" s="25"/>
      <c r="Q37" s="2"/>
      <c r="R37" s="4">
        <v>0.0</v>
      </c>
    </row>
    <row r="38">
      <c r="G38" s="111" t="s">
        <v>232</v>
      </c>
      <c r="H38" s="124">
        <f>sum('Knapsack reference'!B5)</f>
        <v>750000</v>
      </c>
      <c r="I38" s="25"/>
      <c r="J38" s="116">
        <v>6.0</v>
      </c>
      <c r="K38" s="25"/>
      <c r="L38" s="29">
        <f t="shared" ref="L38:L47" si="17">sum($H$37*V24)</f>
        <v>37.34369196</v>
      </c>
      <c r="M38" s="124">
        <f t="shared" ref="M38:M47" si="18">sum(($B$20*L38)*0.5)</f>
        <v>573883772.1</v>
      </c>
      <c r="N38" s="124">
        <f t="shared" ref="N38:N47" si="19">sum(N37+M38)</f>
        <v>573883772.1</v>
      </c>
      <c r="O38" s="25"/>
      <c r="P38" s="25"/>
      <c r="Q38" s="6">
        <f t="shared" ref="Q38:Q47" si="20">sum($B$24)</f>
        <v>92205736.8</v>
      </c>
      <c r="R38" s="6">
        <f t="shared" ref="R38:R47" si="21">sum(R37+Q38)</f>
        <v>92205736.8</v>
      </c>
    </row>
    <row r="39">
      <c r="G39" s="25"/>
      <c r="H39" s="25"/>
      <c r="I39" s="25"/>
      <c r="J39" s="116">
        <v>12.0</v>
      </c>
      <c r="K39" s="25"/>
      <c r="L39" s="29">
        <f t="shared" si="17"/>
        <v>40.23374143</v>
      </c>
      <c r="M39" s="124">
        <f t="shared" si="18"/>
        <v>618296962.1</v>
      </c>
      <c r="N39" s="124">
        <f t="shared" si="19"/>
        <v>1192180734</v>
      </c>
      <c r="O39" s="124">
        <f>sum(M38+M39)</f>
        <v>1192180734</v>
      </c>
      <c r="P39" s="118">
        <f>sum((O39-$B$24)/$H$38)</f>
        <v>1466.63333</v>
      </c>
      <c r="Q39" s="6">
        <f t="shared" si="20"/>
        <v>92205736.8</v>
      </c>
      <c r="R39" s="6">
        <f t="shared" si="21"/>
        <v>184411473.6</v>
      </c>
    </row>
    <row r="40">
      <c r="G40" s="24" t="s">
        <v>249</v>
      </c>
      <c r="H40" s="25"/>
      <c r="I40" s="25"/>
      <c r="J40" s="116">
        <v>18.0</v>
      </c>
      <c r="K40" s="25"/>
      <c r="L40" s="29">
        <f t="shared" si="17"/>
        <v>43.12379089</v>
      </c>
      <c r="M40" s="124">
        <f t="shared" si="18"/>
        <v>662710152.1</v>
      </c>
      <c r="N40" s="124">
        <f t="shared" si="19"/>
        <v>1854890886</v>
      </c>
      <c r="O40" s="25"/>
      <c r="P40" s="25"/>
      <c r="Q40" s="6">
        <f t="shared" si="20"/>
        <v>92205736.8</v>
      </c>
      <c r="R40" s="6">
        <f t="shared" si="21"/>
        <v>276617210.4</v>
      </c>
    </row>
    <row r="41">
      <c r="G41" s="25"/>
      <c r="H41" s="25"/>
      <c r="I41" s="25"/>
      <c r="J41" s="116">
        <v>24.0</v>
      </c>
      <c r="K41" s="25"/>
      <c r="L41" s="29">
        <f t="shared" si="17"/>
        <v>47.67742173</v>
      </c>
      <c r="M41" s="124">
        <f t="shared" si="18"/>
        <v>732688633.3</v>
      </c>
      <c r="N41" s="124">
        <f t="shared" si="19"/>
        <v>2587579520</v>
      </c>
      <c r="O41" s="124">
        <f>sum(M40+M41)</f>
        <v>1395398785</v>
      </c>
      <c r="P41" s="118">
        <f>sum((O41-$B$24)/$H$38)</f>
        <v>1737.590731</v>
      </c>
      <c r="Q41" s="6">
        <f t="shared" si="20"/>
        <v>92205736.8</v>
      </c>
      <c r="R41" s="6">
        <f t="shared" si="21"/>
        <v>368822947.2</v>
      </c>
    </row>
    <row r="42">
      <c r="G42" s="25"/>
      <c r="H42" s="25"/>
      <c r="I42" s="25"/>
      <c r="J42" s="116">
        <v>30.0</v>
      </c>
      <c r="K42" s="25"/>
      <c r="L42" s="29">
        <f t="shared" si="17"/>
        <v>54.96419788</v>
      </c>
      <c r="M42" s="124">
        <f t="shared" si="18"/>
        <v>844669060.6</v>
      </c>
      <c r="N42" s="124">
        <f t="shared" si="19"/>
        <v>3432248580</v>
      </c>
      <c r="O42" s="25"/>
      <c r="P42" s="25"/>
      <c r="Q42" s="6">
        <f t="shared" si="20"/>
        <v>92205736.8</v>
      </c>
      <c r="R42" s="6">
        <f t="shared" si="21"/>
        <v>461028684</v>
      </c>
    </row>
    <row r="43">
      <c r="G43" s="25"/>
      <c r="H43" s="25"/>
      <c r="I43" s="25"/>
      <c r="J43" s="116">
        <v>36.0</v>
      </c>
      <c r="K43" s="25"/>
      <c r="L43" s="29">
        <f t="shared" si="17"/>
        <v>57.85466304</v>
      </c>
      <c r="M43" s="124">
        <f t="shared" si="18"/>
        <v>889088638.7</v>
      </c>
      <c r="N43" s="124">
        <f t="shared" si="19"/>
        <v>4321337219</v>
      </c>
      <c r="O43" s="124">
        <f>sum(M42+M43)</f>
        <v>1733757699</v>
      </c>
      <c r="P43" s="118">
        <f>sum((O43-$B$24)/$H$38)</f>
        <v>2188.73595</v>
      </c>
      <c r="Q43" s="6">
        <f t="shared" si="20"/>
        <v>92205736.8</v>
      </c>
      <c r="R43" s="6">
        <f t="shared" si="21"/>
        <v>553234420.8</v>
      </c>
    </row>
    <row r="44">
      <c r="G44" s="25"/>
      <c r="H44" s="25"/>
      <c r="I44" s="25"/>
      <c r="J44" s="116">
        <v>42.0</v>
      </c>
      <c r="K44" s="25"/>
      <c r="L44" s="29">
        <f t="shared" si="17"/>
        <v>60.74512819</v>
      </c>
      <c r="M44" s="124">
        <f t="shared" si="18"/>
        <v>933508216.9</v>
      </c>
      <c r="N44" s="124">
        <f t="shared" si="19"/>
        <v>5254845436</v>
      </c>
      <c r="O44" s="25"/>
      <c r="P44" s="25"/>
      <c r="Q44" s="6">
        <f t="shared" si="20"/>
        <v>92205736.8</v>
      </c>
      <c r="R44" s="6">
        <f t="shared" si="21"/>
        <v>645440157.6</v>
      </c>
    </row>
    <row r="45">
      <c r="G45" s="25"/>
      <c r="H45" s="25"/>
      <c r="I45" s="25"/>
      <c r="J45" s="116">
        <v>48.0</v>
      </c>
      <c r="K45" s="25"/>
      <c r="L45" s="29">
        <f t="shared" si="17"/>
        <v>60.90244803</v>
      </c>
      <c r="M45" s="124">
        <f t="shared" si="18"/>
        <v>935925848.9</v>
      </c>
      <c r="N45" s="124">
        <f t="shared" si="19"/>
        <v>6190771285</v>
      </c>
      <c r="O45" s="124">
        <f>sum(M44+M45)</f>
        <v>1869434066</v>
      </c>
      <c r="P45" s="118">
        <f>sum((O45-$B$24)/$H$38)</f>
        <v>2369.637772</v>
      </c>
      <c r="Q45" s="6">
        <f t="shared" si="20"/>
        <v>92205736.8</v>
      </c>
      <c r="R45" s="6">
        <f t="shared" si="21"/>
        <v>737645894.4</v>
      </c>
    </row>
    <row r="46">
      <c r="G46" s="25"/>
      <c r="H46" s="25"/>
      <c r="I46" s="25"/>
      <c r="J46" s="116">
        <v>54.0</v>
      </c>
      <c r="K46" s="25"/>
      <c r="L46" s="29">
        <f t="shared" si="17"/>
        <v>61.05976787</v>
      </c>
      <c r="M46" s="124">
        <f t="shared" si="18"/>
        <v>938343480.8</v>
      </c>
      <c r="N46" s="124">
        <f t="shared" si="19"/>
        <v>7129114765</v>
      </c>
      <c r="O46" s="25"/>
      <c r="P46" s="25"/>
      <c r="Q46" s="6">
        <f t="shared" si="20"/>
        <v>92205736.8</v>
      </c>
      <c r="R46" s="6">
        <f t="shared" si="21"/>
        <v>829851631.2</v>
      </c>
    </row>
    <row r="47">
      <c r="G47" s="25"/>
      <c r="H47" s="25"/>
      <c r="I47" s="25"/>
      <c r="J47" s="116">
        <v>60.0</v>
      </c>
      <c r="K47" s="25"/>
      <c r="L47" s="29">
        <f t="shared" si="17"/>
        <v>61.2170877</v>
      </c>
      <c r="M47" s="124">
        <f t="shared" si="18"/>
        <v>940761112.8</v>
      </c>
      <c r="N47" s="124">
        <f t="shared" si="19"/>
        <v>8069875878</v>
      </c>
      <c r="O47" s="124">
        <f>sum(M46+M47)</f>
        <v>1879104594</v>
      </c>
      <c r="P47" s="118">
        <f>sum((O47-$B$24)/$H$38)</f>
        <v>2382.531809</v>
      </c>
      <c r="Q47" s="6">
        <f t="shared" si="20"/>
        <v>92205736.8</v>
      </c>
      <c r="R47" s="6">
        <f t="shared" si="21"/>
        <v>922057368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27.38"/>
  </cols>
  <sheetData>
    <row r="1">
      <c r="A1" s="1" t="s">
        <v>291</v>
      </c>
      <c r="B1" s="2"/>
      <c r="D1" s="1" t="s">
        <v>292</v>
      </c>
      <c r="E1" s="2"/>
    </row>
    <row r="2">
      <c r="A2" s="2"/>
      <c r="B2" s="2"/>
      <c r="D2" s="2"/>
      <c r="E2" s="2"/>
    </row>
    <row r="3">
      <c r="A3" s="4" t="s">
        <v>293</v>
      </c>
      <c r="B3" s="4">
        <v>20.0</v>
      </c>
      <c r="D3" s="4" t="s">
        <v>294</v>
      </c>
      <c r="E3" s="4">
        <v>1.5</v>
      </c>
    </row>
    <row r="4">
      <c r="A4" s="4" t="s">
        <v>295</v>
      </c>
      <c r="B4" s="4">
        <v>40.0</v>
      </c>
      <c r="D4" s="4" t="s">
        <v>293</v>
      </c>
      <c r="E4" s="2">
        <f>sum(B3*E3)</f>
        <v>30</v>
      </c>
    </row>
    <row r="5">
      <c r="A5" s="4" t="s">
        <v>296</v>
      </c>
      <c r="B5" s="4">
        <v>40.0</v>
      </c>
      <c r="D5" s="4" t="s">
        <v>295</v>
      </c>
      <c r="E5" s="2">
        <f>sum(B4*E3)</f>
        <v>60</v>
      </c>
    </row>
    <row r="6">
      <c r="A6" s="2"/>
      <c r="B6" s="2"/>
      <c r="D6" s="4" t="s">
        <v>297</v>
      </c>
      <c r="E6" s="2">
        <f>sum((E4+E5)*0.15)</f>
        <v>13.5</v>
      </c>
    </row>
    <row r="7">
      <c r="A7" s="4" t="s">
        <v>298</v>
      </c>
      <c r="B7" s="2">
        <f>sum((B3+B4)*B5)</f>
        <v>2400</v>
      </c>
      <c r="D7" s="2"/>
      <c r="E7" s="2"/>
    </row>
    <row r="8">
      <c r="A8" s="2"/>
      <c r="B8" s="2"/>
      <c r="D8" s="4" t="s">
        <v>298</v>
      </c>
      <c r="E8" s="2">
        <f>sum(E4+E5+(E6*B5))</f>
        <v>630</v>
      </c>
    </row>
    <row r="9">
      <c r="A9" s="2"/>
      <c r="B9" s="2"/>
      <c r="D9" s="2"/>
      <c r="E9" s="2"/>
    </row>
    <row r="10">
      <c r="A10" s="2"/>
      <c r="B10" s="2"/>
      <c r="D10" s="4" t="s">
        <v>299</v>
      </c>
      <c r="E10" s="2">
        <f>sum(B7-E8)</f>
        <v>1770</v>
      </c>
    </row>
    <row r="11">
      <c r="A11" s="2"/>
      <c r="B11" s="2"/>
      <c r="D11" s="4" t="s">
        <v>300</v>
      </c>
      <c r="E11" s="8">
        <f>sum(E10/B7)</f>
        <v>0.7375</v>
      </c>
    </row>
    <row r="14">
      <c r="A14" s="17" t="s">
        <v>301</v>
      </c>
      <c r="D14" s="17" t="s">
        <v>302</v>
      </c>
    </row>
    <row r="15">
      <c r="A15" s="28" t="s">
        <v>303</v>
      </c>
      <c r="B15" s="15">
        <v>0.1</v>
      </c>
      <c r="D15" s="28" t="s">
        <v>303</v>
      </c>
      <c r="E15" s="15">
        <v>0.2</v>
      </c>
    </row>
    <row r="16">
      <c r="D16" s="28" t="s">
        <v>304</v>
      </c>
      <c r="E16" s="15">
        <v>0.1</v>
      </c>
    </row>
    <row r="17">
      <c r="A17" s="28" t="s">
        <v>305</v>
      </c>
      <c r="B17" s="66">
        <f>sum(B7*B15)</f>
        <v>240</v>
      </c>
    </row>
    <row r="18">
      <c r="D18" s="28" t="s">
        <v>305</v>
      </c>
      <c r="E18" s="66">
        <f>sum(((E4+E5)*E15)+(E6*E16*B5))</f>
        <v>72</v>
      </c>
    </row>
    <row r="19">
      <c r="D19" s="28" t="s">
        <v>300</v>
      </c>
      <c r="E19" s="38">
        <f>sum((B17-E18)/B17)</f>
        <v>0.7</v>
      </c>
    </row>
  </sheetData>
  <drawing r:id="rId1"/>
</worksheet>
</file>