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puts" sheetId="1" state="visible" r:id="rId1"/>
    <sheet xmlns:r="http://schemas.openxmlformats.org/officeDocument/2006/relationships" name="Lookups - JourneyDeployment" sheetId="2" state="visible" r:id="rId2"/>
    <sheet xmlns:r="http://schemas.openxmlformats.org/officeDocument/2006/relationships" name="Rates" sheetId="3" state="visible" r:id="rId3"/>
    <sheet xmlns:r="http://schemas.openxmlformats.org/officeDocument/2006/relationships" name="Readiness &amp; Maturity" sheetId="4" state="visible" r:id="rId4"/>
    <sheet xmlns:r="http://schemas.openxmlformats.org/officeDocument/2006/relationships" name="Activity Settings" sheetId="5" state="visible" r:id="rId5"/>
    <sheet xmlns:r="http://schemas.openxmlformats.org/officeDocument/2006/relationships" name="WBS - Estimate" sheetId="6" state="visible" r:id="rId6"/>
    <sheet xmlns:r="http://schemas.openxmlformats.org/officeDocument/2006/relationships" name="Summary" sheetId="7" state="visible" r:id="rId7"/>
    <sheet xmlns:r="http://schemas.openxmlformats.org/officeDocument/2006/relationships" name="RAID Log" sheetId="8" state="visible" r:id="rId8"/>
    <sheet xmlns:r="http://schemas.openxmlformats.org/officeDocument/2006/relationships" name="Instructions - Adobe " sheetId="9" state="visible" r:id="rId9"/>
    <sheet xmlns:r="http://schemas.openxmlformats.org/officeDocument/2006/relationships" name="Milestone Plan" sheetId="10" state="visible" r:id="rId10"/>
    <sheet xmlns:r="http://schemas.openxmlformats.org/officeDocument/2006/relationships" name="WBS" sheetId="11" state="visible" r:id="rId11"/>
    <sheet xmlns:r="http://schemas.openxmlformats.org/officeDocument/2006/relationships" name="Proposed Solution - CX + FDE En" sheetId="12" state="visible" r:id="rId12"/>
    <sheet xmlns:r="http://schemas.openxmlformats.org/officeDocument/2006/relationships" name="Proposed Solution with CX Coach" sheetId="13" state="visible" r:id="rId13"/>
    <sheet xmlns:r="http://schemas.openxmlformats.org/officeDocument/2006/relationships" name="Sheet4" sheetId="14" state="visible" r:id="rId14"/>
    <sheet xmlns:r="http://schemas.openxmlformats.org/officeDocument/2006/relationships" name="Proposed Solution Without CX Pa" sheetId="15" state="visible" r:id="rId15"/>
    <sheet xmlns:r="http://schemas.openxmlformats.org/officeDocument/2006/relationships" name="Instructions - Internal" sheetId="16" state="hidden" r:id="rId16"/>
    <sheet xmlns:r="http://schemas.openxmlformats.org/officeDocument/2006/relationships" name="Rate Card" sheetId="17" state="visible" r:id="rId17"/>
    <sheet xmlns:r="http://schemas.openxmlformats.org/officeDocument/2006/relationships" name="Milestones" sheetId="18" state="hidden" r:id="rId18"/>
    <sheet xmlns:r="http://schemas.openxmlformats.org/officeDocument/2006/relationships" name="Assumptions" sheetId="19" state="visible" r:id="rId19"/>
    <sheet xmlns:r="http://schemas.openxmlformats.org/officeDocument/2006/relationships" name="Lookups - Rates" sheetId="20" state="visible" r:id="rId20"/>
    <sheet xmlns:r="http://schemas.openxmlformats.org/officeDocument/2006/relationships" name="Lookups - Complexity" sheetId="21" state="visible" r:id="rId21"/>
    <sheet xmlns:r="http://schemas.openxmlformats.org/officeDocument/2006/relationships" name="PCRI Assessment" sheetId="22" state="visible" r:id="rId22"/>
    <sheet xmlns:r="http://schemas.openxmlformats.org/officeDocument/2006/relationships" name="PCRI WBS Mapping" sheetId="23" state="visible" r:id="rId23"/>
  </sheets>
  <definedNames>
    <definedName name="Vendors_List">'Lookups - Rates'!$H$2:$H$3</definedName>
    <definedName name="Scenario_Selected">Assumptions!$B$7</definedName>
    <definedName name="Scenario_Table">Assumptions!$A$9:$D$12</definedName>
    <definedName name="Milestone_Activities">Milestones!$B$2:$B$40</definedName>
    <definedName name="Complexity_Tasks">'Lookups - Complexity'!$B$2:$B$26</definedName>
    <definedName name="Roles_List">'Lookups - Rates'!$I$2:$I$100</definedName>
    <definedName name="_xlnm._FilterDatabase" localSheetId="9" hidden="1">'Milestone Plan'!$A$1:$AA$999</definedName>
    <definedName name="_xlnm._FilterDatabase" localSheetId="20" hidden="1">'Lookups - Complexity'!$A$1:$AA$39</definedName>
  </definedNames>
  <calcPr calcId="124519" fullCalcOnLoad="1"/>
</workbook>
</file>

<file path=xl/styles.xml><?xml version="1.0" encoding="utf-8"?>
<styleSheet xmlns="http://schemas.openxmlformats.org/spreadsheetml/2006/main">
  <numFmts count="4">
    <numFmt numFmtId="164" formatCode="&quot;$&quot;#,##0.00"/>
    <numFmt numFmtId="165" formatCode="mmmm yyyy"/>
    <numFmt numFmtId="166" formatCode="$#,##0"/>
    <numFmt numFmtId="167" formatCode="0.0"/>
  </numFmts>
  <fonts count="23">
    <font>
      <name val="Calibri"/>
      <color theme="1"/>
      <sz val="11"/>
      <scheme val="minor"/>
    </font>
    <font>
      <name val="Calibri"/>
      <b val="1"/>
      <color theme="1"/>
      <scheme val="minor"/>
    </font>
    <font>
      <name val="Calibri"/>
      <color theme="1"/>
      <scheme val="minor"/>
    </font>
    <font>
      <name val="Calibri"/>
      <b val="1"/>
      <color theme="1"/>
      <sz val="12"/>
      <scheme val="minor"/>
    </font>
    <font>
      <name val="Calibri"/>
      <i val="1"/>
      <color theme="1"/>
      <scheme val="minor"/>
    </font>
    <font>
      <name val="Calibri"/>
      <color theme="1"/>
      <sz val="11"/>
    </font>
    <font>
      <name val="Calibri"/>
      <b val="1"/>
      <color theme="1"/>
      <sz val="11"/>
    </font>
    <font>
      <name val="Calibri"/>
      <color rgb="FF000000"/>
      <sz val="11"/>
    </font>
    <font>
      <name val="Calibri"/>
      <b val="1"/>
      <color rgb="FFE06666"/>
      <sz val="15"/>
      <scheme val="minor"/>
    </font>
    <font>
      <name val="Arial"/>
      <color theme="1"/>
    </font>
    <font>
      <name val="Arial"/>
      <b val="1"/>
      <i val="1"/>
      <color theme="1"/>
    </font>
    <font>
      <name val="Calibri"/>
      <b val="1"/>
      <i val="1"/>
      <color rgb="FFFF0000"/>
      <scheme val="minor"/>
    </font>
    <font>
      <name val="Calibri"/>
      <strike val="1"/>
      <color theme="1"/>
      <scheme val="minor"/>
    </font>
    <font>
      <name val="Arial"/>
      <b val="1"/>
      <color theme="1"/>
      <sz val="14"/>
    </font>
    <font>
      <name val="Arial"/>
      <b val="1"/>
      <color theme="1"/>
    </font>
    <font>
      <name val="Arial"/>
      <i val="1"/>
      <color theme="1"/>
    </font>
    <font>
      <b val="1"/>
      <color rgb="001F4E79"/>
      <sz val="16"/>
    </font>
    <font>
      <b val="1"/>
      <color rgb="001F4E79"/>
    </font>
    <font>
      <b val="1"/>
      <color rgb="00FFFFFF"/>
    </font>
    <font>
      <b val="1"/>
    </font>
    <font>
      <b val="1"/>
      <color rgb="001F4E79"/>
      <sz val="14"/>
    </font>
    <font>
      <b val="1"/>
      <sz val="14"/>
    </font>
    <font>
      <b val="1"/>
      <sz val="12"/>
    </font>
  </fonts>
  <fills count="10">
    <fill>
      <patternFill/>
    </fill>
    <fill>
      <patternFill patternType="lightGray"/>
    </fill>
    <fill>
      <patternFill patternType="solid">
        <fgColor rgb="FFF3F4F6"/>
        <bgColor rgb="FFF3F4F6"/>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001F4E79"/>
      </patternFill>
    </fill>
    <fill>
      <patternFill patternType="solid">
        <fgColor rgb="00D9E1F2"/>
      </patternFill>
    </fill>
    <fill>
      <patternFill patternType="solid">
        <fgColor rgb="00F2F2F2"/>
      </patternFill>
    </fill>
    <fill>
      <patternFill patternType="solid">
        <fgColor rgb="00E8F0FE"/>
      </patternFill>
    </fill>
  </fills>
  <borders count="5">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ttom style="thin">
        <color rgb="FF000000"/>
      </bottom>
    </border>
    <border>
      <left style="thin">
        <color rgb="00A0A0A0"/>
      </left>
      <right style="thin">
        <color rgb="00A0A0A0"/>
      </right>
      <top style="thin">
        <color rgb="00A0A0A0"/>
      </top>
      <bottom style="thin">
        <color rgb="00A0A0A0"/>
      </bottom>
    </border>
    <border>
      <left style="thin">
        <color rgb="00D0D0D0"/>
      </left>
      <right style="thin">
        <color rgb="00D0D0D0"/>
      </right>
      <top style="thin">
        <color rgb="00D0D0D0"/>
      </top>
      <bottom style="thin">
        <color rgb="00D0D0D0"/>
      </bottom>
    </border>
  </borders>
  <cellStyleXfs count="1">
    <xf numFmtId="0" fontId="0" fillId="0" borderId="0"/>
  </cellStyleXfs>
  <cellXfs count="104">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4" fontId="1" fillId="2" borderId="1" applyAlignment="1" pivotButton="0" quotePrefix="0" xfId="0">
      <alignment horizontal="center" vertical="center" wrapText="1"/>
    </xf>
    <xf numFmtId="0" fontId="2" fillId="0" borderId="0" applyAlignment="1" pivotButton="0" quotePrefix="0" xfId="0">
      <alignment vertical="center" wrapText="1"/>
    </xf>
    <xf numFmtId="0" fontId="2" fillId="0" borderId="0" pivotButton="0" quotePrefix="0" xfId="0"/>
    <xf numFmtId="0" fontId="5" fillId="0" borderId="0" applyAlignment="1" pivotButton="0" quotePrefix="0" xfId="0">
      <alignment vertical="bottom"/>
    </xf>
    <xf numFmtId="0" fontId="2" fillId="0" borderId="0" pivotButton="0" quotePrefix="0" xfId="0"/>
    <xf numFmtId="4" fontId="2" fillId="0" borderId="0" pivotButton="0" quotePrefix="0" xfId="0"/>
    <xf numFmtId="0" fontId="2" fillId="0" borderId="0" applyAlignment="1" pivotButton="0" quotePrefix="0" xfId="0">
      <alignment wrapText="1"/>
    </xf>
    <xf numFmtId="0" fontId="2" fillId="3" borderId="0" pivotButton="0" quotePrefix="0" xfId="0"/>
    <xf numFmtId="0" fontId="5" fillId="3" borderId="0" applyAlignment="1" pivotButton="0" quotePrefix="0" xfId="0">
      <alignment vertical="bottom"/>
    </xf>
    <xf numFmtId="0" fontId="2" fillId="3" borderId="0" pivotButton="0" quotePrefix="0" xfId="0"/>
    <xf numFmtId="4" fontId="2" fillId="3" borderId="0" pivotButton="0" quotePrefix="0" xfId="0"/>
    <xf numFmtId="0" fontId="2" fillId="3" borderId="0" applyAlignment="1" pivotButton="0" quotePrefix="0" xfId="0">
      <alignment wrapText="1"/>
    </xf>
    <xf numFmtId="0" fontId="2" fillId="3" borderId="0" applyAlignment="1" pivotButton="0" quotePrefix="0" xfId="0">
      <alignment wrapText="1"/>
    </xf>
    <xf numFmtId="4" fontId="2" fillId="0" borderId="0" pivotButton="0" quotePrefix="0" xfId="0"/>
    <xf numFmtId="0" fontId="6" fillId="0" borderId="2" applyAlignment="1" pivotButton="0" quotePrefix="0" xfId="0">
      <alignment horizontal="center" vertical="top"/>
    </xf>
    <xf numFmtId="0" fontId="7" fillId="0" borderId="0" applyAlignment="1" pivotButton="0" quotePrefix="0" xfId="0">
      <alignment vertical="bottom"/>
    </xf>
    <xf numFmtId="0" fontId="8" fillId="0" borderId="0" applyAlignment="1" pivotButton="0" quotePrefix="0" xfId="0">
      <alignment wrapText="1"/>
    </xf>
    <xf numFmtId="164" fontId="2" fillId="0" borderId="0" applyAlignment="1" pivotButton="0" quotePrefix="0" xfId="0">
      <alignment wrapText="1"/>
    </xf>
    <xf numFmtId="164" fontId="2" fillId="0" borderId="0" pivotButton="0" quotePrefix="0" xfId="0"/>
    <xf numFmtId="0" fontId="1" fillId="0" borderId="0" applyAlignment="1" pivotButton="0" quotePrefix="0" xfId="0">
      <alignment horizontal="center" vertical="center" wrapText="1"/>
    </xf>
    <xf numFmtId="49" fontId="1" fillId="0" borderId="0" applyAlignment="1" pivotButton="0" quotePrefix="0" xfId="0">
      <alignment horizontal="center" vertical="center" wrapText="1"/>
    </xf>
    <xf numFmtId="164"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vertical="center" wrapText="1"/>
    </xf>
    <xf numFmtId="164" fontId="2" fillId="0" borderId="0" applyAlignment="1" pivotButton="0" quotePrefix="0" xfId="0">
      <alignment vertical="center" wrapText="1"/>
    </xf>
    <xf numFmtId="164" fontId="2" fillId="0" borderId="0" applyAlignment="1" pivotButton="0" quotePrefix="0" xfId="0">
      <alignment vertical="center"/>
    </xf>
    <xf numFmtId="0" fontId="2" fillId="0" borderId="0" applyAlignment="1" pivotButton="0" quotePrefix="0" xfId="0">
      <alignment vertical="center"/>
    </xf>
    <xf numFmtId="0" fontId="9" fillId="0" borderId="0" applyAlignment="1" pivotButton="0" quotePrefix="0" xfId="0">
      <alignment vertical="bottom" wrapText="1"/>
    </xf>
    <xf numFmtId="164" fontId="9" fillId="0" borderId="0" applyAlignment="1" pivotButton="0" quotePrefix="0" xfId="0">
      <alignment horizontal="left" vertical="bottom" wrapText="1"/>
    </xf>
    <xf numFmtId="164" fontId="9" fillId="0" borderId="0" applyAlignment="1" pivotButton="0" quotePrefix="0" xfId="0">
      <alignment horizontal="right" vertical="bottom"/>
    </xf>
    <xf numFmtId="0" fontId="2" fillId="0" borderId="0" applyAlignment="1" pivotButton="0" quotePrefix="0" xfId="0">
      <alignment vertical="center" wrapText="1"/>
    </xf>
    <xf numFmtId="164" fontId="9" fillId="0" borderId="0" applyAlignment="1" pivotButton="0" quotePrefix="0" xfId="0">
      <alignment horizontal="right" vertical="bottom" wrapText="1"/>
    </xf>
    <xf numFmtId="164" fontId="2"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wrapText="1"/>
    </xf>
    <xf numFmtId="164" fontId="2" fillId="0" borderId="0" applyAlignment="1" pivotButton="0" quotePrefix="0" xfId="0">
      <alignment vertical="center"/>
    </xf>
    <xf numFmtId="0" fontId="9" fillId="0"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xf>
    <xf numFmtId="0" fontId="10" fillId="0" borderId="0" applyAlignment="1" pivotButton="0" quotePrefix="0" xfId="0">
      <alignment vertical="bottom" wrapText="1"/>
    </xf>
    <xf numFmtId="164" fontId="9" fillId="0" borderId="0" applyAlignment="1" pivotButton="0" quotePrefix="0" xfId="0">
      <alignment horizontal="right" vertical="bottom"/>
    </xf>
    <xf numFmtId="0" fontId="4" fillId="0" borderId="0" pivotButton="0" quotePrefix="0" xfId="0"/>
    <xf numFmtId="0" fontId="11" fillId="0" borderId="0" applyAlignment="1" pivotButton="0" quotePrefix="0" xfId="0">
      <alignment wrapText="1"/>
    </xf>
    <xf numFmtId="9" fontId="11" fillId="0" borderId="0" pivotButton="0" quotePrefix="0" xfId="0"/>
    <xf numFmtId="0" fontId="9" fillId="0" borderId="0" applyAlignment="1" pivotButton="0" quotePrefix="0" xfId="0">
      <alignment vertical="bottom" wrapText="1"/>
    </xf>
    <xf numFmtId="164" fontId="9" fillId="0" borderId="0" applyAlignment="1" pivotButton="0" quotePrefix="0" xfId="0">
      <alignment horizontal="right" vertical="bottom" wrapText="1"/>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12" fillId="0" borderId="0" pivotButton="0" quotePrefix="0" xfId="0"/>
    <xf numFmtId="0" fontId="13" fillId="0" borderId="0" applyAlignment="1" pivotButton="0" quotePrefix="0" xfId="0">
      <alignment vertical="bottom" wrapText="1"/>
    </xf>
    <xf numFmtId="0" fontId="9" fillId="0" borderId="0" applyAlignment="1" pivotButton="0" quotePrefix="0" xfId="0">
      <alignment vertical="bottom"/>
    </xf>
    <xf numFmtId="164" fontId="9" fillId="0" borderId="0" applyAlignment="1" pivotButton="0" quotePrefix="0" xfId="0">
      <alignment vertical="bottom"/>
    </xf>
    <xf numFmtId="0" fontId="9" fillId="4" borderId="0" applyAlignment="1" pivotButton="0" quotePrefix="0" xfId="0">
      <alignment vertical="bottom"/>
    </xf>
    <xf numFmtId="164" fontId="9" fillId="4" borderId="0" applyAlignment="1" pivotButton="0" quotePrefix="0" xfId="0">
      <alignment vertical="bottom"/>
    </xf>
    <xf numFmtId="0" fontId="14" fillId="5" borderId="0" applyAlignment="1" pivotButton="0" quotePrefix="0" xfId="0">
      <alignment vertical="bottom" wrapText="1"/>
    </xf>
    <xf numFmtId="0" fontId="15" fillId="4" borderId="0" applyAlignment="1" pivotButton="0" quotePrefix="0" xfId="0">
      <alignment vertical="bottom" wrapText="1"/>
    </xf>
    <xf numFmtId="9" fontId="9" fillId="0" borderId="0" applyAlignment="1" pivotButton="0" quotePrefix="0" xfId="0">
      <alignment horizontal="right" vertical="bottom"/>
    </xf>
    <xf numFmtId="0" fontId="15" fillId="4" borderId="0" applyAlignment="1" pivotButton="0" quotePrefix="0" xfId="0">
      <alignment horizontal="right" vertical="bottom" wrapText="1"/>
    </xf>
    <xf numFmtId="9" fontId="9" fillId="0" borderId="0" applyAlignment="1" pivotButton="0" quotePrefix="0" xfId="0">
      <alignment vertical="bottom"/>
    </xf>
    <xf numFmtId="0" fontId="9" fillId="0" borderId="0" applyAlignment="1" pivotButton="0" quotePrefix="0" xfId="0">
      <alignment horizontal="right" vertical="bottom"/>
    </xf>
    <xf numFmtId="9" fontId="9" fillId="0" borderId="0" applyAlignment="1" pivotButton="0" quotePrefix="0" xfId="0">
      <alignment horizontal="right" vertical="bottom" wrapText="1"/>
    </xf>
    <xf numFmtId="165" fontId="2" fillId="0" borderId="0" pivotButton="0" quotePrefix="0" xfId="0"/>
    <xf numFmtId="0" fontId="1" fillId="0" borderId="0" pivotButton="0" quotePrefix="0" xfId="0"/>
    <xf numFmtId="0" fontId="1" fillId="2" borderId="1" pivotButton="0" quotePrefix="0" xfId="0"/>
    <xf numFmtId="4" fontId="9" fillId="0" borderId="0" applyAlignment="1" pivotButton="0" quotePrefix="0" xfId="0">
      <alignment horizontal="right" vertical="bottom"/>
    </xf>
    <xf numFmtId="0" fontId="0" fillId="0" borderId="0" pivotButton="0" quotePrefix="0" xfId="0"/>
    <xf numFmtId="0" fontId="16" fillId="0" borderId="0" pivotButton="0" quotePrefix="0" xfId="0"/>
    <xf numFmtId="0" fontId="17" fillId="0" borderId="0" applyAlignment="1" pivotButton="0" quotePrefix="0" xfId="0">
      <alignment horizontal="left" vertical="top" wrapText="1"/>
    </xf>
    <xf numFmtId="0" fontId="17" fillId="0" borderId="0" pivotButton="0" quotePrefix="0" xfId="0"/>
    <xf numFmtId="0" fontId="18" fillId="6" borderId="3" applyAlignment="1" pivotButton="0" quotePrefix="0" xfId="0">
      <alignment horizontal="center" vertical="center" wrapText="1"/>
    </xf>
    <xf numFmtId="0" fontId="0" fillId="0" borderId="3" applyAlignment="1" pivotButton="0" quotePrefix="0" xfId="0">
      <alignment horizontal="left" vertical="top" wrapText="1"/>
    </xf>
    <xf numFmtId="0" fontId="0" fillId="0" borderId="3" applyAlignment="1" pivotButton="0" quotePrefix="0" xfId="0">
      <alignment horizontal="center" vertical="center" wrapText="1"/>
    </xf>
    <xf numFmtId="0" fontId="20" fillId="0" borderId="0" pivotButton="0" quotePrefix="0" xfId="0"/>
    <xf numFmtId="0" fontId="0" fillId="0" borderId="0" applyAlignment="1" pivotButton="0" quotePrefix="0" xfId="0">
      <alignment wrapText="1"/>
    </xf>
    <xf numFmtId="0" fontId="19" fillId="0" borderId="0" pivotButton="0" quotePrefix="0" xfId="0"/>
    <xf numFmtId="0" fontId="0" fillId="0" borderId="0" applyAlignment="1" pivotButton="0" quotePrefix="0" xfId="0">
      <alignment horizontal="left" vertical="top" wrapText="1"/>
    </xf>
    <xf numFmtId="2" fontId="0" fillId="0" borderId="3" applyAlignment="1" pivotButton="0" quotePrefix="0" xfId="0">
      <alignment horizontal="center" vertical="center" wrapText="1"/>
    </xf>
    <xf numFmtId="166" fontId="0" fillId="0" borderId="3" applyAlignment="1" pivotButton="0" quotePrefix="0" xfId="0">
      <alignment horizontal="center" vertical="center" wrapText="1"/>
    </xf>
    <xf numFmtId="2" fontId="19" fillId="0" borderId="0" pivotButton="0" quotePrefix="0" xfId="0"/>
    <xf numFmtId="166" fontId="19" fillId="0" borderId="0" pivotButton="0" quotePrefix="0" xfId="0"/>
    <xf numFmtId="0" fontId="19" fillId="7" borderId="0" applyAlignment="1" pivotButton="0" quotePrefix="0" xfId="0">
      <alignment horizontal="center" vertical="center" wrapText="1"/>
    </xf>
    <xf numFmtId="0" fontId="21" fillId="0" borderId="0" pivotButton="0" quotePrefix="0" xfId="0"/>
    <xf numFmtId="0" fontId="0" fillId="0" borderId="0" applyAlignment="1" pivotButton="0" quotePrefix="0" xfId="0">
      <alignment vertical="top" wrapText="1"/>
    </xf>
    <xf numFmtId="0" fontId="19" fillId="0" borderId="4" applyAlignment="1" pivotButton="0" quotePrefix="0" xfId="0">
      <alignment vertical="top" wrapText="1"/>
    </xf>
    <xf numFmtId="0" fontId="0" fillId="0" borderId="4" applyAlignment="1" pivotButton="0" quotePrefix="0" xfId="0">
      <alignment horizontal="center" vertical="center" wrapText="1"/>
    </xf>
    <xf numFmtId="0" fontId="19" fillId="8" borderId="4" applyAlignment="1" pivotButton="0" quotePrefix="0" xfId="0">
      <alignment horizontal="center" vertical="center" wrapText="1"/>
    </xf>
    <xf numFmtId="0" fontId="0" fillId="0" borderId="4" pivotButton="0" quotePrefix="0" xfId="0"/>
    <xf numFmtId="167" fontId="0" fillId="0" borderId="4" pivotButton="0" quotePrefix="0" xfId="0"/>
    <xf numFmtId="0" fontId="19" fillId="0" borderId="0" applyAlignment="1" pivotButton="0" quotePrefix="0" xfId="0">
      <alignment horizontal="center" vertical="center" wrapText="1"/>
    </xf>
    <xf numFmtId="2" fontId="0" fillId="0" borderId="4" pivotButton="0" quotePrefix="0" xfId="0"/>
    <xf numFmtId="0" fontId="22" fillId="0" borderId="0" applyAlignment="1" pivotButton="0" quotePrefix="0" xfId="0">
      <alignment vertical="top" wrapText="1"/>
    </xf>
    <xf numFmtId="0" fontId="0" fillId="0" borderId="4" applyAlignment="1" pivotButton="0" quotePrefix="0" xfId="0">
      <alignment vertical="top" wrapText="1"/>
    </xf>
    <xf numFmtId="1" fontId="0" fillId="0" borderId="4" applyAlignment="1" pivotButton="0" quotePrefix="0" xfId="0">
      <alignment horizontal="center" vertical="center" wrapText="1"/>
    </xf>
    <xf numFmtId="0" fontId="22" fillId="0" borderId="0" pivotButton="0" quotePrefix="0" xfId="0"/>
    <xf numFmtId="0" fontId="19" fillId="9" borderId="4" applyAlignment="1" pivotButton="0" quotePrefix="0" xfId="0">
      <alignment horizontal="center" vertical="center" wrapText="1"/>
    </xf>
  </cellXfs>
  <cellStyles count="1">
    <cellStyle name="Normal" xfId="0" builtinId="0"/>
  </cellStyles>
  <dxfs count="7">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ill>
        <patternFill patternType="solid">
          <fgColor rgb="00E7E6E6"/>
        </patternFill>
      </fill>
    </dxf>
  </dxfs>
  <tableStyles count="9" defaultTableStyle="TableStyleMedium9" defaultPivotStyle="PivotStyleLight16">
    <tableStyle name="Proposed Solution - CX + FDE En-style" pivot="0" count="5">
      <tableStyleElement type="headerRow" dxfId="1"/>
      <tableStyleElement type="firstRowStripe" dxfId="2"/>
      <tableStyleElement type="secondRowStripe" dxfId="3"/>
      <tableStyleElement type="totalRow" dxfId="4"/>
      <tableStyleElement type="wholeTable" size="0" dxfId="5"/>
    </tableStyle>
    <tableStyle name="Proposed Solution - CX + FDE En-style 2" pivot="0" count="5">
      <tableStyleElement type="headerRow" dxfId="1"/>
      <tableStyleElement type="firstRowStripe" dxfId="2"/>
      <tableStyleElement type="secondRowStripe" dxfId="3"/>
      <tableStyleElement type="totalRow" dxfId="4"/>
      <tableStyleElement type="wholeTable" size="0" dxfId="5"/>
    </tableStyle>
    <tableStyle name="Proposed Solution - CX + FDE En-style 3" pivot="0" count="5">
      <tableStyleElement type="headerRow" dxfId="1"/>
      <tableStyleElement type="firstRowStripe" dxfId="2"/>
      <tableStyleElement type="secondRowStripe" dxfId="3"/>
      <tableStyleElement type="totalRow" dxfId="4"/>
      <tableStyleElement type="wholeTable" size="0" dxfId="5"/>
    </tableStyle>
    <tableStyle name="Proposed Solution with CX Coach-style" pivot="0" count="5">
      <tableStyleElement type="headerRow" dxfId="1"/>
      <tableStyleElement type="firstRowStripe" dxfId="2"/>
      <tableStyleElement type="secondRowStripe" dxfId="3"/>
      <tableStyleElement type="totalRow" dxfId="4"/>
      <tableStyleElement type="wholeTable" size="0" dxfId="5"/>
    </tableStyle>
    <tableStyle name="Proposed Solution with CX Coach-style 2" pivot="0" count="5">
      <tableStyleElement type="headerRow" dxfId="1"/>
      <tableStyleElement type="firstRowStripe" dxfId="2"/>
      <tableStyleElement type="secondRowStripe" dxfId="3"/>
      <tableStyleElement type="totalRow" dxfId="4"/>
      <tableStyleElement type="wholeTable" size="0" dxfId="5"/>
    </tableStyle>
    <tableStyle name="Proposed Solution with CX Coach-style 3" pivot="0" count="5">
      <tableStyleElement type="headerRow" dxfId="1"/>
      <tableStyleElement type="firstRowStripe" dxfId="2"/>
      <tableStyleElement type="secondRowStripe" dxfId="3"/>
      <tableStyleElement type="totalRow" dxfId="4"/>
      <tableStyleElement type="wholeTable" size="0" dxfId="5"/>
    </tableStyle>
    <tableStyle name="Proposed Solution Without CX Pa-style" pivot="0" count="5">
      <tableStyleElement type="headerRow" dxfId="1"/>
      <tableStyleElement type="firstRowStripe" dxfId="2"/>
      <tableStyleElement type="secondRowStripe" dxfId="3"/>
      <tableStyleElement type="totalRow" dxfId="4"/>
      <tableStyleElement type="wholeTable" size="0" dxfId="5"/>
    </tableStyle>
    <tableStyle name="Proposed Solution Without CX Pa-style 2" pivot="0" count="5">
      <tableStyleElement type="headerRow" dxfId="1"/>
      <tableStyleElement type="firstRowStripe" dxfId="2"/>
      <tableStyleElement type="secondRowStripe" dxfId="3"/>
      <tableStyleElement type="totalRow" dxfId="4"/>
      <tableStyleElement type="wholeTable" size="0" dxfId="5"/>
    </tableStyle>
    <tableStyle name="Proposed Solution Without CX Pa-style 3" pivot="0" count="5">
      <tableStyleElement type="headerRow" dxfId="1"/>
      <tableStyleElement type="firstRowStripe" dxfId="2"/>
      <tableStyleElement type="secondRowStripe" dxfId="3"/>
      <tableStyleElement type="totalRow" dxfId="4"/>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ables/table1.xml><?xml version="1.0" encoding="utf-8"?>
<table xmlns="http://schemas.openxmlformats.org/spreadsheetml/2006/main" id="1" name="CX_Coaching" displayName="CX_Coaching" ref="A3:D10" headerRowCount="1" totalsRowCount="1">
  <tableColumns count="4">
    <tableColumn id="1" name="Rollup"/>
    <tableColumn id="2" name="Item" totalsRowLabel="Non-Subscription Price "/>
    <tableColumn id="3" name="Milestone Deliverables"/>
    <tableColumn id="4" name="Total Cost" totalsRowFunction="custom"/>
  </tableColumns>
  <tableStyleInfo name="Proposed Solution - CX + FDE En-style" showFirstColumn="1" showLastColumn="1" showRowStripes="1" showColumnStripes="0"/>
</table>
</file>

<file path=xl/tables/table2.xml><?xml version="1.0" encoding="utf-8"?>
<table xmlns="http://schemas.openxmlformats.org/spreadsheetml/2006/main" id="2" name="FDE_Only" displayName="FDE_Only" ref="A13:D19" headerRowCount="1" totalsRowCount="1">
  <tableColumns count="4">
    <tableColumn id="1" name="Rollup"/>
    <tableColumn id="2" name="Item" totalsRowLabel="Non-Subscription Price "/>
    <tableColumn id="3" name="Count of Milestone Deliverables"/>
    <tableColumn id="4" name="Total Cost" totalsRowFunction="custom"/>
  </tableColumns>
  <tableStyleInfo name="Proposed Solution - CX + FDE En-style 2" showFirstColumn="1" showLastColumn="1" showRowStripes="1" showColumnStripes="0"/>
</table>
</file>

<file path=xl/tables/table3.xml><?xml version="1.0" encoding="utf-8"?>
<table xmlns="http://schemas.openxmlformats.org/spreadsheetml/2006/main" id="3" name="Proposal" displayName="Proposal" ref="A22:D29" headerRowCount="1" totalsRowCount="1">
  <tableColumns count="4">
    <tableColumn id="1" name="Rollup"/>
    <tableColumn id="2" name="Item" totalsRowLabel="Non-Subscription Price "/>
    <tableColumn id="3" name="Count of Milestone Deliverables"/>
    <tableColumn id="4" name="Total Cost" totalsRowFunction="custom"/>
  </tableColumns>
  <tableStyleInfo name="Proposed Solution - CX + FDE En-style 3" showFirstColumn="1" showLastColumn="1" showRowStripes="1" showColumnStripes="0"/>
</table>
</file>

<file path=xl/tables/table4.xml><?xml version="1.0" encoding="utf-8"?>
<table xmlns="http://schemas.openxmlformats.org/spreadsheetml/2006/main" id="4" name="CX_Coaching_3" displayName="CX_Coaching_3" ref="A3:E10" headerRowCount="1" totalsRowCount="1">
  <tableColumns count="5">
    <tableColumn id="1" name="Rollup"/>
    <tableColumn id="2" name="Item" totalsRowLabel="Non-Subscription Price "/>
    <tableColumn id="3" name="Milestone Deliverables"/>
    <tableColumn id="4" name="Total Cost" totalsRowFunction="custom"/>
    <tableColumn id="5" name="Total Hours" totalsRowFunction="custom"/>
  </tableColumns>
  <tableStyleInfo name="Proposed Solution with CX Coach-style" showFirstColumn="1" showLastColumn="1" showRowStripes="1" showColumnStripes="0"/>
</table>
</file>

<file path=xl/tables/table5.xml><?xml version="1.0" encoding="utf-8"?>
<table xmlns="http://schemas.openxmlformats.org/spreadsheetml/2006/main" id="5" name="FDE_Only_3" displayName="FDE_Only_3" ref="A13:E19" headerRowCount="1" totalsRowCount="1">
  <tableColumns count="5">
    <tableColumn id="1" name="Rollup"/>
    <tableColumn id="2" name="Item" totalsRowLabel="Non-Subscription Price "/>
    <tableColumn id="3" name="Count of Milestone Deliverables"/>
    <tableColumn id="4" name="Total Cost" totalsRowFunction="custom"/>
    <tableColumn id="5" name="Total Hours" totalsRowFunction="custom"/>
  </tableColumns>
  <tableStyleInfo name="Proposed Solution with CX Coach-style 2" showFirstColumn="1" showLastColumn="1" showRowStripes="1" showColumnStripes="0"/>
</table>
</file>

<file path=xl/tables/table6.xml><?xml version="1.0" encoding="utf-8"?>
<table xmlns="http://schemas.openxmlformats.org/spreadsheetml/2006/main" id="6" name="Proposal_3" displayName="Proposal_3" ref="A22:E29" headerRowCount="1" totalsRowCount="1">
  <tableColumns count="5">
    <tableColumn id="1" name="Rollup"/>
    <tableColumn id="2" name="Item" totalsRowLabel="Non-Subscription Price "/>
    <tableColumn id="3" name="Count of Milestone Deliverables"/>
    <tableColumn id="4" name="Total Cost" totalsRowFunction="custom"/>
    <tableColumn id="5" name="Total Hours" totalsRowFunction="custom"/>
  </tableColumns>
  <tableStyleInfo name="Proposed Solution with CX Coach-style 3" showFirstColumn="1" showLastColumn="1" showRowStripes="1" showColumnStripes="0"/>
</table>
</file>

<file path=xl/tables/table7.xml><?xml version="1.0" encoding="utf-8"?>
<table xmlns="http://schemas.openxmlformats.org/spreadsheetml/2006/main" id="7" name="CX_Coaching_2" displayName="CX_Coaching_2" ref="A3:E10" headerRowCount="1" totalsRowCount="1">
  <tableColumns count="5">
    <tableColumn id="1" name="Rollup"/>
    <tableColumn id="2" name="Item" totalsRowLabel="Non-Subscription Price "/>
    <tableColumn id="3" name="Milestone Deliverables"/>
    <tableColumn id="4" name="Total Cost" totalsRowFunction="custom"/>
    <tableColumn id="5" name="Total Hours" totalsRowFunction="custom"/>
  </tableColumns>
  <tableStyleInfo name="Proposed Solution Without CX Pa-style" showFirstColumn="1" showLastColumn="1" showRowStripes="1" showColumnStripes="0"/>
</table>
</file>

<file path=xl/tables/table8.xml><?xml version="1.0" encoding="utf-8"?>
<table xmlns="http://schemas.openxmlformats.org/spreadsheetml/2006/main" id="8" name="FDE_Only_2" displayName="FDE_Only_2" ref="A13:E19" headerRowCount="1" totalsRowCount="1">
  <tableColumns count="5">
    <tableColumn id="1" name="Rollup"/>
    <tableColumn id="2" name="Item" totalsRowLabel="Non-Subscription Price "/>
    <tableColumn id="3" name="Count of Milestone Deliverables"/>
    <tableColumn id="4" name="Total Cost" totalsRowFunction="custom"/>
    <tableColumn id="5" name="Total Hours" totalsRowFunction="custom"/>
  </tableColumns>
  <tableStyleInfo name="Proposed Solution Without CX Pa-style 2" showFirstColumn="1" showLastColumn="1" showRowStripes="1" showColumnStripes="0"/>
</table>
</file>

<file path=xl/tables/table9.xml><?xml version="1.0" encoding="utf-8"?>
<table xmlns="http://schemas.openxmlformats.org/spreadsheetml/2006/main" id="9" name="Proposal_2" displayName="Proposal_2" ref="A22:E29" headerRowCount="1" totalsRowCount="1">
  <tableColumns count="5">
    <tableColumn id="1" name="Rollup"/>
    <tableColumn id="2" name="Item" totalsRowLabel="Non-Subscription Price "/>
    <tableColumn id="3" name="Count of Milestone Deliverables"/>
    <tableColumn id="4" name="Total Cost" totalsRowFunction="custom"/>
    <tableColumn id="5" name="Total Hours" totalsRowFunction="custom"/>
  </tableColumns>
  <tableStyleInfo name="Proposed Solution Without CX Pa-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_rels/sheet13.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_rels/sheet15.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 Type="http://schemas.openxmlformats.org/officeDocument/2006/relationships/table" Target="/xl/tables/table9.xml" Id="rId3"/></Relationships>
</file>

<file path=xl/worksheets/sheet1.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34" customWidth="1" style="74" min="1" max="1"/>
    <col width="38" customWidth="1" style="74" min="2" max="2"/>
    <col width="18" customWidth="1" style="74" min="3" max="3"/>
    <col width="18" customWidth="1" style="74" min="4" max="4"/>
  </cols>
  <sheetData>
    <row r="1">
      <c r="A1" s="75" t="inlineStr">
        <is>
          <t>Estimation Inputs</t>
        </is>
      </c>
    </row>
    <row r="2"/>
    <row r="3">
      <c r="A3" s="76" t="inlineStr">
        <is>
          <t>Delivery Model</t>
        </is>
      </c>
      <c r="B3" s="0" t="inlineStr">
        <is>
          <t>Hybrid Service Delivery</t>
        </is>
      </c>
    </row>
    <row r="4">
      <c r="A4" s="76" t="inlineStr">
        <is>
          <t>Journey</t>
        </is>
      </c>
      <c r="B4" s="0" t="inlineStr">
        <is>
          <t>1 Journey</t>
        </is>
      </c>
    </row>
    <row r="5">
      <c r="A5" s="76" t="inlineStr">
        <is>
          <t>Deployment</t>
        </is>
      </c>
      <c r="B5" s="0" t="inlineStr">
        <is>
          <t>1 Deployment</t>
        </is>
      </c>
    </row>
    <row r="6">
      <c r="A6" s="76" t="inlineStr">
        <is>
          <t>Default Complexity</t>
        </is>
      </c>
      <c r="B6" s="0" t="inlineStr">
        <is>
          <t>Medium</t>
        </is>
      </c>
    </row>
    <row r="7">
      <c r="A7" s="76" t="inlineStr">
        <is>
          <t>Readiness/Maturity Multiplier</t>
        </is>
      </c>
      <c r="B7" s="0">
        <f>IFERROR('Readiness &amp; Maturity'!$B$16,1)</f>
        <v/>
      </c>
    </row>
    <row r="8">
      <c r="A8" s="76" t="inlineStr">
        <is>
          <t>Readiness Level (calculated)</t>
        </is>
      </c>
      <c r="B8" s="0">
        <f>IFERROR('Readiness &amp; Maturity'!$B$15,"-")</f>
        <v/>
      </c>
    </row>
  </sheetData>
  <mergeCells count="1">
    <mergeCell ref="A1:D1"/>
  </mergeCells>
  <dataValidations count="4">
    <dataValidation sqref="B3" showDropDown="0" showInputMessage="0" showErrorMessage="0" allowBlank="0" type="list">
      <formula1>"Managed Service Delivery,Hybrid Service Delivery"</formula1>
    </dataValidation>
    <dataValidation sqref="B4" showDropDown="0" showInputMessage="0" showErrorMessage="0" allowBlank="0" type="list">
      <formula1>='Lookups - JourneyDeployment'!$A$3:$A$6</formula1>
    </dataValidation>
    <dataValidation sqref="B5" showDropDown="0" showInputMessage="0" showErrorMessage="0" allowBlank="0" type="list">
      <formula1>='Lookups - JourneyDeployment'!$D$3:$D$6</formula1>
    </dataValidation>
    <dataValidation sqref="B6" showDropDown="0" showInputMessage="0" showErrorMessage="0" allowBlank="0" type="list">
      <formula1>='Lookups - JourneyDeployment'!$G$3:$G$5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showGridLines="0" workbookViewId="0">
      <selection activeCell="A1" sqref="A1"/>
    </sheetView>
  </sheetViews>
  <sheetFormatPr baseColWidth="8" defaultRowHeight="15"/>
  <cols>
    <col width="22" customWidth="1" style="74" min="1" max="1"/>
    <col width="12" customWidth="1" style="74" min="2" max="2"/>
    <col width="22" customWidth="1" style="74" min="4" max="4"/>
    <col width="12" customWidth="1" style="74" min="5" max="5"/>
    <col width="14" customWidth="1" style="74" min="7" max="7"/>
    <col width="16" customWidth="1" style="74" min="9" max="9"/>
    <col width="18" customWidth="1" style="74" min="11" max="11"/>
    <col width="18" customWidth="1" style="74" min="12" max="12"/>
  </cols>
  <sheetData>
    <row r="1">
      <c r="A1" s="77" t="inlineStr">
        <is>
          <t>Journey options</t>
        </is>
      </c>
      <c r="B1" s="77" t="n"/>
      <c r="C1" s="77" t="n"/>
      <c r="D1" s="77" t="inlineStr">
        <is>
          <t>Deployment options</t>
        </is>
      </c>
      <c r="E1" s="77" t="n"/>
      <c r="F1" s="77" t="n"/>
      <c r="G1" s="77" t="inlineStr">
        <is>
          <t>Complexity</t>
        </is>
      </c>
      <c r="H1" s="77" t="n"/>
      <c r="I1" s="77" t="inlineStr">
        <is>
          <t>Delivery owner</t>
        </is>
      </c>
      <c r="J1" s="77" t="n"/>
      <c r="K1" s="77" t="inlineStr">
        <is>
          <t>Role mapping (WBS → standard rate role)</t>
        </is>
      </c>
      <c r="L1" s="77" t="n"/>
    </row>
    <row r="2" ht="28" customHeight="1" s="74">
      <c r="A2" s="78" t="inlineStr">
        <is>
          <t>Journey</t>
        </is>
      </c>
      <c r="B2" s="78" t="inlineStr">
        <is>
          <t>Multiplier</t>
        </is>
      </c>
      <c r="C2" s="78" t="n"/>
      <c r="D2" s="78" t="inlineStr">
        <is>
          <t>Deployment</t>
        </is>
      </c>
      <c r="E2" s="78" t="inlineStr">
        <is>
          <t>Multiplier</t>
        </is>
      </c>
      <c r="F2" s="78" t="n"/>
      <c r="G2" s="78" t="inlineStr">
        <is>
          <t>Option</t>
        </is>
      </c>
      <c r="H2" s="78" t="n"/>
      <c r="I2" s="78" t="inlineStr">
        <is>
          <t>Option</t>
        </is>
      </c>
      <c r="J2" s="78" t="n"/>
      <c r="K2" s="78" t="inlineStr">
        <is>
          <t>WBS Role</t>
        </is>
      </c>
      <c r="L2" s="78" t="inlineStr">
        <is>
          <t>Standard Role</t>
        </is>
      </c>
    </row>
    <row r="3">
      <c r="A3" s="0" t="inlineStr">
        <is>
          <t>1 Journey</t>
        </is>
      </c>
      <c r="B3" s="0" t="n">
        <v>1</v>
      </c>
      <c r="D3" s="0" t="inlineStr">
        <is>
          <t>1 Deployment</t>
        </is>
      </c>
      <c r="E3" s="0" t="n">
        <v>1</v>
      </c>
      <c r="G3" s="0" t="inlineStr">
        <is>
          <t>Low</t>
        </is>
      </c>
      <c r="I3" s="0" t="inlineStr">
        <is>
          <t>Knapsack</t>
        </is>
      </c>
      <c r="K3" s="0" t="inlineStr">
        <is>
          <t>CX Partner</t>
        </is>
      </c>
      <c r="L3" s="0" t="inlineStr">
        <is>
          <t>CX Partner</t>
        </is>
      </c>
    </row>
    <row r="4">
      <c r="A4" s="0" t="inlineStr">
        <is>
          <t>2–3 Journeys</t>
        </is>
      </c>
      <c r="B4" s="0" t="n">
        <v>1.5</v>
      </c>
      <c r="D4" s="0" t="inlineStr">
        <is>
          <t>2 Deployments</t>
        </is>
      </c>
      <c r="E4" s="0" t="n">
        <v>1.4</v>
      </c>
      <c r="G4" s="0" t="inlineStr">
        <is>
          <t>Medium</t>
        </is>
      </c>
      <c r="I4" s="0" t="inlineStr">
        <is>
          <t>Client/SCE</t>
        </is>
      </c>
      <c r="K4" s="0" t="inlineStr">
        <is>
          <t>Project Manager</t>
        </is>
      </c>
      <c r="L4" s="0" t="inlineStr">
        <is>
          <t>Project Manager</t>
        </is>
      </c>
    </row>
    <row r="5">
      <c r="A5" s="0" t="inlineStr">
        <is>
          <t>4–6 Journeys</t>
        </is>
      </c>
      <c r="B5" s="0" t="n">
        <v>2</v>
      </c>
      <c r="D5" s="0" t="inlineStr">
        <is>
          <t>3–5 Deployments</t>
        </is>
      </c>
      <c r="E5" s="0" t="n">
        <v>2</v>
      </c>
      <c r="G5" s="0" t="inlineStr">
        <is>
          <t>High</t>
        </is>
      </c>
      <c r="K5" s="0" t="inlineStr">
        <is>
          <t>Engineer</t>
        </is>
      </c>
      <c r="L5" s="0" t="inlineStr">
        <is>
          <t>Solution Analyst</t>
        </is>
      </c>
    </row>
    <row r="6">
      <c r="A6" s="0" t="inlineStr">
        <is>
          <t>7+ Journeys</t>
        </is>
      </c>
      <c r="B6" s="0" t="n">
        <v>3</v>
      </c>
      <c r="D6" s="0" t="inlineStr">
        <is>
          <t>6+ Deployments</t>
        </is>
      </c>
      <c r="E6" s="0" t="n">
        <v>2.8</v>
      </c>
      <c r="K6" s="0" t="inlineStr">
        <is>
          <t>SME</t>
        </is>
      </c>
      <c r="L6" s="0" t="inlineStr">
        <is>
          <t>SME</t>
        </is>
      </c>
    </row>
    <row r="7">
      <c r="K7" s="0" t="inlineStr">
        <is>
          <t>Design Lead</t>
        </is>
      </c>
      <c r="L7" s="0" t="inlineStr">
        <is>
          <t>Executive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22" customWidth="1" style="74" min="1" max="1"/>
    <col width="14" customWidth="1" style="74" min="2" max="2"/>
    <col width="12" customWidth="1" style="74" min="3" max="3"/>
    <col width="28" customWidth="1" style="74" min="4" max="4"/>
    <col width="24" customWidth="1" style="74" min="5" max="5"/>
  </cols>
  <sheetData>
    <row r="1" ht="28" customHeight="1" s="74">
      <c r="A1" s="78" t="inlineStr">
        <is>
          <t>Standard Role</t>
        </is>
      </c>
      <c r="B1" s="78" t="inlineStr">
        <is>
          <t>Provider</t>
        </is>
      </c>
      <c r="C1" s="78" t="inlineStr">
        <is>
          <t>Rate ($/hr)</t>
        </is>
      </c>
      <c r="D1" s="78" t="inlineStr">
        <is>
          <t>Source</t>
        </is>
      </c>
      <c r="E1" s="78" t="inlineStr">
        <is>
          <t>Key</t>
        </is>
      </c>
    </row>
    <row r="2">
      <c r="A2" s="79" t="inlineStr">
        <is>
          <t>CX Partner</t>
        </is>
      </c>
      <c r="B2" s="79" t="inlineStr">
        <is>
          <t>Knapsack</t>
        </is>
      </c>
      <c r="C2" s="80" t="n">
        <v>600</v>
      </c>
      <c r="D2" s="79" t="inlineStr">
        <is>
          <t>Knapsack bill rate</t>
        </is>
      </c>
      <c r="E2" s="79" t="inlineStr">
        <is>
          <t>CX Partner|Knapsack</t>
        </is>
      </c>
    </row>
    <row r="3">
      <c r="A3" s="79" t="inlineStr">
        <is>
          <t>Senior Solution Analyst</t>
        </is>
      </c>
      <c r="B3" s="79" t="inlineStr">
        <is>
          <t>Knapsack</t>
        </is>
      </c>
      <c r="C3" s="80" t="n">
        <v>550</v>
      </c>
      <c r="D3" s="79" t="inlineStr">
        <is>
          <t>Knapsack bill rate</t>
        </is>
      </c>
      <c r="E3" s="79" t="inlineStr">
        <is>
          <t>Senior Solution Analyst|Knapsack</t>
        </is>
      </c>
    </row>
    <row r="4">
      <c r="A4" s="79" t="inlineStr">
        <is>
          <t>Solution Analyst</t>
        </is>
      </c>
      <c r="B4" s="79" t="inlineStr">
        <is>
          <t>Knapsack</t>
        </is>
      </c>
      <c r="C4" s="80" t="n">
        <v>400</v>
      </c>
      <c r="D4" s="79" t="inlineStr">
        <is>
          <t>Knapsack bill rate</t>
        </is>
      </c>
      <c r="E4" s="79" t="inlineStr">
        <is>
          <t>Solution Analyst|Knapsack</t>
        </is>
      </c>
    </row>
    <row r="5">
      <c r="A5" s="79" t="inlineStr">
        <is>
          <t>Project Manager</t>
        </is>
      </c>
      <c r="B5" s="79" t="inlineStr">
        <is>
          <t>Knapsack</t>
        </is>
      </c>
      <c r="C5" s="80" t="n">
        <v>400</v>
      </c>
      <c r="D5" s="79" t="inlineStr">
        <is>
          <t>Knapsack bill rate</t>
        </is>
      </c>
      <c r="E5" s="79" t="inlineStr">
        <is>
          <t>Project Manager|Knapsack</t>
        </is>
      </c>
    </row>
    <row r="6">
      <c r="A6" s="79" t="inlineStr">
        <is>
          <t>SME</t>
        </is>
      </c>
      <c r="B6" s="79" t="inlineStr">
        <is>
          <t>Knapsack</t>
        </is>
      </c>
      <c r="C6" s="80" t="n">
        <v>750</v>
      </c>
      <c r="D6" s="79" t="inlineStr">
        <is>
          <t>Knapsack bill rate</t>
        </is>
      </c>
      <c r="E6" s="79" t="inlineStr">
        <is>
          <t>SME|Knapsack</t>
        </is>
      </c>
    </row>
    <row r="7">
      <c r="A7" s="79" t="inlineStr">
        <is>
          <t>Executive</t>
        </is>
      </c>
      <c r="B7" s="79" t="inlineStr">
        <is>
          <t>Knapsack</t>
        </is>
      </c>
      <c r="C7" s="80" t="n">
        <v>825</v>
      </c>
      <c r="D7" s="79" t="inlineStr">
        <is>
          <t>Knapsack bill rate</t>
        </is>
      </c>
      <c r="E7" s="79" t="inlineStr">
        <is>
          <t>Executive|Knapsack</t>
        </is>
      </c>
    </row>
    <row r="8">
      <c r="A8" s="79" t="inlineStr">
        <is>
          <t>CX Partner</t>
        </is>
      </c>
      <c r="B8" s="79" t="inlineStr">
        <is>
          <t>Client/SCE</t>
        </is>
      </c>
      <c r="C8" s="80" t="n">
        <v>140</v>
      </c>
      <c r="D8" s="79" t="inlineStr">
        <is>
          <t>Default CSE rate (edit)</t>
        </is>
      </c>
      <c r="E8" s="79" t="inlineStr">
        <is>
          <t>CX Partner|Client/SCE</t>
        </is>
      </c>
    </row>
    <row r="9">
      <c r="A9" s="79" t="inlineStr">
        <is>
          <t>Senior Solution Analyst</t>
        </is>
      </c>
      <c r="B9" s="79" t="inlineStr">
        <is>
          <t>Client/SCE</t>
        </is>
      </c>
      <c r="C9" s="80" t="n">
        <v>140</v>
      </c>
      <c r="D9" s="79" t="inlineStr">
        <is>
          <t>Default CSE rate (edit)</t>
        </is>
      </c>
      <c r="E9" s="79" t="inlineStr">
        <is>
          <t>Senior Solution Analyst|Client/SCE</t>
        </is>
      </c>
    </row>
    <row r="10">
      <c r="A10" s="79" t="inlineStr">
        <is>
          <t>Solution Analyst</t>
        </is>
      </c>
      <c r="B10" s="79" t="inlineStr">
        <is>
          <t>Client/SCE</t>
        </is>
      </c>
      <c r="C10" s="80" t="n">
        <v>140</v>
      </c>
      <c r="D10" s="79" t="inlineStr">
        <is>
          <t>Default CSE rate (edit)</t>
        </is>
      </c>
      <c r="E10" s="79" t="inlineStr">
        <is>
          <t>Solution Analyst|Client/SCE</t>
        </is>
      </c>
    </row>
    <row r="11">
      <c r="A11" s="79" t="inlineStr">
        <is>
          <t>Project Manager</t>
        </is>
      </c>
      <c r="B11" s="79" t="inlineStr">
        <is>
          <t>Client/SCE</t>
        </is>
      </c>
      <c r="C11" s="80" t="n">
        <v>140</v>
      </c>
      <c r="D11" s="79" t="inlineStr">
        <is>
          <t>Default CSE rate (edit)</t>
        </is>
      </c>
      <c r="E11" s="79" t="inlineStr">
        <is>
          <t>Project Manager|Client/SCE</t>
        </is>
      </c>
    </row>
    <row r="12">
      <c r="A12" s="79" t="inlineStr">
        <is>
          <t>SME</t>
        </is>
      </c>
      <c r="B12" s="79" t="inlineStr">
        <is>
          <t>Client/SCE</t>
        </is>
      </c>
      <c r="C12" s="80" t="n">
        <v>140</v>
      </c>
      <c r="D12" s="79" t="inlineStr">
        <is>
          <t>Default CSE rate (edit)</t>
        </is>
      </c>
      <c r="E12" s="79" t="inlineStr">
        <is>
          <t>SME|Client/SCE</t>
        </is>
      </c>
    </row>
    <row r="13">
      <c r="A13" s="79" t="inlineStr">
        <is>
          <t>Executive</t>
        </is>
      </c>
      <c r="B13" s="79" t="inlineStr">
        <is>
          <t>Client/SCE</t>
        </is>
      </c>
      <c r="C13" s="80" t="n">
        <v>140</v>
      </c>
      <c r="D13" s="79" t="inlineStr">
        <is>
          <t>Default CSE rate (edit)</t>
        </is>
      </c>
      <c r="E13" s="79" t="inlineStr">
        <is>
          <t>Executive|Client/SCE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0"/>
  <sheetViews>
    <sheetView showGridLines="0" workbookViewId="0">
      <selection activeCell="A1" sqref="A1"/>
    </sheetView>
  </sheetViews>
  <sheetFormatPr baseColWidth="8" defaultRowHeight="15"/>
  <cols>
    <col width="30" customWidth="1" style="74" min="1" max="1"/>
    <col width="22" customWidth="1" style="74" min="2" max="2"/>
    <col width="2" customWidth="1" style="74" min="3" max="3"/>
    <col width="18" customWidth="1" style="74" min="4" max="4"/>
    <col width="18" customWidth="1" style="74" min="5" max="5"/>
    <col width="26" customWidth="1" style="74" min="6" max="6"/>
  </cols>
  <sheetData>
    <row r="1">
      <c r="A1" s="90" t="inlineStr">
        <is>
          <t>Readiness &amp; Maturity (PCRI-driven)</t>
        </is>
      </c>
    </row>
    <row r="2"/>
    <row r="3">
      <c r="A3" s="91" t="inlineStr">
        <is>
          <t>PCRI is calculated on the 'PCRI Assessment' tab. Outputs below drive estimation multipliers and WBS prescription.</t>
        </is>
      </c>
    </row>
    <row r="4"/>
    <row r="5" ht="24" customHeight="1" s="74">
      <c r="A5" s="92" t="inlineStr">
        <is>
          <t>PCRI Score</t>
        </is>
      </c>
      <c r="B5" s="93">
        <f>'PCRI Assessment'!$J$20</f>
        <v/>
      </c>
      <c r="D5" s="94" t="inlineStr">
        <is>
          <t>Archetype</t>
        </is>
      </c>
      <c r="E5" s="94" t="inlineStr">
        <is>
          <t>Default Multiplier</t>
        </is>
      </c>
      <c r="F5" s="94" t="inlineStr">
        <is>
          <t>Notes</t>
        </is>
      </c>
    </row>
    <row r="6">
      <c r="A6" s="92" t="inlineStr">
        <is>
          <t>Archetype</t>
        </is>
      </c>
      <c r="B6" s="93">
        <f>'PCRI Assessment'!$J$21</f>
        <v/>
      </c>
      <c r="D6" s="95" t="inlineStr">
        <is>
          <t>Builder</t>
        </is>
      </c>
      <c r="E6" s="96" t="n">
        <v>1.5</v>
      </c>
      <c r="F6" s="95" t="inlineStr">
        <is>
          <t>More foundation + enablement</t>
        </is>
      </c>
    </row>
    <row r="7">
      <c r="A7" s="92" t="inlineStr">
        <is>
          <t>Foundation (effective)</t>
        </is>
      </c>
      <c r="B7" s="93">
        <f>'PCRI Assessment'!$J$15</f>
        <v/>
      </c>
      <c r="D7" s="95" t="inlineStr">
        <is>
          <t>Adopter</t>
        </is>
      </c>
      <c r="E7" s="96" t="n">
        <v>1.2</v>
      </c>
      <c r="F7" s="95" t="inlineStr">
        <is>
          <t>Enablement sprint + adoption</t>
        </is>
      </c>
    </row>
    <row r="8">
      <c r="A8" s="92" t="inlineStr">
        <is>
          <t>AI Readiness (effective)</t>
        </is>
      </c>
      <c r="B8" s="93">
        <f>'PCRI Assessment'!$J$16</f>
        <v/>
      </c>
      <c r="D8" s="95" t="inlineStr">
        <is>
          <t>Optimizer</t>
        </is>
      </c>
      <c r="E8" s="96" t="n">
        <v>1</v>
      </c>
      <c r="F8" s="95" t="inlineStr">
        <is>
          <t>Standard delivery</t>
        </is>
      </c>
    </row>
    <row r="9">
      <c r="A9" s="92" t="inlineStr">
        <is>
          <t>Governance (effective)</t>
        </is>
      </c>
      <c r="B9" s="93">
        <f>'PCRI Assessment'!$J$17</f>
        <v/>
      </c>
      <c r="D9" s="95" t="inlineStr">
        <is>
          <t>Transformer</t>
        </is>
      </c>
      <c r="E9" s="96" t="n">
        <v>0.9</v>
      </c>
      <c r="F9" s="95" t="inlineStr">
        <is>
          <t>Less enablement; faster execution</t>
        </is>
      </c>
    </row>
    <row r="10">
      <c r="A10" s="92" t="inlineStr">
        <is>
          <t>Delivery (effective)</t>
        </is>
      </c>
      <c r="B10" s="93">
        <f>'PCRI Assessment'!$J$18</f>
        <v/>
      </c>
    </row>
    <row r="11">
      <c r="A11" s="92" t="inlineStr">
        <is>
          <t>Culture (effective)</t>
        </is>
      </c>
      <c r="B11" s="93">
        <f>'PCRI Assessment'!$J$19</f>
        <v/>
      </c>
    </row>
    <row r="12">
      <c r="A12" s="92" t="inlineStr">
        <is>
          <t>AI Gate Applied?</t>
        </is>
      </c>
      <c r="B12" s="93">
        <f>'PCRI Assessment'!$J$13</f>
        <v/>
      </c>
    </row>
    <row r="13">
      <c r="A13" s="92" t="inlineStr">
        <is>
          <t>Delivery Gate Applied?</t>
        </is>
      </c>
      <c r="B13" s="93">
        <f>'PCRI Assessment'!$J$14</f>
        <v/>
      </c>
    </row>
    <row r="14">
      <c r="A14" s="92" t="inlineStr">
        <is>
          <t>Multiplier mapping (edit if needed)</t>
        </is>
      </c>
      <c r="B14" s="93" t="n"/>
      <c r="D14" s="97" t="inlineStr">
        <is>
          <t>Archetype → Multiplier Mapping</t>
        </is>
      </c>
    </row>
    <row r="15">
      <c r="A15" s="92" t="inlineStr">
        <is>
          <t>Readiness level (used by Inputs)</t>
        </is>
      </c>
      <c r="B15" s="93">
        <f>B6</f>
        <v/>
      </c>
      <c r="D15" s="91" t="inlineStr">
        <is>
          <t>Edit the multipliers in column E to calibrate by archetype.</t>
        </is>
      </c>
    </row>
    <row r="16">
      <c r="A16" s="92" t="inlineStr">
        <is>
          <t>Multiplier</t>
        </is>
      </c>
      <c r="B16" s="93">
        <f>IFERROR(XLOOKUP(B6,$D$6:$D$9,$E$6:$E$9),1)</f>
        <v/>
      </c>
    </row>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4">
    <mergeCell ref="D14:F14"/>
    <mergeCell ref="A1:F1"/>
    <mergeCell ref="A3:F3"/>
    <mergeCell ref="D15:F15"/>
  </mergeCells>
  <dataValidations count="1">
    <dataValidation sqref="B6:B11" showDropDown="0" showInputMessage="0" showErrorMessage="0" allowBlank="0" error="Enter an integer from 1 to 5." prompt="Select a score from 1 to 5."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0"/>
  <sheetViews>
    <sheetView showGridLines="0" workbookViewId="0">
      <pane ySplit="1" topLeftCell="A2" activePane="bottomLeft" state="frozen"/>
      <selection pane="bottomLeft" activeCell="A1" sqref="A1"/>
    </sheetView>
  </sheetViews>
  <sheetFormatPr baseColWidth="8" defaultRowHeight="15"/>
  <cols>
    <col width="28" customWidth="1" style="74" min="1" max="1"/>
    <col width="44" customWidth="1" style="74" min="2" max="2"/>
    <col width="12" customWidth="1" style="74" min="3" max="3"/>
    <col width="18" customWidth="1" style="74" min="4" max="4"/>
    <col width="16" customWidth="1" style="74" min="5" max="5"/>
    <col width="14" customWidth="1" style="74" min="6" max="6"/>
    <col width="12" customWidth="1" style="74" min="7" max="7"/>
    <col width="14" customWidth="1" style="74" min="8" max="8"/>
    <col width="18" customWidth="1" style="74" min="9" max="9"/>
    <col width="20" customWidth="1" style="74" min="10" max="10"/>
    <col width="20" customWidth="1" style="74" min="11" max="11"/>
    <col width="14" customWidth="1" style="74" min="12" max="12"/>
    <col width="22" customWidth="1" style="74" min="14" max="14"/>
  </cols>
  <sheetData>
    <row r="1" ht="28" customHeight="1" s="74">
      <c r="A1" s="78" t="inlineStr">
        <is>
          <t>Phase</t>
        </is>
      </c>
      <c r="B1" s="78" t="inlineStr">
        <is>
          <t>Activity / Milestone</t>
        </is>
      </c>
      <c r="C1" s="78" t="inlineStr">
        <is>
          <t># Subtasks</t>
        </is>
      </c>
      <c r="D1" s="78" t="inlineStr">
        <is>
          <t>Complexity (input)</t>
        </is>
      </c>
      <c r="E1" s="78" t="inlineStr">
        <is>
          <t>Base Hours (lookup)</t>
        </is>
      </c>
      <c r="F1" s="78" t="inlineStr">
        <is>
          <t>Readiness Mult</t>
        </is>
      </c>
      <c r="G1" s="78" t="inlineStr">
        <is>
          <t>Journey Mult</t>
        </is>
      </c>
      <c r="H1" s="78" t="inlineStr">
        <is>
          <t>Deployment Mult</t>
        </is>
      </c>
      <c r="I1" s="78" t="inlineStr">
        <is>
          <t>Adjusted Total Hours</t>
        </is>
      </c>
      <c r="J1" s="78" t="inlineStr">
        <is>
          <t>Adjusted Hours / Subtask</t>
        </is>
      </c>
      <c r="K1" s="78" t="inlineStr">
        <is>
          <t>Owner Override (Hybrid)</t>
        </is>
      </c>
      <c r="L1" s="78" t="inlineStr">
        <is>
          <t>Owner Used</t>
        </is>
      </c>
      <c r="M1" s="78" t="inlineStr">
        <is>
          <t>Activity Key</t>
        </is>
      </c>
      <c r="N1" s="94" t="inlineStr">
        <is>
          <t>PCRI Mult (include/prescribe)</t>
        </is>
      </c>
    </row>
    <row r="2" s="74">
      <c r="A2" s="79" t="inlineStr">
        <is>
          <t>Implementation + Onboarding</t>
        </is>
      </c>
      <c r="B2" s="79" t="inlineStr">
        <is>
          <t>Stakeholder Alignment Workshops</t>
        </is>
      </c>
      <c r="C2" s="80" t="n">
        <v>5</v>
      </c>
      <c r="D2" s="80">
        <f>Inputs!$B$6</f>
        <v/>
      </c>
      <c r="E2" s="80">
        <f>IFERROR(INDEX('Lookups - Complexity'!$C$2:$E$200, MATCH(M2,'Lookups - Complexity'!$F$2:$F$200, 0), MATCH(D2, {"Low","Medium","High"}, 0)), 0)</f>
        <v/>
      </c>
      <c r="F2" s="80">
        <f>Inputs!$B$7</f>
        <v/>
      </c>
      <c r="G2" s="80">
        <f>IFERROR(XLOOKUP(Inputs!$B$4,'Lookups - JourneyDeployment'!$A$3:$A$6,'Lookups - JourneyDeployment'!$B$3:$B$6),1)</f>
        <v/>
      </c>
      <c r="H2" s="80">
        <f>IFERROR(XLOOKUP(Inputs!$B$5,'Lookups - JourneyDeployment'!$D$3:$D$6,'Lookups - JourneyDeployment'!$E$3:$E$6),1)</f>
        <v/>
      </c>
      <c r="I2" s="80">
        <f>E2*F2*G2*H2*N2</f>
        <v/>
      </c>
      <c r="J2" s="80">
        <f>IF(C2=0,0,I2/C2)</f>
        <v/>
      </c>
      <c r="K2" s="80" t="inlineStr">
        <is>
          <t>Knapsack</t>
        </is>
      </c>
      <c r="L2" s="80">
        <f>IF(Inputs!$B$3="Managed Service Delivery","Knapsack",IF(K2="","Knapsack",K2))</f>
        <v/>
      </c>
      <c r="M2" s="80">
        <f>A2&amp;"|"&amp;B2</f>
        <v/>
      </c>
      <c r="N2" s="98">
        <f>IFERROR(XLOOKUP(M2,'PCRI WBS Mapping'!$C$2:$C$200,'PCRI WBS Mapping'!$M$2:$M$200),1)</f>
        <v/>
      </c>
    </row>
    <row r="3">
      <c r="A3" s="79" t="inlineStr">
        <is>
          <t>Implementation + Onboarding</t>
        </is>
      </c>
      <c r="B3" s="79" t="inlineStr">
        <is>
          <t>Program management and coordination</t>
        </is>
      </c>
      <c r="C3" s="80" t="n">
        <v>5</v>
      </c>
      <c r="D3" s="80">
        <f>Inputs!$B$6</f>
        <v/>
      </c>
      <c r="E3" s="80">
        <f>IFERROR(INDEX('Lookups - Complexity'!$C$2:$E$200, MATCH(M3,'Lookups - Complexity'!$F$2:$F$200, 0), MATCH(D3, {"Low","Medium","High"}, 0)), 0)</f>
        <v/>
      </c>
      <c r="F3" s="80">
        <f>Inputs!$B$7</f>
        <v/>
      </c>
      <c r="G3" s="80">
        <f>IFERROR(XLOOKUP(Inputs!$B$4,'Lookups - JourneyDeployment'!$A$3:$A$6,'Lookups - JourneyDeployment'!$B$3:$B$6),1)</f>
        <v/>
      </c>
      <c r="H3" s="80">
        <f>IFERROR(XLOOKUP(Inputs!$B$5,'Lookups - JourneyDeployment'!$D$3:$D$6,'Lookups - JourneyDeployment'!$E$3:$E$6),1)</f>
        <v/>
      </c>
      <c r="I3" s="80">
        <f>E3*F3*G3*H3*N3</f>
        <v/>
      </c>
      <c r="J3" s="80">
        <f>IF(C3=0,0,I3/C3)</f>
        <v/>
      </c>
      <c r="K3" s="80" t="inlineStr">
        <is>
          <t>Knapsack</t>
        </is>
      </c>
      <c r="L3" s="80">
        <f>IF(Inputs!$B$3="Managed Service Delivery","Knapsack",IF(K3="","Knapsack",K3))</f>
        <v/>
      </c>
      <c r="M3" s="80">
        <f>A3&amp;"|"&amp;B3</f>
        <v/>
      </c>
      <c r="N3" s="98">
        <f>IFERROR(XLOOKUP(M3,'PCRI WBS Mapping'!$C$2:$C$200,'PCRI WBS Mapping'!$M$2:$M$200),1)</f>
        <v/>
      </c>
    </row>
    <row r="4">
      <c r="A4" s="79" t="inlineStr">
        <is>
          <t>Implementation + Onboarding</t>
        </is>
      </c>
      <c r="B4" s="79" t="inlineStr">
        <is>
          <t>Communication Launch Plan</t>
        </is>
      </c>
      <c r="C4" s="80" t="n">
        <v>5</v>
      </c>
      <c r="D4" s="80">
        <f>Inputs!$B$6</f>
        <v/>
      </c>
      <c r="E4" s="80">
        <f>IFERROR(INDEX('Lookups - Complexity'!$C$2:$E$200, MATCH(M4,'Lookups - Complexity'!$F$2:$F$200, 0), MATCH(D4, {"Low","Medium","High"}, 0)), 0)</f>
        <v/>
      </c>
      <c r="F4" s="80">
        <f>Inputs!$B$7</f>
        <v/>
      </c>
      <c r="G4" s="80">
        <f>IFERROR(XLOOKUP(Inputs!$B$4,'Lookups - JourneyDeployment'!$A$3:$A$6,'Lookups - JourneyDeployment'!$B$3:$B$6),1)</f>
        <v/>
      </c>
      <c r="H4" s="80">
        <f>IFERROR(XLOOKUP(Inputs!$B$5,'Lookups - JourneyDeployment'!$D$3:$D$6,'Lookups - JourneyDeployment'!$E$3:$E$6),1)</f>
        <v/>
      </c>
      <c r="I4" s="80">
        <f>E4*F4*G4*H4*N4</f>
        <v/>
      </c>
      <c r="J4" s="80">
        <f>IF(C4=0,0,I4/C4)</f>
        <v/>
      </c>
      <c r="K4" s="80" t="inlineStr">
        <is>
          <t>Knapsack</t>
        </is>
      </c>
      <c r="L4" s="80">
        <f>IF(Inputs!$B$3="Managed Service Delivery","Knapsack",IF(K4="","Knapsack",K4))</f>
        <v/>
      </c>
      <c r="M4" s="80">
        <f>A4&amp;"|"&amp;B4</f>
        <v/>
      </c>
      <c r="N4" s="98">
        <f>IFERROR(XLOOKUP(M4,'PCRI WBS Mapping'!$C$2:$C$200,'PCRI WBS Mapping'!$M$2:$M$200),1)</f>
        <v/>
      </c>
    </row>
    <row r="5">
      <c r="A5" s="79" t="inlineStr">
        <is>
          <t>Implementation + Onboarding</t>
        </is>
      </c>
      <c r="B5" s="79" t="inlineStr">
        <is>
          <t>Preparation</t>
        </is>
      </c>
      <c r="C5" s="80" t="n">
        <v>5</v>
      </c>
      <c r="D5" s="80">
        <f>Inputs!$B$6</f>
        <v/>
      </c>
      <c r="E5" s="80">
        <f>IFERROR(INDEX('Lookups - Complexity'!$C$2:$E$200, MATCH(M5,'Lookups - Complexity'!$F$2:$F$200, 0), MATCH(D5, {"Low","Medium","High"}, 0)), 0)</f>
        <v/>
      </c>
      <c r="F5" s="80">
        <f>Inputs!$B$7</f>
        <v/>
      </c>
      <c r="G5" s="80">
        <f>IFERROR(XLOOKUP(Inputs!$B$4,'Lookups - JourneyDeployment'!$A$3:$A$6,'Lookups - JourneyDeployment'!$B$3:$B$6),1)</f>
        <v/>
      </c>
      <c r="H5" s="80">
        <f>IFERROR(XLOOKUP(Inputs!$B$5,'Lookups - JourneyDeployment'!$D$3:$D$6,'Lookups - JourneyDeployment'!$E$3:$E$6),1)</f>
        <v/>
      </c>
      <c r="I5" s="80">
        <f>E5*F5*G5*H5*N5</f>
        <v/>
      </c>
      <c r="J5" s="80">
        <f>IF(C5=0,0,I5/C5)</f>
        <v/>
      </c>
      <c r="K5" s="80" t="inlineStr">
        <is>
          <t>Knapsack</t>
        </is>
      </c>
      <c r="L5" s="80">
        <f>IF(Inputs!$B$3="Managed Service Delivery","Knapsack",IF(K5="","Knapsack",K5))</f>
        <v/>
      </c>
      <c r="M5" s="80">
        <f>A5&amp;"|"&amp;B5</f>
        <v/>
      </c>
      <c r="N5" s="98">
        <f>IFERROR(XLOOKUP(M5,'PCRI WBS Mapping'!$C$2:$C$200,'PCRI WBS Mapping'!$M$2:$M$200),1)</f>
        <v/>
      </c>
    </row>
    <row r="6">
      <c r="A6" s="79" t="inlineStr">
        <is>
          <t>Implementation + Onboarding</t>
        </is>
      </c>
      <c r="B6" s="79" t="inlineStr">
        <is>
          <t>Local install support</t>
        </is>
      </c>
      <c r="C6" s="80" t="n">
        <v>5</v>
      </c>
      <c r="D6" s="80">
        <f>Inputs!$B$6</f>
        <v/>
      </c>
      <c r="E6" s="80">
        <f>IFERROR(INDEX('Lookups - Complexity'!$C$2:$E$200, MATCH(M6,'Lookups - Complexity'!$F$2:$F$200, 0), MATCH(D6, {"Low","Medium","High"}, 0)), 0)</f>
        <v/>
      </c>
      <c r="F6" s="80">
        <f>Inputs!$B$7</f>
        <v/>
      </c>
      <c r="G6" s="80">
        <f>IFERROR(XLOOKUP(Inputs!$B$4,'Lookups - JourneyDeployment'!$A$3:$A$6,'Lookups - JourneyDeployment'!$B$3:$B$6),1)</f>
        <v/>
      </c>
      <c r="H6" s="80">
        <f>IFERROR(XLOOKUP(Inputs!$B$5,'Lookups - JourneyDeployment'!$D$3:$D$6,'Lookups - JourneyDeployment'!$E$3:$E$6),1)</f>
        <v/>
      </c>
      <c r="I6" s="80">
        <f>E6*F6*G6*H6*N6</f>
        <v/>
      </c>
      <c r="J6" s="80">
        <f>IF(C6=0,0,I6/C6)</f>
        <v/>
      </c>
      <c r="K6" s="80" t="inlineStr">
        <is>
          <t>Knapsack</t>
        </is>
      </c>
      <c r="L6" s="80">
        <f>IF(Inputs!$B$3="Managed Service Delivery","Knapsack",IF(K6="","Knapsack",K6))</f>
        <v/>
      </c>
      <c r="M6" s="80">
        <f>A6&amp;"|"&amp;B6</f>
        <v/>
      </c>
      <c r="N6" s="98">
        <f>IFERROR(XLOOKUP(M6,'PCRI WBS Mapping'!$C$2:$C$200,'PCRI WBS Mapping'!$M$2:$M$200),1)</f>
        <v/>
      </c>
    </row>
    <row r="7">
      <c r="A7" s="79" t="inlineStr">
        <is>
          <t>Implementation + Onboarding</t>
        </is>
      </c>
      <c r="B7" s="79" t="inlineStr">
        <is>
          <t>Component rendering</t>
        </is>
      </c>
      <c r="C7" s="80" t="n">
        <v>5</v>
      </c>
      <c r="D7" s="80">
        <f>Inputs!$B$6</f>
        <v/>
      </c>
      <c r="E7" s="80">
        <f>IFERROR(INDEX('Lookups - Complexity'!$C$2:$E$200, MATCH(M7,'Lookups - Complexity'!$F$2:$F$200, 0), MATCH(D7, {"Low","Medium","High"}, 0)), 0)</f>
        <v/>
      </c>
      <c r="F7" s="80">
        <f>Inputs!$B$7</f>
        <v/>
      </c>
      <c r="G7" s="80">
        <f>IFERROR(XLOOKUP(Inputs!$B$4,'Lookups - JourneyDeployment'!$A$3:$A$6,'Lookups - JourneyDeployment'!$B$3:$B$6),1)</f>
        <v/>
      </c>
      <c r="H7" s="80">
        <f>IFERROR(XLOOKUP(Inputs!$B$5,'Lookups - JourneyDeployment'!$D$3:$D$6,'Lookups - JourneyDeployment'!$E$3:$E$6),1)</f>
        <v/>
      </c>
      <c r="I7" s="80">
        <f>E7*F7*G7*H7*N7</f>
        <v/>
      </c>
      <c r="J7" s="80">
        <f>IF(C7=0,0,I7/C7)</f>
        <v/>
      </c>
      <c r="K7" s="80" t="inlineStr">
        <is>
          <t>Knapsack</t>
        </is>
      </c>
      <c r="L7" s="80">
        <f>IF(Inputs!$B$3="Managed Service Delivery","Knapsack",IF(K7="","Knapsack",K7))</f>
        <v/>
      </c>
      <c r="M7" s="80">
        <f>A7&amp;"|"&amp;B7</f>
        <v/>
      </c>
      <c r="N7" s="98">
        <f>IFERROR(XLOOKUP(M7,'PCRI WBS Mapping'!$C$2:$C$200,'PCRI WBS Mapping'!$M$2:$M$200),1)</f>
        <v/>
      </c>
    </row>
    <row r="8">
      <c r="A8" s="79" t="inlineStr">
        <is>
          <t>Implementation + Onboarding</t>
        </is>
      </c>
      <c r="B8" s="79" t="inlineStr">
        <is>
          <t>SME support for rendering</t>
        </is>
      </c>
      <c r="C8" s="80" t="n">
        <v>5</v>
      </c>
      <c r="D8" s="80">
        <f>Inputs!$B$6</f>
        <v/>
      </c>
      <c r="E8" s="80">
        <f>IFERROR(INDEX('Lookups - Complexity'!$C$2:$E$200, MATCH(M8,'Lookups - Complexity'!$F$2:$F$200, 0), MATCH(D8, {"Low","Medium","High"}, 0)), 0)</f>
        <v/>
      </c>
      <c r="F8" s="80">
        <f>Inputs!$B$7</f>
        <v/>
      </c>
      <c r="G8" s="80">
        <f>IFERROR(XLOOKUP(Inputs!$B$4,'Lookups - JourneyDeployment'!$A$3:$A$6,'Lookups - JourneyDeployment'!$B$3:$B$6),1)</f>
        <v/>
      </c>
      <c r="H8" s="80">
        <f>IFERROR(XLOOKUP(Inputs!$B$5,'Lookups - JourneyDeployment'!$D$3:$D$6,'Lookups - JourneyDeployment'!$E$3:$E$6),1)</f>
        <v/>
      </c>
      <c r="I8" s="80">
        <f>E8*F8*G8*H8*N8</f>
        <v/>
      </c>
      <c r="J8" s="80">
        <f>IF(C8=0,0,I8/C8)</f>
        <v/>
      </c>
      <c r="K8" s="80" t="inlineStr">
        <is>
          <t>Knapsack</t>
        </is>
      </c>
      <c r="L8" s="80">
        <f>IF(Inputs!$B$3="Managed Service Delivery","Knapsack",IF(K8="","Knapsack",K8))</f>
        <v/>
      </c>
      <c r="M8" s="80">
        <f>A8&amp;"|"&amp;B8</f>
        <v/>
      </c>
      <c r="N8" s="98">
        <f>IFERROR(XLOOKUP(M8,'PCRI WBS Mapping'!$C$2:$C$200,'PCRI WBS Mapping'!$M$2:$M$200),1)</f>
        <v/>
      </c>
    </row>
    <row r="9">
      <c r="A9" s="79" t="inlineStr">
        <is>
          <t>Implementation + Onboarding</t>
        </is>
      </c>
      <c r="B9" s="79" t="inlineStr">
        <is>
          <t>Deployment support</t>
        </is>
      </c>
      <c r="C9" s="80" t="n">
        <v>5</v>
      </c>
      <c r="D9" s="80">
        <f>Inputs!$B$6</f>
        <v/>
      </c>
      <c r="E9" s="80">
        <f>IFERROR(INDEX('Lookups - Complexity'!$C$2:$E$200, MATCH(M9,'Lookups - Complexity'!$F$2:$F$200, 0), MATCH(D9, {"Low","Medium","High"}, 0)), 0)</f>
        <v/>
      </c>
      <c r="F9" s="80">
        <f>Inputs!$B$7</f>
        <v/>
      </c>
      <c r="G9" s="80">
        <f>IFERROR(XLOOKUP(Inputs!$B$4,'Lookups - JourneyDeployment'!$A$3:$A$6,'Lookups - JourneyDeployment'!$B$3:$B$6),1)</f>
        <v/>
      </c>
      <c r="H9" s="80">
        <f>IFERROR(XLOOKUP(Inputs!$B$5,'Lookups - JourneyDeployment'!$D$3:$D$6,'Lookups - JourneyDeployment'!$E$3:$E$6),1)</f>
        <v/>
      </c>
      <c r="I9" s="80">
        <f>E9*F9*G9*H9*N9</f>
        <v/>
      </c>
      <c r="J9" s="80">
        <f>IF(C9=0,0,I9/C9)</f>
        <v/>
      </c>
      <c r="K9" s="80" t="inlineStr">
        <is>
          <t>Knapsack</t>
        </is>
      </c>
      <c r="L9" s="80">
        <f>IF(Inputs!$B$3="Managed Service Delivery","Knapsack",IF(K9="","Knapsack",K9))</f>
        <v/>
      </c>
      <c r="M9" s="80">
        <f>A9&amp;"|"&amp;B9</f>
        <v/>
      </c>
      <c r="N9" s="98">
        <f>IFERROR(XLOOKUP(M9,'PCRI WBS Mapping'!$C$2:$C$200,'PCRI WBS Mapping'!$M$2:$M$200),1)</f>
        <v/>
      </c>
    </row>
    <row r="10">
      <c r="A10" s="79" t="inlineStr">
        <is>
          <t>Scaled Rollout and Adoption</t>
        </is>
      </c>
      <c r="B10" s="79" t="inlineStr">
        <is>
          <t>Program management and Steering Committee coordination</t>
        </is>
      </c>
      <c r="C10" s="80" t="n">
        <v>5</v>
      </c>
      <c r="D10" s="80">
        <f>Inputs!$B$6</f>
        <v/>
      </c>
      <c r="E10" s="80">
        <f>IFERROR(INDEX('Lookups - Complexity'!$C$2:$E$200, MATCH(M10,'Lookups - Complexity'!$F$2:$F$200, 0), MATCH(D10, {"Low","Medium","High"}, 0)), 0)</f>
        <v/>
      </c>
      <c r="F10" s="80">
        <f>Inputs!$B$7</f>
        <v/>
      </c>
      <c r="G10" s="80">
        <f>IFERROR(XLOOKUP(Inputs!$B$4,'Lookups - JourneyDeployment'!$A$3:$A$6,'Lookups - JourneyDeployment'!$B$3:$B$6),1)</f>
        <v/>
      </c>
      <c r="H10" s="80">
        <f>IFERROR(XLOOKUP(Inputs!$B$5,'Lookups - JourneyDeployment'!$D$3:$D$6,'Lookups - JourneyDeployment'!$E$3:$E$6),1)</f>
        <v/>
      </c>
      <c r="I10" s="80">
        <f>E10*F10*G10*H10*N10</f>
        <v/>
      </c>
      <c r="J10" s="80">
        <f>IF(C10=0,0,I10/C10)</f>
        <v/>
      </c>
      <c r="K10" s="80" t="inlineStr">
        <is>
          <t>Knapsack</t>
        </is>
      </c>
      <c r="L10" s="80">
        <f>IF(Inputs!$B$3="Managed Service Delivery","Knapsack",IF(K10="","Knapsack",K10))</f>
        <v/>
      </c>
      <c r="M10" s="80">
        <f>A10&amp;"|"&amp;B10</f>
        <v/>
      </c>
      <c r="N10" s="98">
        <f>IFERROR(XLOOKUP(M10,'PCRI WBS Mapping'!$C$2:$C$200,'PCRI WBS Mapping'!$M$2:$M$200),1)</f>
        <v/>
      </c>
    </row>
    <row r="11">
      <c r="A11" s="79" t="inlineStr">
        <is>
          <t>Scaled Rollout and Adoption</t>
        </is>
      </c>
      <c r="B11" s="79" t="inlineStr">
        <is>
          <t>Facilitating and supporting deliverables</t>
        </is>
      </c>
      <c r="C11" s="80" t="n">
        <v>5</v>
      </c>
      <c r="D11" s="80">
        <f>Inputs!$B$6</f>
        <v/>
      </c>
      <c r="E11" s="80">
        <f>IFERROR(INDEX('Lookups - Complexity'!$C$2:$E$200, MATCH(M11,'Lookups - Complexity'!$F$2:$F$200, 0), MATCH(D11, {"Low","Medium","High"}, 0)), 0)</f>
        <v/>
      </c>
      <c r="F11" s="80">
        <f>Inputs!$B$7</f>
        <v/>
      </c>
      <c r="G11" s="80">
        <f>IFERROR(XLOOKUP(Inputs!$B$4,'Lookups - JourneyDeployment'!$A$3:$A$6,'Lookups - JourneyDeployment'!$B$3:$B$6),1)</f>
        <v/>
      </c>
      <c r="H11" s="80">
        <f>IFERROR(XLOOKUP(Inputs!$B$5,'Lookups - JourneyDeployment'!$D$3:$D$6,'Lookups - JourneyDeployment'!$E$3:$E$6),1)</f>
        <v/>
      </c>
      <c r="I11" s="80">
        <f>E11*F11*G11*H11*N11</f>
        <v/>
      </c>
      <c r="J11" s="80">
        <f>IF(C11=0,0,I11/C11)</f>
        <v/>
      </c>
      <c r="K11" s="80" t="inlineStr">
        <is>
          <t>Knapsack</t>
        </is>
      </c>
      <c r="L11" s="80">
        <f>IF(Inputs!$B$3="Managed Service Delivery","Knapsack",IF(K11="","Knapsack",K11))</f>
        <v/>
      </c>
      <c r="M11" s="80">
        <f>A11&amp;"|"&amp;B11</f>
        <v/>
      </c>
      <c r="N11" s="98">
        <f>IFERROR(XLOOKUP(M11,'PCRI WBS Mapping'!$C$2:$C$200,'PCRI WBS Mapping'!$M$2:$M$200),1)</f>
        <v/>
      </c>
    </row>
    <row r="12">
      <c r="A12" s="79" t="inlineStr">
        <is>
          <t>Scaled Rollout and Adoption</t>
        </is>
      </c>
      <c r="B12" s="79" t="inlineStr">
        <is>
          <t>Change Readiness Assessment</t>
        </is>
      </c>
      <c r="C12" s="80" t="n">
        <v>5</v>
      </c>
      <c r="D12" s="80">
        <f>Inputs!$B$6</f>
        <v/>
      </c>
      <c r="E12" s="80">
        <f>IFERROR(INDEX('Lookups - Complexity'!$C$2:$E$200, MATCH(M12,'Lookups - Complexity'!$F$2:$F$200, 0), MATCH(D12, {"Low","Medium","High"}, 0)), 0)</f>
        <v/>
      </c>
      <c r="F12" s="80">
        <f>Inputs!$B$7</f>
        <v/>
      </c>
      <c r="G12" s="80">
        <f>IFERROR(XLOOKUP(Inputs!$B$4,'Lookups - JourneyDeployment'!$A$3:$A$6,'Lookups - JourneyDeployment'!$B$3:$B$6),1)</f>
        <v/>
      </c>
      <c r="H12" s="80">
        <f>IFERROR(XLOOKUP(Inputs!$B$5,'Lookups - JourneyDeployment'!$D$3:$D$6,'Lookups - JourneyDeployment'!$E$3:$E$6),1)</f>
        <v/>
      </c>
      <c r="I12" s="80">
        <f>E12*F12*G12*H12*N12</f>
        <v/>
      </c>
      <c r="J12" s="80">
        <f>IF(C12=0,0,I12/C12)</f>
        <v/>
      </c>
      <c r="K12" s="80" t="inlineStr">
        <is>
          <t>Knapsack</t>
        </is>
      </c>
      <c r="L12" s="80">
        <f>IF(Inputs!$B$3="Managed Service Delivery","Knapsack",IF(K12="","Knapsack",K12))</f>
        <v/>
      </c>
      <c r="M12" s="80">
        <f>A12&amp;"|"&amp;B12</f>
        <v/>
      </c>
      <c r="N12" s="98">
        <f>IFERROR(XLOOKUP(M12,'PCRI WBS Mapping'!$C$2:$C$200,'PCRI WBS Mapping'!$M$2:$M$200),1)</f>
        <v/>
      </c>
    </row>
    <row r="13">
      <c r="A13" s="79" t="inlineStr">
        <is>
          <t>Scaled Rollout and Adoption</t>
        </is>
      </c>
      <c r="B13" s="79" t="inlineStr">
        <is>
          <t>FDE led Implementation + Architecture + Governance</t>
        </is>
      </c>
      <c r="C13" s="80" t="n">
        <v>4</v>
      </c>
      <c r="D13" s="80">
        <f>Inputs!$B$6</f>
        <v/>
      </c>
      <c r="E13" s="80">
        <f>IFERROR(INDEX('Lookups - Complexity'!$C$2:$E$200, MATCH(M13,'Lookups - Complexity'!$F$2:$F$200, 0), MATCH(D13, {"Low","Medium","High"}, 0)), 0)</f>
        <v/>
      </c>
      <c r="F13" s="80">
        <f>Inputs!$B$7</f>
        <v/>
      </c>
      <c r="G13" s="80">
        <f>IFERROR(XLOOKUP(Inputs!$B$4,'Lookups - JourneyDeployment'!$A$3:$A$6,'Lookups - JourneyDeployment'!$B$3:$B$6),1)</f>
        <v/>
      </c>
      <c r="H13" s="80">
        <f>IFERROR(XLOOKUP(Inputs!$B$5,'Lookups - JourneyDeployment'!$D$3:$D$6,'Lookups - JourneyDeployment'!$E$3:$E$6),1)</f>
        <v/>
      </c>
      <c r="I13" s="80">
        <f>E13*F13*G13*H13*N13</f>
        <v/>
      </c>
      <c r="J13" s="80">
        <f>IF(C13=0,0,I13/C13)</f>
        <v/>
      </c>
      <c r="K13" s="80" t="inlineStr">
        <is>
          <t>Knapsack</t>
        </is>
      </c>
      <c r="L13" s="80">
        <f>IF(Inputs!$B$3="Managed Service Delivery","Knapsack",IF(K13="","Knapsack",K13))</f>
        <v/>
      </c>
      <c r="M13" s="80">
        <f>A13&amp;"|"&amp;B13</f>
        <v/>
      </c>
      <c r="N13" s="98">
        <f>IFERROR(XLOOKUP(M13,'PCRI WBS Mapping'!$C$2:$C$200,'PCRI WBS Mapping'!$M$2:$M$200),1)</f>
        <v/>
      </c>
    </row>
    <row r="14">
      <c r="A14" s="79" t="inlineStr">
        <is>
          <t>Scaled Rollout and Adoption</t>
        </is>
      </c>
      <c r="B14" s="79" t="inlineStr">
        <is>
          <t>Stakeholder Interviews/Workshops</t>
        </is>
      </c>
      <c r="C14" s="80" t="n">
        <v>5</v>
      </c>
      <c r="D14" s="80">
        <f>Inputs!$B$6</f>
        <v/>
      </c>
      <c r="E14" s="80">
        <f>IFERROR(INDEX('Lookups - Complexity'!$C$2:$E$200, MATCH(M14,'Lookups - Complexity'!$F$2:$F$200, 0), MATCH(D14, {"Low","Medium","High"}, 0)), 0)</f>
        <v/>
      </c>
      <c r="F14" s="80">
        <f>Inputs!$B$7</f>
        <v/>
      </c>
      <c r="G14" s="80">
        <f>IFERROR(XLOOKUP(Inputs!$B$4,'Lookups - JourneyDeployment'!$A$3:$A$6,'Lookups - JourneyDeployment'!$B$3:$B$6),1)</f>
        <v/>
      </c>
      <c r="H14" s="80">
        <f>IFERROR(XLOOKUP(Inputs!$B$5,'Lookups - JourneyDeployment'!$D$3:$D$6,'Lookups - JourneyDeployment'!$E$3:$E$6),1)</f>
        <v/>
      </c>
      <c r="I14" s="80">
        <f>E14*F14*G14*H14*N14</f>
        <v/>
      </c>
      <c r="J14" s="80">
        <f>IF(C14=0,0,I14/C14)</f>
        <v/>
      </c>
      <c r="K14" s="80" t="inlineStr">
        <is>
          <t>Knapsack</t>
        </is>
      </c>
      <c r="L14" s="80">
        <f>IF(Inputs!$B$3="Managed Service Delivery","Knapsack",IF(K14="","Knapsack",K14))</f>
        <v/>
      </c>
      <c r="M14" s="80">
        <f>A14&amp;"|"&amp;B14</f>
        <v/>
      </c>
      <c r="N14" s="98">
        <f>IFERROR(XLOOKUP(M14,'PCRI WBS Mapping'!$C$2:$C$200,'PCRI WBS Mapping'!$M$2:$M$200),1)</f>
        <v/>
      </c>
    </row>
    <row r="15">
      <c r="A15" s="79" t="inlineStr">
        <is>
          <t>Scaled Rollout and Adoption</t>
        </is>
      </c>
      <c r="B15" s="79" t="inlineStr">
        <is>
          <t>Pilot Enablement &amp; Feedback Loop</t>
        </is>
      </c>
      <c r="C15" s="80" t="n">
        <v>5</v>
      </c>
      <c r="D15" s="80">
        <f>Inputs!$B$6</f>
        <v/>
      </c>
      <c r="E15" s="80">
        <f>IFERROR(INDEX('Lookups - Complexity'!$C$2:$E$200, MATCH(M15,'Lookups - Complexity'!$F$2:$F$200, 0), MATCH(D15, {"Low","Medium","High"}, 0)), 0)</f>
        <v/>
      </c>
      <c r="F15" s="80">
        <f>Inputs!$B$7</f>
        <v/>
      </c>
      <c r="G15" s="80">
        <f>IFERROR(XLOOKUP(Inputs!$B$4,'Lookups - JourneyDeployment'!$A$3:$A$6,'Lookups - JourneyDeployment'!$B$3:$B$6),1)</f>
        <v/>
      </c>
      <c r="H15" s="80">
        <f>IFERROR(XLOOKUP(Inputs!$B$5,'Lookups - JourneyDeployment'!$D$3:$D$6,'Lookups - JourneyDeployment'!$E$3:$E$6),1)</f>
        <v/>
      </c>
      <c r="I15" s="80">
        <f>E15*F15*G15*H15*N15</f>
        <v/>
      </c>
      <c r="J15" s="80">
        <f>IF(C15=0,0,I15/C15)</f>
        <v/>
      </c>
      <c r="K15" s="80" t="inlineStr">
        <is>
          <t>Knapsack</t>
        </is>
      </c>
      <c r="L15" s="80">
        <f>IF(Inputs!$B$3="Managed Service Delivery","Knapsack",IF(K15="","Knapsack",K15))</f>
        <v/>
      </c>
      <c r="M15" s="80">
        <f>A15&amp;"|"&amp;B15</f>
        <v/>
      </c>
      <c r="N15" s="98">
        <f>IFERROR(XLOOKUP(M15,'PCRI WBS Mapping'!$C$2:$C$200,'PCRI WBS Mapping'!$M$2:$M$200),1)</f>
        <v/>
      </c>
    </row>
    <row r="16">
      <c r="A16" s="79" t="inlineStr">
        <is>
          <t>Scaled Rollout and Adoption</t>
        </is>
      </c>
      <c r="B16" s="79" t="inlineStr">
        <is>
          <t>Role-Based Training Enablement</t>
        </is>
      </c>
      <c r="C16" s="80" t="n">
        <v>5</v>
      </c>
      <c r="D16" s="80">
        <f>Inputs!$B$6</f>
        <v/>
      </c>
      <c r="E16" s="80">
        <f>IFERROR(INDEX('Lookups - Complexity'!$C$2:$E$200, MATCH(M16,'Lookups - Complexity'!$F$2:$F$200, 0), MATCH(D16, {"Low","Medium","High"}, 0)), 0)</f>
        <v/>
      </c>
      <c r="F16" s="80">
        <f>Inputs!$B$7</f>
        <v/>
      </c>
      <c r="G16" s="80">
        <f>IFERROR(XLOOKUP(Inputs!$B$4,'Lookups - JourneyDeployment'!$A$3:$A$6,'Lookups - JourneyDeployment'!$B$3:$B$6),1)</f>
        <v/>
      </c>
      <c r="H16" s="80">
        <f>IFERROR(XLOOKUP(Inputs!$B$5,'Lookups - JourneyDeployment'!$D$3:$D$6,'Lookups - JourneyDeployment'!$E$3:$E$6),1)</f>
        <v/>
      </c>
      <c r="I16" s="80">
        <f>E16*F16*G16*H16*N16</f>
        <v/>
      </c>
      <c r="J16" s="80">
        <f>IF(C16=0,0,I16/C16)</f>
        <v/>
      </c>
      <c r="K16" s="80" t="inlineStr">
        <is>
          <t>Knapsack</t>
        </is>
      </c>
      <c r="L16" s="80">
        <f>IF(Inputs!$B$3="Managed Service Delivery","Knapsack",IF(K16="","Knapsack",K16))</f>
        <v/>
      </c>
      <c r="M16" s="80">
        <f>A16&amp;"|"&amp;B16</f>
        <v/>
      </c>
      <c r="N16" s="98">
        <f>IFERROR(XLOOKUP(M16,'PCRI WBS Mapping'!$C$2:$C$200,'PCRI WBS Mapping'!$M$2:$M$200),1)</f>
        <v/>
      </c>
    </row>
    <row r="17">
      <c r="A17" s="79" t="inlineStr">
        <is>
          <t>Scaled Rollout and Adoption</t>
        </is>
      </c>
      <c r="B17" s="79" t="inlineStr">
        <is>
          <t>SME support for Deployment/DevOps</t>
        </is>
      </c>
      <c r="C17" s="80" t="n">
        <v>4</v>
      </c>
      <c r="D17" s="80">
        <f>Inputs!$B$6</f>
        <v/>
      </c>
      <c r="E17" s="80">
        <f>IFERROR(INDEX('Lookups - Complexity'!$C$2:$E$200, MATCH(M17,'Lookups - Complexity'!$F$2:$F$200, 0), MATCH(D17, {"Low","Medium","High"}, 0)), 0)</f>
        <v/>
      </c>
      <c r="F17" s="80">
        <f>Inputs!$B$7</f>
        <v/>
      </c>
      <c r="G17" s="80">
        <f>IFERROR(XLOOKUP(Inputs!$B$4,'Lookups - JourneyDeployment'!$A$3:$A$6,'Lookups - JourneyDeployment'!$B$3:$B$6),1)</f>
        <v/>
      </c>
      <c r="H17" s="80">
        <f>IFERROR(XLOOKUP(Inputs!$B$5,'Lookups - JourneyDeployment'!$D$3:$D$6,'Lookups - JourneyDeployment'!$E$3:$E$6),1)</f>
        <v/>
      </c>
      <c r="I17" s="80">
        <f>E17*F17*G17*H17*N17</f>
        <v/>
      </c>
      <c r="J17" s="80">
        <f>IF(C17=0,0,I17/C17)</f>
        <v/>
      </c>
      <c r="K17" s="80" t="inlineStr">
        <is>
          <t>Knapsack</t>
        </is>
      </c>
      <c r="L17" s="80">
        <f>IF(Inputs!$B$3="Managed Service Delivery","Knapsack",IF(K17="","Knapsack",K17))</f>
        <v/>
      </c>
      <c r="M17" s="80">
        <f>A17&amp;"|"&amp;B17</f>
        <v/>
      </c>
      <c r="N17" s="98">
        <f>IFERROR(XLOOKUP(M17,'PCRI WBS Mapping'!$C$2:$C$200,'PCRI WBS Mapping'!$M$2:$M$200),1)</f>
        <v/>
      </c>
    </row>
    <row r="18">
      <c r="A18" s="79" t="inlineStr">
        <is>
          <t>Scaled Rollout and Adoption</t>
        </is>
      </c>
      <c r="B18" s="79" t="inlineStr">
        <is>
          <t>Cloud authoring setup and testing</t>
        </is>
      </c>
      <c r="C18" s="80" t="n">
        <v>4</v>
      </c>
      <c r="D18" s="80">
        <f>Inputs!$B$6</f>
        <v/>
      </c>
      <c r="E18" s="80">
        <f>IFERROR(INDEX('Lookups - Complexity'!$C$2:$E$200, MATCH(M18,'Lookups - Complexity'!$F$2:$F$200, 0), MATCH(D18, {"Low","Medium","High"}, 0)), 0)</f>
        <v/>
      </c>
      <c r="F18" s="80">
        <f>Inputs!$B$7</f>
        <v/>
      </c>
      <c r="G18" s="80">
        <f>IFERROR(XLOOKUP(Inputs!$B$4,'Lookups - JourneyDeployment'!$A$3:$A$6,'Lookups - JourneyDeployment'!$B$3:$B$6),1)</f>
        <v/>
      </c>
      <c r="H18" s="80">
        <f>IFERROR(XLOOKUP(Inputs!$B$5,'Lookups - JourneyDeployment'!$D$3:$D$6,'Lookups - JourneyDeployment'!$E$3:$E$6),1)</f>
        <v/>
      </c>
      <c r="I18" s="80">
        <f>E18*F18*G18*H18*N18</f>
        <v/>
      </c>
      <c r="J18" s="80">
        <f>IF(C18=0,0,I18/C18)</f>
        <v/>
      </c>
      <c r="K18" s="80" t="inlineStr">
        <is>
          <t>Knapsack</t>
        </is>
      </c>
      <c r="L18" s="80">
        <f>IF(Inputs!$B$3="Managed Service Delivery","Knapsack",IF(K18="","Knapsack",K18))</f>
        <v/>
      </c>
      <c r="M18" s="80">
        <f>A18&amp;"|"&amp;B18</f>
        <v/>
      </c>
      <c r="N18" s="98">
        <f>IFERROR(XLOOKUP(M18,'PCRI WBS Mapping'!$C$2:$C$200,'PCRI WBS Mapping'!$M$2:$M$200),1)</f>
        <v/>
      </c>
    </row>
    <row r="19">
      <c r="A19" s="79" t="inlineStr">
        <is>
          <t>Scaled Rollout and Adoption</t>
        </is>
      </c>
      <c r="B19" s="79" t="inlineStr">
        <is>
          <t>SSO setup and testing</t>
        </is>
      </c>
      <c r="C19" s="80" t="n">
        <v>4</v>
      </c>
      <c r="D19" s="80">
        <f>Inputs!$B$6</f>
        <v/>
      </c>
      <c r="E19" s="80">
        <f>IFERROR(INDEX('Lookups - Complexity'!$C$2:$E$200, MATCH(M19,'Lookups - Complexity'!$F$2:$F$200, 0), MATCH(D19, {"Low","Medium","High"}, 0)), 0)</f>
        <v/>
      </c>
      <c r="F19" s="80">
        <f>Inputs!$B$7</f>
        <v/>
      </c>
      <c r="G19" s="80">
        <f>IFERROR(XLOOKUP(Inputs!$B$4,'Lookups - JourneyDeployment'!$A$3:$A$6,'Lookups - JourneyDeployment'!$B$3:$B$6),1)</f>
        <v/>
      </c>
      <c r="H19" s="80">
        <f>IFERROR(XLOOKUP(Inputs!$B$5,'Lookups - JourneyDeployment'!$D$3:$D$6,'Lookups - JourneyDeployment'!$E$3:$E$6),1)</f>
        <v/>
      </c>
      <c r="I19" s="80">
        <f>E19*F19*G19*H19*N19</f>
        <v/>
      </c>
      <c r="J19" s="80">
        <f>IF(C19=0,0,I19/C19)</f>
        <v/>
      </c>
      <c r="K19" s="80" t="inlineStr">
        <is>
          <t>Knapsack</t>
        </is>
      </c>
      <c r="L19" s="80">
        <f>IF(Inputs!$B$3="Managed Service Delivery","Knapsack",IF(K19="","Knapsack",K19))</f>
        <v/>
      </c>
      <c r="M19" s="80">
        <f>A19&amp;"|"&amp;B19</f>
        <v/>
      </c>
      <c r="N19" s="98">
        <f>IFERROR(XLOOKUP(M19,'PCRI WBS Mapping'!$C$2:$C$200,'PCRI WBS Mapping'!$M$2:$M$200),1)</f>
        <v/>
      </c>
    </row>
    <row r="20">
      <c r="A20" s="79" t="inlineStr">
        <is>
          <t>Scaled Rollout and Adoption</t>
        </is>
      </c>
      <c r="B20" s="79" t="inlineStr">
        <is>
          <t>Training - Eng / UX / Partners</t>
        </is>
      </c>
      <c r="C20" s="80" t="n">
        <v>4</v>
      </c>
      <c r="D20" s="80">
        <f>Inputs!$B$6</f>
        <v/>
      </c>
      <c r="E20" s="80">
        <f>IFERROR(INDEX('Lookups - Complexity'!$C$2:$E$200, MATCH(M20,'Lookups - Complexity'!$F$2:$F$200, 0), MATCH(D20, {"Low","Medium","High"}, 0)), 0)</f>
        <v/>
      </c>
      <c r="F20" s="80">
        <f>Inputs!$B$7</f>
        <v/>
      </c>
      <c r="G20" s="80">
        <f>IFERROR(XLOOKUP(Inputs!$B$4,'Lookups - JourneyDeployment'!$A$3:$A$6,'Lookups - JourneyDeployment'!$B$3:$B$6),1)</f>
        <v/>
      </c>
      <c r="H20" s="80">
        <f>IFERROR(XLOOKUP(Inputs!$B$5,'Lookups - JourneyDeployment'!$D$3:$D$6,'Lookups - JourneyDeployment'!$E$3:$E$6),1)</f>
        <v/>
      </c>
      <c r="I20" s="80">
        <f>E20*F20*G20*H20*N20</f>
        <v/>
      </c>
      <c r="J20" s="80">
        <f>IF(C20=0,0,I20/C20)</f>
        <v/>
      </c>
      <c r="K20" s="80" t="inlineStr">
        <is>
          <t>Knapsack</t>
        </is>
      </c>
      <c r="L20" s="80">
        <f>IF(Inputs!$B$3="Managed Service Delivery","Knapsack",IF(K20="","Knapsack",K20))</f>
        <v/>
      </c>
      <c r="M20" s="80">
        <f>A20&amp;"|"&amp;B20</f>
        <v/>
      </c>
      <c r="N20" s="98">
        <f>IFERROR(XLOOKUP(M20,'PCRI WBS Mapping'!$C$2:$C$200,'PCRI WBS Mapping'!$M$2:$M$200),1)</f>
        <v/>
      </c>
    </row>
    <row r="21">
      <c r="A21" s="79" t="inlineStr">
        <is>
          <t>Scaled Rollout and Adoption</t>
        </is>
      </c>
      <c r="B21" s="79" t="inlineStr">
        <is>
          <t>Workflow Diagrams</t>
        </is>
      </c>
      <c r="C21" s="80" t="n">
        <v>4</v>
      </c>
      <c r="D21" s="80">
        <f>Inputs!$B$6</f>
        <v/>
      </c>
      <c r="E21" s="80">
        <f>IFERROR(INDEX('Lookups - Complexity'!$C$2:$E$200, MATCH(M21,'Lookups - Complexity'!$F$2:$F$200, 0), MATCH(D21, {"Low","Medium","High"}, 0)), 0)</f>
        <v/>
      </c>
      <c r="F21" s="80">
        <f>Inputs!$B$7</f>
        <v/>
      </c>
      <c r="G21" s="80">
        <f>IFERROR(XLOOKUP(Inputs!$B$4,'Lookups - JourneyDeployment'!$A$3:$A$6,'Lookups - JourneyDeployment'!$B$3:$B$6),1)</f>
        <v/>
      </c>
      <c r="H21" s="80">
        <f>IFERROR(XLOOKUP(Inputs!$B$5,'Lookups - JourneyDeployment'!$D$3:$D$6,'Lookups - JourneyDeployment'!$E$3:$E$6),1)</f>
        <v/>
      </c>
      <c r="I21" s="80">
        <f>E21*F21*G21*H21*N21</f>
        <v/>
      </c>
      <c r="J21" s="80">
        <f>IF(C21=0,0,I21/C21)</f>
        <v/>
      </c>
      <c r="K21" s="80" t="inlineStr">
        <is>
          <t>Knapsack</t>
        </is>
      </c>
      <c r="L21" s="80">
        <f>IF(Inputs!$B$3="Managed Service Delivery","Knapsack",IF(K21="","Knapsack",K21))</f>
        <v/>
      </c>
      <c r="M21" s="80">
        <f>A21&amp;"|"&amp;B21</f>
        <v/>
      </c>
      <c r="N21" s="98">
        <f>IFERROR(XLOOKUP(M21,'PCRI WBS Mapping'!$C$2:$C$200,'PCRI WBS Mapping'!$M$2:$M$200),1)</f>
        <v/>
      </c>
    </row>
    <row r="22">
      <c r="A22" s="79" t="inlineStr">
        <is>
          <t>Scaled Rollout and Adoption</t>
        </is>
      </c>
      <c r="B22" s="79" t="inlineStr">
        <is>
          <t>Content planning and integration</t>
        </is>
      </c>
      <c r="C22" s="80" t="n">
        <v>4</v>
      </c>
      <c r="D22" s="80">
        <f>Inputs!$B$6</f>
        <v/>
      </c>
      <c r="E22" s="80">
        <f>IFERROR(INDEX('Lookups - Complexity'!$C$2:$E$200, MATCH(M22,'Lookups - Complexity'!$F$2:$F$200, 0), MATCH(D22, {"Low","Medium","High"}, 0)), 0)</f>
        <v/>
      </c>
      <c r="F22" s="80">
        <f>Inputs!$B$7</f>
        <v/>
      </c>
      <c r="G22" s="80">
        <f>IFERROR(XLOOKUP(Inputs!$B$4,'Lookups - JourneyDeployment'!$A$3:$A$6,'Lookups - JourneyDeployment'!$B$3:$B$6),1)</f>
        <v/>
      </c>
      <c r="H22" s="80">
        <f>IFERROR(XLOOKUP(Inputs!$B$5,'Lookups - JourneyDeployment'!$D$3:$D$6,'Lookups - JourneyDeployment'!$E$3:$E$6),1)</f>
        <v/>
      </c>
      <c r="I22" s="80">
        <f>E22*F22*G22*H22*N22</f>
        <v/>
      </c>
      <c r="J22" s="80">
        <f>IF(C22=0,0,I22/C22)</f>
        <v/>
      </c>
      <c r="K22" s="80" t="inlineStr">
        <is>
          <t>Knapsack</t>
        </is>
      </c>
      <c r="L22" s="80">
        <f>IF(Inputs!$B$3="Managed Service Delivery","Knapsack",IF(K22="","Knapsack",K22))</f>
        <v/>
      </c>
      <c r="M22" s="80">
        <f>A22&amp;"|"&amp;B22</f>
        <v/>
      </c>
      <c r="N22" s="98">
        <f>IFERROR(XLOOKUP(M22,'PCRI WBS Mapping'!$C$2:$C$200,'PCRI WBS Mapping'!$M$2:$M$200),1)</f>
        <v/>
      </c>
    </row>
    <row r="23">
      <c r="A23" s="79" t="inlineStr">
        <is>
          <t>Scaled Rollout and Adoption</t>
        </is>
      </c>
      <c r="B23" s="79" t="inlineStr">
        <is>
          <t>Advanced Training - Partners + Contribution</t>
        </is>
      </c>
      <c r="C23" s="80" t="n">
        <v>4</v>
      </c>
      <c r="D23" s="80">
        <f>Inputs!$B$6</f>
        <v/>
      </c>
      <c r="E23" s="80">
        <f>IFERROR(INDEX('Lookups - Complexity'!$C$2:$E$200, MATCH(M23,'Lookups - Complexity'!$F$2:$F$200, 0), MATCH(D23, {"Low","Medium","High"}, 0)), 0)</f>
        <v/>
      </c>
      <c r="F23" s="80">
        <f>Inputs!$B$7</f>
        <v/>
      </c>
      <c r="G23" s="80">
        <f>IFERROR(XLOOKUP(Inputs!$B$4,'Lookups - JourneyDeployment'!$A$3:$A$6,'Lookups - JourneyDeployment'!$B$3:$B$6),1)</f>
        <v/>
      </c>
      <c r="H23" s="80">
        <f>IFERROR(XLOOKUP(Inputs!$B$5,'Lookups - JourneyDeployment'!$D$3:$D$6,'Lookups - JourneyDeployment'!$E$3:$E$6),1)</f>
        <v/>
      </c>
      <c r="I23" s="80">
        <f>E23*F23*G23*H23*N23</f>
        <v/>
      </c>
      <c r="J23" s="80">
        <f>IF(C23=0,0,I23/C23)</f>
        <v/>
      </c>
      <c r="K23" s="80" t="inlineStr">
        <is>
          <t>Knapsack</t>
        </is>
      </c>
      <c r="L23" s="80">
        <f>IF(Inputs!$B$3="Managed Service Delivery","Knapsack",IF(K23="","Knapsack",K23))</f>
        <v/>
      </c>
      <c r="M23" s="80">
        <f>A23&amp;"|"&amp;B23</f>
        <v/>
      </c>
      <c r="N23" s="98">
        <f>IFERROR(XLOOKUP(M23,'PCRI WBS Mapping'!$C$2:$C$200,'PCRI WBS Mapping'!$M$2:$M$200),1)</f>
        <v/>
      </c>
    </row>
    <row r="24">
      <c r="A24" s="79" t="inlineStr">
        <is>
          <t>Scaled Rollout and Adoption</t>
        </is>
      </c>
      <c r="B24" s="79" t="inlineStr">
        <is>
          <t>Phase Gate Strategic Recommendations + Documentation</t>
        </is>
      </c>
      <c r="C24" s="80" t="n">
        <v>4</v>
      </c>
      <c r="D24" s="80">
        <f>Inputs!$B$6</f>
        <v/>
      </c>
      <c r="E24" s="80">
        <f>IFERROR(INDEX('Lookups - Complexity'!$C$2:$E$200, MATCH(M24,'Lookups - Complexity'!$F$2:$F$200, 0), MATCH(D24, {"Low","Medium","High"}, 0)), 0)</f>
        <v/>
      </c>
      <c r="F24" s="80">
        <f>Inputs!$B$7</f>
        <v/>
      </c>
      <c r="G24" s="80">
        <f>IFERROR(XLOOKUP(Inputs!$B$4,'Lookups - JourneyDeployment'!$A$3:$A$6,'Lookups - JourneyDeployment'!$B$3:$B$6),1)</f>
        <v/>
      </c>
      <c r="H24" s="80">
        <f>IFERROR(XLOOKUP(Inputs!$B$5,'Lookups - JourneyDeployment'!$D$3:$D$6,'Lookups - JourneyDeployment'!$E$3:$E$6),1)</f>
        <v/>
      </c>
      <c r="I24" s="80">
        <f>E24*F24*G24*H24*N24</f>
        <v/>
      </c>
      <c r="J24" s="80">
        <f>IF(C24=0,0,I24/C24)</f>
        <v/>
      </c>
      <c r="K24" s="80" t="inlineStr">
        <is>
          <t>Knapsack</t>
        </is>
      </c>
      <c r="L24" s="80">
        <f>IF(Inputs!$B$3="Managed Service Delivery","Knapsack",IF(K24="","Knapsack",K24))</f>
        <v/>
      </c>
      <c r="M24" s="80">
        <f>A24&amp;"|"&amp;B24</f>
        <v/>
      </c>
      <c r="N24" s="98">
        <f>IFERROR(XLOOKUP(M24,'PCRI WBS Mapping'!$C$2:$C$200,'PCRI WBS Mapping'!$M$2:$M$200),1)</f>
        <v/>
      </c>
    </row>
    <row r="25">
      <c r="A25" s="79" t="inlineStr">
        <is>
          <t>Scaled Rollout and Adoption</t>
        </is>
      </c>
      <c r="B25" s="79" t="inlineStr">
        <is>
          <t>Pre-Cutover Readiness Review</t>
        </is>
      </c>
      <c r="C25" s="80" t="n">
        <v>4</v>
      </c>
      <c r="D25" s="80">
        <f>Inputs!$B$6</f>
        <v/>
      </c>
      <c r="E25" s="80">
        <f>IFERROR(INDEX('Lookups - Complexity'!$C$2:$E$200, MATCH(M25,'Lookups - Complexity'!$F$2:$F$200, 0), MATCH(D25, {"Low","Medium","High"}, 0)), 0)</f>
        <v/>
      </c>
      <c r="F25" s="80">
        <f>Inputs!$B$7</f>
        <v/>
      </c>
      <c r="G25" s="80">
        <f>IFERROR(XLOOKUP(Inputs!$B$4,'Lookups - JourneyDeployment'!$A$3:$A$6,'Lookups - JourneyDeployment'!$B$3:$B$6),1)</f>
        <v/>
      </c>
      <c r="H25" s="80">
        <f>IFERROR(XLOOKUP(Inputs!$B$5,'Lookups - JourneyDeployment'!$D$3:$D$6,'Lookups - JourneyDeployment'!$E$3:$E$6),1)</f>
        <v/>
      </c>
      <c r="I25" s="80">
        <f>E25*F25*G25*H25*N25</f>
        <v/>
      </c>
      <c r="J25" s="80">
        <f>IF(C25=0,0,I25/C25)</f>
        <v/>
      </c>
      <c r="K25" s="80" t="inlineStr">
        <is>
          <t>Knapsack</t>
        </is>
      </c>
      <c r="L25" s="80">
        <f>IF(Inputs!$B$3="Managed Service Delivery","Knapsack",IF(K25="","Knapsack",K25))</f>
        <v/>
      </c>
      <c r="M25" s="80">
        <f>A25&amp;"|"&amp;B25</f>
        <v/>
      </c>
      <c r="N25" s="98">
        <f>IFERROR(XLOOKUP(M25,'PCRI WBS Mapping'!$C$2:$C$200,'PCRI WBS Mapping'!$M$2:$M$200),1)</f>
        <v/>
      </c>
    </row>
    <row r="26">
      <c r="A26" s="79" t="inlineStr">
        <is>
          <t>Scaled Rollout and Adoption</t>
        </is>
      </c>
      <c r="B26" s="79" t="inlineStr">
        <is>
          <t>Data &amp; Configuration Freeze</t>
        </is>
      </c>
      <c r="C26" s="80" t="n">
        <v>4</v>
      </c>
      <c r="D26" s="80">
        <f>Inputs!$B$6</f>
        <v/>
      </c>
      <c r="E26" s="80">
        <f>IFERROR(INDEX('Lookups - Complexity'!$C$2:$E$200, MATCH(M26,'Lookups - Complexity'!$F$2:$F$200, 0), MATCH(D26, {"Low","Medium","High"}, 0)), 0)</f>
        <v/>
      </c>
      <c r="F26" s="80">
        <f>Inputs!$B$7</f>
        <v/>
      </c>
      <c r="G26" s="80">
        <f>IFERROR(XLOOKUP(Inputs!$B$4,'Lookups - JourneyDeployment'!$A$3:$A$6,'Lookups - JourneyDeployment'!$B$3:$B$6),1)</f>
        <v/>
      </c>
      <c r="H26" s="80">
        <f>IFERROR(XLOOKUP(Inputs!$B$5,'Lookups - JourneyDeployment'!$D$3:$D$6,'Lookups - JourneyDeployment'!$E$3:$E$6),1)</f>
        <v/>
      </c>
      <c r="I26" s="80">
        <f>E26*F26*G26*H26*N26</f>
        <v/>
      </c>
      <c r="J26" s="80">
        <f>IF(C26=0,0,I26/C26)</f>
        <v/>
      </c>
      <c r="K26" s="80" t="inlineStr">
        <is>
          <t>Knapsack</t>
        </is>
      </c>
      <c r="L26" s="80">
        <f>IF(Inputs!$B$3="Managed Service Delivery","Knapsack",IF(K26="","Knapsack",K26))</f>
        <v/>
      </c>
      <c r="M26" s="80">
        <f>A26&amp;"|"&amp;B26</f>
        <v/>
      </c>
      <c r="N26" s="98">
        <f>IFERROR(XLOOKUP(M26,'PCRI WBS Mapping'!$C$2:$C$200,'PCRI WBS Mapping'!$M$2:$M$200),1)</f>
        <v/>
      </c>
    </row>
    <row r="27">
      <c r="A27" s="79" t="inlineStr">
        <is>
          <t>Scaled Rollout and Adoption</t>
        </is>
      </c>
      <c r="B27" s="79" t="inlineStr">
        <is>
          <t>Final UAT &amp; Stakeholder Acceptance</t>
        </is>
      </c>
      <c r="C27" s="80" t="n">
        <v>4</v>
      </c>
      <c r="D27" s="80">
        <f>Inputs!$B$6</f>
        <v/>
      </c>
      <c r="E27" s="80">
        <f>IFERROR(INDEX('Lookups - Complexity'!$C$2:$E$200, MATCH(M27,'Lookups - Complexity'!$F$2:$F$200, 0), MATCH(D27, {"Low","Medium","High"}, 0)), 0)</f>
        <v/>
      </c>
      <c r="F27" s="80">
        <f>Inputs!$B$7</f>
        <v/>
      </c>
      <c r="G27" s="80">
        <f>IFERROR(XLOOKUP(Inputs!$B$4,'Lookups - JourneyDeployment'!$A$3:$A$6,'Lookups - JourneyDeployment'!$B$3:$B$6),1)</f>
        <v/>
      </c>
      <c r="H27" s="80">
        <f>IFERROR(XLOOKUP(Inputs!$B$5,'Lookups - JourneyDeployment'!$D$3:$D$6,'Lookups - JourneyDeployment'!$E$3:$E$6),1)</f>
        <v/>
      </c>
      <c r="I27" s="80">
        <f>E27*F27*G27*H27*N27</f>
        <v/>
      </c>
      <c r="J27" s="80">
        <f>IF(C27=0,0,I27/C27)</f>
        <v/>
      </c>
      <c r="K27" s="80" t="inlineStr">
        <is>
          <t>Knapsack</t>
        </is>
      </c>
      <c r="L27" s="80">
        <f>IF(Inputs!$B$3="Managed Service Delivery","Knapsack",IF(K27="","Knapsack",K27))</f>
        <v/>
      </c>
      <c r="M27" s="80">
        <f>A27&amp;"|"&amp;B27</f>
        <v/>
      </c>
      <c r="N27" s="98">
        <f>IFERROR(XLOOKUP(M27,'PCRI WBS Mapping'!$C$2:$C$200,'PCRI WBS Mapping'!$M$2:$M$200),1)</f>
        <v/>
      </c>
    </row>
    <row r="28">
      <c r="A28" s="79" t="inlineStr">
        <is>
          <t>Scaled Rollout and Adoption</t>
        </is>
      </c>
      <c r="B28" s="79" t="inlineStr">
        <is>
          <t>Change Impact Analysis</t>
        </is>
      </c>
      <c r="C28" s="80" t="n">
        <v>4</v>
      </c>
      <c r="D28" s="80">
        <f>Inputs!$B$6</f>
        <v/>
      </c>
      <c r="E28" s="80">
        <f>IFERROR(INDEX('Lookups - Complexity'!$C$2:$E$200, MATCH(M28,'Lookups - Complexity'!$F$2:$F$200, 0), MATCH(D28, {"Low","Medium","High"}, 0)), 0)</f>
        <v/>
      </c>
      <c r="F28" s="80">
        <f>Inputs!$B$7</f>
        <v/>
      </c>
      <c r="G28" s="80">
        <f>IFERROR(XLOOKUP(Inputs!$B$4,'Lookups - JourneyDeployment'!$A$3:$A$6,'Lookups - JourneyDeployment'!$B$3:$B$6),1)</f>
        <v/>
      </c>
      <c r="H28" s="80">
        <f>IFERROR(XLOOKUP(Inputs!$B$5,'Lookups - JourneyDeployment'!$D$3:$D$6,'Lookups - JourneyDeployment'!$E$3:$E$6),1)</f>
        <v/>
      </c>
      <c r="I28" s="80">
        <f>E28*F28*G28*H28*N28</f>
        <v/>
      </c>
      <c r="J28" s="80">
        <f>IF(C28=0,0,I28/C28)</f>
        <v/>
      </c>
      <c r="K28" s="80" t="inlineStr">
        <is>
          <t>Knapsack</t>
        </is>
      </c>
      <c r="L28" s="80">
        <f>IF(Inputs!$B$3="Managed Service Delivery","Knapsack",IF(K28="","Knapsack",K28))</f>
        <v/>
      </c>
      <c r="M28" s="80">
        <f>A28&amp;"|"&amp;B28</f>
        <v/>
      </c>
      <c r="N28" s="98">
        <f>IFERROR(XLOOKUP(M28,'PCRI WBS Mapping'!$C$2:$C$200,'PCRI WBS Mapping'!$M$2:$M$200),1)</f>
        <v/>
      </c>
    </row>
    <row r="29">
      <c r="A29" s="79" t="inlineStr">
        <is>
          <t>Scaled Rollout and Adoption</t>
        </is>
      </c>
      <c r="B29" s="79" t="inlineStr">
        <is>
          <t>Adoption Acceleration Campaign</t>
        </is>
      </c>
      <c r="C29" s="80" t="n">
        <v>4</v>
      </c>
      <c r="D29" s="80">
        <f>Inputs!$B$6</f>
        <v/>
      </c>
      <c r="E29" s="80">
        <f>IFERROR(INDEX('Lookups - Complexity'!$C$2:$E$200, MATCH(M29,'Lookups - Complexity'!$F$2:$F$200, 0), MATCH(D29, {"Low","Medium","High"}, 0)), 0)</f>
        <v/>
      </c>
      <c r="F29" s="80">
        <f>Inputs!$B$7</f>
        <v/>
      </c>
      <c r="G29" s="80">
        <f>IFERROR(XLOOKUP(Inputs!$B$4,'Lookups - JourneyDeployment'!$A$3:$A$6,'Lookups - JourneyDeployment'!$B$3:$B$6),1)</f>
        <v/>
      </c>
      <c r="H29" s="80">
        <f>IFERROR(XLOOKUP(Inputs!$B$5,'Lookups - JourneyDeployment'!$D$3:$D$6,'Lookups - JourneyDeployment'!$E$3:$E$6),1)</f>
        <v/>
      </c>
      <c r="I29" s="80">
        <f>E29*F29*G29*H29*N29</f>
        <v/>
      </c>
      <c r="J29" s="80">
        <f>IF(C29=0,0,I29/C29)</f>
        <v/>
      </c>
      <c r="K29" s="80" t="inlineStr">
        <is>
          <t>Knapsack</t>
        </is>
      </c>
      <c r="L29" s="80">
        <f>IF(Inputs!$B$3="Managed Service Delivery","Knapsack",IF(K29="","Knapsack",K29))</f>
        <v/>
      </c>
      <c r="M29" s="80">
        <f>A29&amp;"|"&amp;B29</f>
        <v/>
      </c>
      <c r="N29" s="98">
        <f>IFERROR(XLOOKUP(M29,'PCRI WBS Mapping'!$C$2:$C$200,'PCRI WBS Mapping'!$M$2:$M$200),1)</f>
        <v/>
      </c>
    </row>
    <row r="30">
      <c r="A30" s="79" t="inlineStr">
        <is>
          <t>Scaled Rollout and Adoption</t>
        </is>
      </c>
      <c r="B30" s="79" t="inlineStr">
        <is>
          <t>Partner Enablement &amp; Recognition</t>
        </is>
      </c>
      <c r="C30" s="80" t="n">
        <v>4</v>
      </c>
      <c r="D30" s="80">
        <f>Inputs!$B$6</f>
        <v/>
      </c>
      <c r="E30" s="80">
        <f>IFERROR(INDEX('Lookups - Complexity'!$C$2:$E$200, MATCH(M30,'Lookups - Complexity'!$F$2:$F$200, 0), MATCH(D30, {"Low","Medium","High"}, 0)), 0)</f>
        <v/>
      </c>
      <c r="F30" s="80">
        <f>Inputs!$B$7</f>
        <v/>
      </c>
      <c r="G30" s="80">
        <f>IFERROR(XLOOKUP(Inputs!$B$4,'Lookups - JourneyDeployment'!$A$3:$A$6,'Lookups - JourneyDeployment'!$B$3:$B$6),1)</f>
        <v/>
      </c>
      <c r="H30" s="80">
        <f>IFERROR(XLOOKUP(Inputs!$B$5,'Lookups - JourneyDeployment'!$D$3:$D$6,'Lookups - JourneyDeployment'!$E$3:$E$6),1)</f>
        <v/>
      </c>
      <c r="I30" s="80">
        <f>E30*F30*G30*H30*N30</f>
        <v/>
      </c>
      <c r="J30" s="80">
        <f>IF(C30=0,0,I30/C30)</f>
        <v/>
      </c>
      <c r="K30" s="80" t="inlineStr">
        <is>
          <t>Knapsack</t>
        </is>
      </c>
      <c r="L30" s="80">
        <f>IF(Inputs!$B$3="Managed Service Delivery","Knapsack",IF(K30="","Knapsack",K30))</f>
        <v/>
      </c>
      <c r="M30" s="80">
        <f>A30&amp;"|"&amp;B30</f>
        <v/>
      </c>
      <c r="N30" s="98">
        <f>IFERROR(XLOOKUP(M30,'PCRI WBS Mapping'!$C$2:$C$200,'PCRI WBS Mapping'!$M$2:$M$200),1)</f>
        <v/>
      </c>
    </row>
    <row r="31">
      <c r="A31" s="79" t="inlineStr">
        <is>
          <t>Optimization and Continued Support</t>
        </is>
      </c>
      <c r="B31" s="79" t="inlineStr">
        <is>
          <t>Transition support</t>
        </is>
      </c>
      <c r="C31" s="80" t="n">
        <v>4</v>
      </c>
      <c r="D31" s="80">
        <f>Inputs!$B$6</f>
        <v/>
      </c>
      <c r="E31" s="80">
        <f>IFERROR(INDEX('Lookups - Complexity'!$C$2:$E$200, MATCH(M31,'Lookups - Complexity'!$F$2:$F$200, 0), MATCH(D31, {"Low","Medium","High"}, 0)), 0)</f>
        <v/>
      </c>
      <c r="F31" s="80">
        <f>Inputs!$B$7</f>
        <v/>
      </c>
      <c r="G31" s="80">
        <f>IFERROR(XLOOKUP(Inputs!$B$4,'Lookups - JourneyDeployment'!$A$3:$A$6,'Lookups - JourneyDeployment'!$B$3:$B$6),1)</f>
        <v/>
      </c>
      <c r="H31" s="80">
        <f>IFERROR(XLOOKUP(Inputs!$B$5,'Lookups - JourneyDeployment'!$D$3:$D$6,'Lookups - JourneyDeployment'!$E$3:$E$6),1)</f>
        <v/>
      </c>
      <c r="I31" s="80">
        <f>E31*F31*G31*H31*N31</f>
        <v/>
      </c>
      <c r="J31" s="80">
        <f>IF(C31=0,0,I31/C31)</f>
        <v/>
      </c>
      <c r="K31" s="80" t="inlineStr">
        <is>
          <t>Knapsack</t>
        </is>
      </c>
      <c r="L31" s="80">
        <f>IF(Inputs!$B$3="Managed Service Delivery","Knapsack",IF(K31="","Knapsack",K31))</f>
        <v/>
      </c>
      <c r="M31" s="80">
        <f>A31&amp;"|"&amp;B31</f>
        <v/>
      </c>
      <c r="N31" s="98">
        <f>IFERROR(XLOOKUP(M31,'PCRI WBS Mapping'!$C$2:$C$200,'PCRI WBS Mapping'!$M$2:$M$200),1)</f>
        <v/>
      </c>
    </row>
    <row r="32">
      <c r="A32" s="79" t="inlineStr">
        <is>
          <t>Optimization and Continued Support</t>
        </is>
      </c>
      <c r="B32" s="79" t="inlineStr">
        <is>
          <t>Cutover Execution</t>
        </is>
      </c>
      <c r="C32" s="80" t="n">
        <v>4</v>
      </c>
      <c r="D32" s="80">
        <f>Inputs!$B$6</f>
        <v/>
      </c>
      <c r="E32" s="80">
        <f>IFERROR(INDEX('Lookups - Complexity'!$C$2:$E$200, MATCH(M32,'Lookups - Complexity'!$F$2:$F$200, 0), MATCH(D32, {"Low","Medium","High"}, 0)), 0)</f>
        <v/>
      </c>
      <c r="F32" s="80">
        <f>Inputs!$B$7</f>
        <v/>
      </c>
      <c r="G32" s="80">
        <f>IFERROR(XLOOKUP(Inputs!$B$4,'Lookups - JourneyDeployment'!$A$3:$A$6,'Lookups - JourneyDeployment'!$B$3:$B$6),1)</f>
        <v/>
      </c>
      <c r="H32" s="80">
        <f>IFERROR(XLOOKUP(Inputs!$B$5,'Lookups - JourneyDeployment'!$D$3:$D$6,'Lookups - JourneyDeployment'!$E$3:$E$6),1)</f>
        <v/>
      </c>
      <c r="I32" s="80">
        <f>E32*F32*G32*H32*N32</f>
        <v/>
      </c>
      <c r="J32" s="80">
        <f>IF(C32=0,0,I32/C32)</f>
        <v/>
      </c>
      <c r="K32" s="80" t="inlineStr">
        <is>
          <t>Knapsack</t>
        </is>
      </c>
      <c r="L32" s="80">
        <f>IF(Inputs!$B$3="Managed Service Delivery","Knapsack",IF(K32="","Knapsack",K32))</f>
        <v/>
      </c>
      <c r="M32" s="80">
        <f>A32&amp;"|"&amp;B32</f>
        <v/>
      </c>
      <c r="N32" s="98">
        <f>IFERROR(XLOOKUP(M32,'PCRI WBS Mapping'!$C$2:$C$200,'PCRI WBS Mapping'!$M$2:$M$200),1)</f>
        <v/>
      </c>
    </row>
    <row r="33">
      <c r="A33" s="79" t="inlineStr">
        <is>
          <t>Optimization and Continued Support</t>
        </is>
      </c>
      <c r="B33" s="79" t="inlineStr">
        <is>
          <t>Go-Live Communication Launch</t>
        </is>
      </c>
      <c r="C33" s="80" t="n">
        <v>4</v>
      </c>
      <c r="D33" s="80">
        <f>Inputs!$B$6</f>
        <v/>
      </c>
      <c r="E33" s="80">
        <f>IFERROR(INDEX('Lookups - Complexity'!$C$2:$E$200, MATCH(M33,'Lookups - Complexity'!$F$2:$F$200, 0), MATCH(D33, {"Low","Medium","High"}, 0)), 0)</f>
        <v/>
      </c>
      <c r="F33" s="80">
        <f>Inputs!$B$7</f>
        <v/>
      </c>
      <c r="G33" s="80">
        <f>IFERROR(XLOOKUP(Inputs!$B$4,'Lookups - JourneyDeployment'!$A$3:$A$6,'Lookups - JourneyDeployment'!$B$3:$B$6),1)</f>
        <v/>
      </c>
      <c r="H33" s="80">
        <f>IFERROR(XLOOKUP(Inputs!$B$5,'Lookups - JourneyDeployment'!$D$3:$D$6,'Lookups - JourneyDeployment'!$E$3:$E$6),1)</f>
        <v/>
      </c>
      <c r="I33" s="80">
        <f>E33*F33*G33*H33*N33</f>
        <v/>
      </c>
      <c r="J33" s="80">
        <f>IF(C33=0,0,I33/C33)</f>
        <v/>
      </c>
      <c r="K33" s="80" t="inlineStr">
        <is>
          <t>Knapsack</t>
        </is>
      </c>
      <c r="L33" s="80">
        <f>IF(Inputs!$B$3="Managed Service Delivery","Knapsack",IF(K33="","Knapsack",K33))</f>
        <v/>
      </c>
      <c r="M33" s="80">
        <f>A33&amp;"|"&amp;B33</f>
        <v/>
      </c>
      <c r="N33" s="98">
        <f>IFERROR(XLOOKUP(M33,'PCRI WBS Mapping'!$C$2:$C$200,'PCRI WBS Mapping'!$M$2:$M$200),1)</f>
        <v/>
      </c>
    </row>
    <row r="34">
      <c r="A34" s="79" t="inlineStr">
        <is>
          <t>Optimization and Continued Support</t>
        </is>
      </c>
      <c r="B34" s="79" t="inlineStr">
        <is>
          <t>Hypercare Phase (Post-Go-Live Support)</t>
        </is>
      </c>
      <c r="C34" s="80" t="n">
        <v>4</v>
      </c>
      <c r="D34" s="80">
        <f>Inputs!$B$6</f>
        <v/>
      </c>
      <c r="E34" s="80">
        <f>IFERROR(INDEX('Lookups - Complexity'!$C$2:$E$200, MATCH(M34,'Lookups - Complexity'!$F$2:$F$200, 0), MATCH(D34, {"Low","Medium","High"}, 0)), 0)</f>
        <v/>
      </c>
      <c r="F34" s="80">
        <f>Inputs!$B$7</f>
        <v/>
      </c>
      <c r="G34" s="80">
        <f>IFERROR(XLOOKUP(Inputs!$B$4,'Lookups - JourneyDeployment'!$A$3:$A$6,'Lookups - JourneyDeployment'!$B$3:$B$6),1)</f>
        <v/>
      </c>
      <c r="H34" s="80">
        <f>IFERROR(XLOOKUP(Inputs!$B$5,'Lookups - JourneyDeployment'!$D$3:$D$6,'Lookups - JourneyDeployment'!$E$3:$E$6),1)</f>
        <v/>
      </c>
      <c r="I34" s="80">
        <f>E34*F34*G34*H34*N34</f>
        <v/>
      </c>
      <c r="J34" s="80">
        <f>IF(C34=0,0,I34/C34)</f>
        <v/>
      </c>
      <c r="K34" s="80" t="inlineStr">
        <is>
          <t>Knapsack</t>
        </is>
      </c>
      <c r="L34" s="80">
        <f>IF(Inputs!$B$3="Managed Service Delivery","Knapsack",IF(K34="","Knapsack",K34))</f>
        <v/>
      </c>
      <c r="M34" s="80">
        <f>A34&amp;"|"&amp;B34</f>
        <v/>
      </c>
      <c r="N34" s="98">
        <f>IFERROR(XLOOKUP(M34,'PCRI WBS Mapping'!$C$2:$C$200,'PCRI WBS Mapping'!$M$2:$M$200),1)</f>
        <v/>
      </c>
    </row>
    <row r="35">
      <c r="A35" s="79" t="inlineStr">
        <is>
          <t>Optimization and Continued Support</t>
        </is>
      </c>
      <c r="B35" s="79" t="inlineStr">
        <is>
          <t>Post-Implementation Review</t>
        </is>
      </c>
      <c r="C35" s="80" t="n">
        <v>4</v>
      </c>
      <c r="D35" s="80">
        <f>Inputs!$B$6</f>
        <v/>
      </c>
      <c r="E35" s="80">
        <f>IFERROR(INDEX('Lookups - Complexity'!$C$2:$E$200, MATCH(M35,'Lookups - Complexity'!$F$2:$F$200, 0), MATCH(D35, {"Low","Medium","High"}, 0)), 0)</f>
        <v/>
      </c>
      <c r="F35" s="80">
        <f>Inputs!$B$7</f>
        <v/>
      </c>
      <c r="G35" s="80">
        <f>IFERROR(XLOOKUP(Inputs!$B$4,'Lookups - JourneyDeployment'!$A$3:$A$6,'Lookups - JourneyDeployment'!$B$3:$B$6),1)</f>
        <v/>
      </c>
      <c r="H35" s="80">
        <f>IFERROR(XLOOKUP(Inputs!$B$5,'Lookups - JourneyDeployment'!$D$3:$D$6,'Lookups - JourneyDeployment'!$E$3:$E$6),1)</f>
        <v/>
      </c>
      <c r="I35" s="80">
        <f>E35*F35*G35*H35*N35</f>
        <v/>
      </c>
      <c r="J35" s="80">
        <f>IF(C35=0,0,I35/C35)</f>
        <v/>
      </c>
      <c r="K35" s="80" t="inlineStr">
        <is>
          <t>Knapsack</t>
        </is>
      </c>
      <c r="L35" s="80">
        <f>IF(Inputs!$B$3="Managed Service Delivery","Knapsack",IF(K35="","Knapsack",K35))</f>
        <v/>
      </c>
      <c r="M35" s="80">
        <f>A35&amp;"|"&amp;B35</f>
        <v/>
      </c>
      <c r="N35" s="98">
        <f>IFERROR(XLOOKUP(M35,'PCRI WBS Mapping'!$C$2:$C$200,'PCRI WBS Mapping'!$M$2:$M$200),1)</f>
        <v/>
      </c>
    </row>
    <row r="36">
      <c r="A36" s="79" t="inlineStr">
        <is>
          <t>Optimization and Continued Support</t>
        </is>
      </c>
      <c r="B36" s="79" t="inlineStr">
        <is>
          <t>Transition to Steady-State Operations</t>
        </is>
      </c>
      <c r="C36" s="80" t="n">
        <v>4</v>
      </c>
      <c r="D36" s="80">
        <f>Inputs!$B$6</f>
        <v/>
      </c>
      <c r="E36" s="80">
        <f>IFERROR(INDEX('Lookups - Complexity'!$C$2:$E$200, MATCH(M36,'Lookups - Complexity'!$F$2:$F$200, 0), MATCH(D36, {"Low","Medium","High"}, 0)), 0)</f>
        <v/>
      </c>
      <c r="F36" s="80">
        <f>Inputs!$B$7</f>
        <v/>
      </c>
      <c r="G36" s="80">
        <f>IFERROR(XLOOKUP(Inputs!$B$4,'Lookups - JourneyDeployment'!$A$3:$A$6,'Lookups - JourneyDeployment'!$B$3:$B$6),1)</f>
        <v/>
      </c>
      <c r="H36" s="80">
        <f>IFERROR(XLOOKUP(Inputs!$B$5,'Lookups - JourneyDeployment'!$D$3:$D$6,'Lookups - JourneyDeployment'!$E$3:$E$6),1)</f>
        <v/>
      </c>
      <c r="I36" s="80">
        <f>E36*F36*G36*H36*N36</f>
        <v/>
      </c>
      <c r="J36" s="80">
        <f>IF(C36=0,0,I36/C36)</f>
        <v/>
      </c>
      <c r="K36" s="80" t="inlineStr">
        <is>
          <t>Knapsack</t>
        </is>
      </c>
      <c r="L36" s="80">
        <f>IF(Inputs!$B$3="Managed Service Delivery","Knapsack",IF(K36="","Knapsack",K36))</f>
        <v/>
      </c>
      <c r="M36" s="80">
        <f>A36&amp;"|"&amp;B36</f>
        <v/>
      </c>
      <c r="N36" s="98">
        <f>IFERROR(XLOOKUP(M36,'PCRI WBS Mapping'!$C$2:$C$200,'PCRI WBS Mapping'!$M$2:$M$200),1)</f>
        <v/>
      </c>
    </row>
    <row r="37">
      <c r="A37" s="79" t="inlineStr">
        <is>
          <t>Optimization and Continued Support</t>
        </is>
      </c>
      <c r="B37" s="79" t="inlineStr">
        <is>
          <t>Continuous Improvement Framework</t>
        </is>
      </c>
      <c r="C37" s="80" t="n">
        <v>4</v>
      </c>
      <c r="D37" s="80">
        <f>Inputs!$B$6</f>
        <v/>
      </c>
      <c r="E37" s="80">
        <f>IFERROR(INDEX('Lookups - Complexity'!$C$2:$E$200, MATCH(M37,'Lookups - Complexity'!$F$2:$F$200, 0), MATCH(D37, {"Low","Medium","High"}, 0)), 0)</f>
        <v/>
      </c>
      <c r="F37" s="80">
        <f>Inputs!$B$7</f>
        <v/>
      </c>
      <c r="G37" s="80">
        <f>IFERROR(XLOOKUP(Inputs!$B$4,'Lookups - JourneyDeployment'!$A$3:$A$6,'Lookups - JourneyDeployment'!$B$3:$B$6),1)</f>
        <v/>
      </c>
      <c r="H37" s="80">
        <f>IFERROR(XLOOKUP(Inputs!$B$5,'Lookups - JourneyDeployment'!$D$3:$D$6,'Lookups - JourneyDeployment'!$E$3:$E$6),1)</f>
        <v/>
      </c>
      <c r="I37" s="80">
        <f>E37*F37*G37*H37*N37</f>
        <v/>
      </c>
      <c r="J37" s="80">
        <f>IF(C37=0,0,I37/C37)</f>
        <v/>
      </c>
      <c r="K37" s="80" t="inlineStr">
        <is>
          <t>Knapsack</t>
        </is>
      </c>
      <c r="L37" s="80">
        <f>IF(Inputs!$B$3="Managed Service Delivery","Knapsack",IF(K37="","Knapsack",K37))</f>
        <v/>
      </c>
      <c r="M37" s="80">
        <f>A37&amp;"|"&amp;B37</f>
        <v/>
      </c>
      <c r="N37" s="98">
        <f>IFERROR(XLOOKUP(M37,'PCRI WBS Mapping'!$C$2:$C$200,'PCRI WBS Mapping'!$M$2:$M$200),1)</f>
        <v/>
      </c>
    </row>
    <row r="38">
      <c r="A38" s="79" t="inlineStr">
        <is>
          <t>Optimization and Continued Support</t>
        </is>
      </c>
      <c r="B38" s="79" t="inlineStr">
        <is>
          <t>Strategic Partnership Review</t>
        </is>
      </c>
      <c r="C38" s="80" t="n">
        <v>4</v>
      </c>
      <c r="D38" s="80">
        <f>Inputs!$B$6</f>
        <v/>
      </c>
      <c r="E38" s="80">
        <f>IFERROR(INDEX('Lookups - Complexity'!$C$2:$E$200, MATCH(M38,'Lookups - Complexity'!$F$2:$F$200, 0), MATCH(D38, {"Low","Medium","High"}, 0)), 0)</f>
        <v/>
      </c>
      <c r="F38" s="80">
        <f>Inputs!$B$7</f>
        <v/>
      </c>
      <c r="G38" s="80">
        <f>IFERROR(XLOOKUP(Inputs!$B$4,'Lookups - JourneyDeployment'!$A$3:$A$6,'Lookups - JourneyDeployment'!$B$3:$B$6),1)</f>
        <v/>
      </c>
      <c r="H38" s="80">
        <f>IFERROR(XLOOKUP(Inputs!$B$5,'Lookups - JourneyDeployment'!$D$3:$D$6,'Lookups - JourneyDeployment'!$E$3:$E$6),1)</f>
        <v/>
      </c>
      <c r="I38" s="80">
        <f>E38*F38*G38*H38*N38</f>
        <v/>
      </c>
      <c r="J38" s="80">
        <f>IF(C38=0,0,I38/C38)</f>
        <v/>
      </c>
      <c r="K38" s="80" t="inlineStr">
        <is>
          <t>Knapsack</t>
        </is>
      </c>
      <c r="L38" s="80">
        <f>IF(Inputs!$B$3="Managed Service Delivery","Knapsack",IF(K38="","Knapsack",K38))</f>
        <v/>
      </c>
      <c r="M38" s="80">
        <f>A38&amp;"|"&amp;B38</f>
        <v/>
      </c>
      <c r="N38" s="98">
        <f>IFERROR(XLOOKUP(M38,'PCRI WBS Mapping'!$C$2:$C$200,'PCRI WBS Mapping'!$M$2:$M$200),1)</f>
        <v/>
      </c>
    </row>
    <row r="39">
      <c r="A39" s="79" t="inlineStr">
        <is>
          <t>Optimization and Continued Support</t>
        </is>
      </c>
      <c r="B39" s="79" t="inlineStr">
        <is>
          <t>Case Study Development</t>
        </is>
      </c>
      <c r="C39" s="80" t="n">
        <v>4</v>
      </c>
      <c r="D39" s="80">
        <f>Inputs!$B$6</f>
        <v/>
      </c>
      <c r="E39" s="80">
        <f>IFERROR(INDEX('Lookups - Complexity'!$C$2:$E$200, MATCH(M39,'Lookups - Complexity'!$F$2:$F$200, 0), MATCH(D39, {"Low","Medium","High"}, 0)), 0)</f>
        <v/>
      </c>
      <c r="F39" s="80">
        <f>Inputs!$B$7</f>
        <v/>
      </c>
      <c r="G39" s="80">
        <f>IFERROR(XLOOKUP(Inputs!$B$4,'Lookups - JourneyDeployment'!$A$3:$A$6,'Lookups - JourneyDeployment'!$B$3:$B$6),1)</f>
        <v/>
      </c>
      <c r="H39" s="80">
        <f>IFERROR(XLOOKUP(Inputs!$B$5,'Lookups - JourneyDeployment'!$D$3:$D$6,'Lookups - JourneyDeployment'!$E$3:$E$6),1)</f>
        <v/>
      </c>
      <c r="I39" s="80">
        <f>E39*F39*G39*H39*N39</f>
        <v/>
      </c>
      <c r="J39" s="80">
        <f>IF(C39=0,0,I39/C39)</f>
        <v/>
      </c>
      <c r="K39" s="80" t="inlineStr">
        <is>
          <t>Knapsack</t>
        </is>
      </c>
      <c r="L39" s="80">
        <f>IF(Inputs!$B$3="Managed Service Delivery","Knapsack",IF(K39="","Knapsack",K39))</f>
        <v/>
      </c>
      <c r="M39" s="80">
        <f>A39&amp;"|"&amp;B39</f>
        <v/>
      </c>
      <c r="N39" s="98">
        <f>IFERROR(XLOOKUP(M39,'PCRI WBS Mapping'!$C$2:$C$200,'PCRI WBS Mapping'!$M$2:$M$200),1)</f>
        <v/>
      </c>
    </row>
    <row r="40" s="74">
      <c r="A40" s="79" t="inlineStr">
        <is>
          <t>Implementation + Onboarding</t>
        </is>
      </c>
      <c r="B40" s="79" t="inlineStr">
        <is>
          <t>Design System Charter &amp; Reference Architecture</t>
        </is>
      </c>
      <c r="C40" s="80" t="n">
        <v>5</v>
      </c>
      <c r="D40" s="80">
        <f>Inputs!$B$6</f>
        <v/>
      </c>
      <c r="E40" s="80">
        <f>IFERROR(INDEX('Lookups - Complexity'!$C$2:$E$200, MATCH(M40,'Lookups - Complexity'!$F$2:$F$200, 0), MATCH(D40, {"Low","Medium","High"}, 0)), 0)</f>
        <v/>
      </c>
      <c r="F40" s="80">
        <f>Inputs!$B$7</f>
        <v/>
      </c>
      <c r="G40" s="80">
        <f>IFERROR(XLOOKUP(Inputs!$B$4,'Lookups - JourneyDeployment'!$A$3:$A$6,'Lookups - JourneyDeployment'!$B$3:$B$6),1)</f>
        <v/>
      </c>
      <c r="H40" s="80">
        <f>IFERROR(XLOOKUP(Inputs!$B$5,'Lookups - JourneyDeployment'!$D$3:$D$6,'Lookups - JourneyDeployment'!$E$3:$E$6),1)</f>
        <v/>
      </c>
      <c r="I40" s="80">
        <f>E40*F40*G40*H40*N40</f>
        <v/>
      </c>
      <c r="J40" s="80">
        <f>IF(C40=0,0,I40/C40)</f>
        <v/>
      </c>
      <c r="K40" s="80" t="inlineStr">
        <is>
          <t>Knapsack</t>
        </is>
      </c>
      <c r="L40" s="80">
        <f>IF(Inputs!$B$3="Managed Service Delivery","Knapsack",IF(K40="","Knapsack",K40))</f>
        <v/>
      </c>
      <c r="M40" s="80">
        <f>A40&amp;"|"&amp;B40</f>
        <v/>
      </c>
      <c r="N40" s="98">
        <f>IFERROR(XLOOKUP(M40,'PCRI WBS Mapping'!$C$2:$C$200,'PCRI WBS Mapping'!$M$2:$M$200),1)</f>
        <v/>
      </c>
    </row>
    <row r="41" s="74">
      <c r="A41" s="79" t="inlineStr">
        <is>
          <t>Implementation + Onboarding</t>
        </is>
      </c>
      <c r="B41" s="79" t="inlineStr">
        <is>
          <t>Foundations &amp; Token Taxonomy</t>
        </is>
      </c>
      <c r="C41" s="80" t="n">
        <v>6</v>
      </c>
      <c r="D41" s="80">
        <f>Inputs!$B$6</f>
        <v/>
      </c>
      <c r="E41" s="80">
        <f>IFERROR(INDEX('Lookups - Complexity'!$C$2:$E$200, MATCH(M41,'Lookups - Complexity'!$F$2:$F$200, 0), MATCH(D41, {"Low","Medium","High"}, 0)), 0)</f>
        <v/>
      </c>
      <c r="F41" s="80">
        <f>Inputs!$B$7</f>
        <v/>
      </c>
      <c r="G41" s="80">
        <f>IFERROR(XLOOKUP(Inputs!$B$4,'Lookups - JourneyDeployment'!$A$3:$A$6,'Lookups - JourneyDeployment'!$B$3:$B$6),1)</f>
        <v/>
      </c>
      <c r="H41" s="80">
        <f>IFERROR(XLOOKUP(Inputs!$B$5,'Lookups - JourneyDeployment'!$D$3:$D$6,'Lookups - JourneyDeployment'!$E$3:$E$6),1)</f>
        <v/>
      </c>
      <c r="I41" s="80">
        <f>E41*F41*G41*H41*N41</f>
        <v/>
      </c>
      <c r="J41" s="80">
        <f>IF(C41=0,0,I41/C41)</f>
        <v/>
      </c>
      <c r="K41" s="80" t="inlineStr">
        <is>
          <t>Knapsack</t>
        </is>
      </c>
      <c r="L41" s="80">
        <f>IF(Inputs!$B$3="Managed Service Delivery","Knapsack",IF(K41="","Knapsack",K41))</f>
        <v/>
      </c>
      <c r="M41" s="80">
        <f>A41&amp;"|"&amp;B41</f>
        <v/>
      </c>
      <c r="N41" s="98">
        <f>IFERROR(XLOOKUP(M41,'PCRI WBS Mapping'!$C$2:$C$200,'PCRI WBS Mapping'!$M$2:$M$200),1)</f>
        <v/>
      </c>
    </row>
    <row r="42" s="74">
      <c r="A42" s="79" t="inlineStr">
        <is>
          <t>Implementation + Onboarding</t>
        </is>
      </c>
      <c r="B42" s="79" t="inlineStr">
        <is>
          <t>Token Pipeline Build &amp; Theming Strategy</t>
        </is>
      </c>
      <c r="C42" s="80" t="n">
        <v>6</v>
      </c>
      <c r="D42" s="80">
        <f>Inputs!$B$6</f>
        <v/>
      </c>
      <c r="E42" s="80">
        <f>IFERROR(INDEX('Lookups - Complexity'!$C$2:$E$200, MATCH(M42,'Lookups - Complexity'!$F$2:$F$200, 0), MATCH(D42, {"Low","Medium","High"}, 0)), 0)</f>
        <v/>
      </c>
      <c r="F42" s="80">
        <f>Inputs!$B$7</f>
        <v/>
      </c>
      <c r="G42" s="80">
        <f>IFERROR(XLOOKUP(Inputs!$B$4,'Lookups - JourneyDeployment'!$A$3:$A$6,'Lookups - JourneyDeployment'!$B$3:$B$6),1)</f>
        <v/>
      </c>
      <c r="H42" s="80">
        <f>IFERROR(XLOOKUP(Inputs!$B$5,'Lookups - JourneyDeployment'!$D$3:$D$6,'Lookups - JourneyDeployment'!$E$3:$E$6),1)</f>
        <v/>
      </c>
      <c r="I42" s="80">
        <f>E42*F42*G42*H42*N42</f>
        <v/>
      </c>
      <c r="J42" s="80">
        <f>IF(C42=0,0,I42/C42)</f>
        <v/>
      </c>
      <c r="K42" s="80" t="inlineStr">
        <is>
          <t>Knapsack</t>
        </is>
      </c>
      <c r="L42" s="80">
        <f>IF(Inputs!$B$3="Managed Service Delivery","Knapsack",IF(K42="","Knapsack",K42))</f>
        <v/>
      </c>
      <c r="M42" s="80">
        <f>A42&amp;"|"&amp;B42</f>
        <v/>
      </c>
      <c r="N42" s="98">
        <f>IFERROR(XLOOKUP(M42,'PCRI WBS Mapping'!$C$2:$C$200,'PCRI WBS Mapping'!$M$2:$M$200),1)</f>
        <v/>
      </c>
    </row>
    <row r="43" s="74">
      <c r="A43" s="79" t="inlineStr">
        <is>
          <t>Implementation + Onboarding</t>
        </is>
      </c>
      <c r="B43" s="79" t="inlineStr">
        <is>
          <t>Component Inventory &amp; Prioritization</t>
        </is>
      </c>
      <c r="C43" s="80" t="n">
        <v>5</v>
      </c>
      <c r="D43" s="80">
        <f>Inputs!$B$6</f>
        <v/>
      </c>
      <c r="E43" s="80">
        <f>IFERROR(INDEX('Lookups - Complexity'!$C$2:$E$200, MATCH(M43,'Lookups - Complexity'!$F$2:$F$200, 0), MATCH(D43, {"Low","Medium","High"}, 0)), 0)</f>
        <v/>
      </c>
      <c r="F43" s="80">
        <f>Inputs!$B$7</f>
        <v/>
      </c>
      <c r="G43" s="80">
        <f>IFERROR(XLOOKUP(Inputs!$B$4,'Lookups - JourneyDeployment'!$A$3:$A$6,'Lookups - JourneyDeployment'!$B$3:$B$6),1)</f>
        <v/>
      </c>
      <c r="H43" s="80">
        <f>IFERROR(XLOOKUP(Inputs!$B$5,'Lookups - JourneyDeployment'!$D$3:$D$6,'Lookups - JourneyDeployment'!$E$3:$E$6),1)</f>
        <v/>
      </c>
      <c r="I43" s="80">
        <f>E43*F43*G43*H43*N43</f>
        <v/>
      </c>
      <c r="J43" s="80">
        <f>IF(C43=0,0,I43/C43)</f>
        <v/>
      </c>
      <c r="K43" s="80" t="inlineStr">
        <is>
          <t>Knapsack</t>
        </is>
      </c>
      <c r="L43" s="80">
        <f>IF(Inputs!$B$3="Managed Service Delivery","Knapsack",IF(K43="","Knapsack",K43))</f>
        <v/>
      </c>
      <c r="M43" s="80">
        <f>A43&amp;"|"&amp;B43</f>
        <v/>
      </c>
      <c r="N43" s="98">
        <f>IFERROR(XLOOKUP(M43,'PCRI WBS Mapping'!$C$2:$C$200,'PCRI WBS Mapping'!$M$2:$M$200),1)</f>
        <v/>
      </c>
    </row>
    <row r="44" s="74">
      <c r="A44" s="79" t="inlineStr">
        <is>
          <t>Implementation + Onboarding</t>
        </is>
      </c>
      <c r="B44" s="79" t="inlineStr">
        <is>
          <t>Component API Standards &amp; Templates</t>
        </is>
      </c>
      <c r="C44" s="80" t="n">
        <v>5</v>
      </c>
      <c r="D44" s="80">
        <f>Inputs!$B$6</f>
        <v/>
      </c>
      <c r="E44" s="80">
        <f>IFERROR(INDEX('Lookups - Complexity'!$C$2:$E$200, MATCH(M44,'Lookups - Complexity'!$F$2:$F$200, 0), MATCH(D44, {"Low","Medium","High"}, 0)), 0)</f>
        <v/>
      </c>
      <c r="F44" s="80">
        <f>Inputs!$B$7</f>
        <v/>
      </c>
      <c r="G44" s="80">
        <f>IFERROR(XLOOKUP(Inputs!$B$4,'Lookups - JourneyDeployment'!$A$3:$A$6,'Lookups - JourneyDeployment'!$B$3:$B$6),1)</f>
        <v/>
      </c>
      <c r="H44" s="80">
        <f>IFERROR(XLOOKUP(Inputs!$B$5,'Lookups - JourneyDeployment'!$D$3:$D$6,'Lookups - JourneyDeployment'!$E$3:$E$6),1)</f>
        <v/>
      </c>
      <c r="I44" s="80">
        <f>E44*F44*G44*H44*N44</f>
        <v/>
      </c>
      <c r="J44" s="80">
        <f>IF(C44=0,0,I44/C44)</f>
        <v/>
      </c>
      <c r="K44" s="80" t="inlineStr">
        <is>
          <t>Knapsack</t>
        </is>
      </c>
      <c r="L44" s="80">
        <f>IF(Inputs!$B$3="Managed Service Delivery","Knapsack",IF(K44="","Knapsack",K44))</f>
        <v/>
      </c>
      <c r="M44" s="80">
        <f>A44&amp;"|"&amp;B44</f>
        <v/>
      </c>
      <c r="N44" s="98">
        <f>IFERROR(XLOOKUP(M44,'PCRI WBS Mapping'!$C$2:$C$200,'PCRI WBS Mapping'!$M$2:$M$200),1)</f>
        <v/>
      </c>
    </row>
    <row r="45" s="74">
      <c r="A45" s="79" t="inlineStr">
        <is>
          <t>Implementation + Onboarding</t>
        </is>
      </c>
      <c r="B45" s="79" t="inlineStr">
        <is>
          <t>Code Connect Strategy &amp; Configuration</t>
        </is>
      </c>
      <c r="C45" s="80" t="n">
        <v>6</v>
      </c>
      <c r="D45" s="80">
        <f>Inputs!$B$6</f>
        <v/>
      </c>
      <c r="E45" s="80">
        <f>IFERROR(INDEX('Lookups - Complexity'!$C$2:$E$200, MATCH(M45,'Lookups - Complexity'!$F$2:$F$200, 0), MATCH(D45, {"Low","Medium","High"}, 0)), 0)</f>
        <v/>
      </c>
      <c r="F45" s="80">
        <f>Inputs!$B$7</f>
        <v/>
      </c>
      <c r="G45" s="80">
        <f>IFERROR(XLOOKUP(Inputs!$B$4,'Lookups - JourneyDeployment'!$A$3:$A$6,'Lookups - JourneyDeployment'!$B$3:$B$6),1)</f>
        <v/>
      </c>
      <c r="H45" s="80">
        <f>IFERROR(XLOOKUP(Inputs!$B$5,'Lookups - JourneyDeployment'!$D$3:$D$6,'Lookups - JourneyDeployment'!$E$3:$E$6),1)</f>
        <v/>
      </c>
      <c r="I45" s="80">
        <f>E45*F45*G45*H45*N45</f>
        <v/>
      </c>
      <c r="J45" s="80">
        <f>IF(C45=0,0,I45/C45)</f>
        <v/>
      </c>
      <c r="K45" s="80" t="inlineStr">
        <is>
          <t>Knapsack</t>
        </is>
      </c>
      <c r="L45" s="80">
        <f>IF(Inputs!$B$3="Managed Service Delivery","Knapsack",IF(K45="","Knapsack",K45))</f>
        <v/>
      </c>
      <c r="M45" s="80">
        <f>A45&amp;"|"&amp;B45</f>
        <v/>
      </c>
      <c r="N45" s="98">
        <f>IFERROR(XLOOKUP(M45,'PCRI WBS Mapping'!$C$2:$C$200,'PCRI WBS Mapping'!$M$2:$M$200),1)</f>
        <v/>
      </c>
    </row>
    <row r="46" s="74">
      <c r="A46" s="79" t="inlineStr">
        <is>
          <t>Implementation + Onboarding</t>
        </is>
      </c>
      <c r="B46" s="79" t="inlineStr">
        <is>
          <t>Documentation IA &amp; Templates (Design System Docs)</t>
        </is>
      </c>
      <c r="C46" s="80" t="n">
        <v>5</v>
      </c>
      <c r="D46" s="80">
        <f>Inputs!$B$6</f>
        <v/>
      </c>
      <c r="E46" s="80">
        <f>IFERROR(INDEX('Lookups - Complexity'!$C$2:$E$200, MATCH(M46,'Lookups - Complexity'!$F$2:$F$200, 0), MATCH(D46, {"Low","Medium","High"}, 0)), 0)</f>
        <v/>
      </c>
      <c r="F46" s="80">
        <f>Inputs!$B$7</f>
        <v/>
      </c>
      <c r="G46" s="80">
        <f>IFERROR(XLOOKUP(Inputs!$B$4,'Lookups - JourneyDeployment'!$A$3:$A$6,'Lookups - JourneyDeployment'!$B$3:$B$6),1)</f>
        <v/>
      </c>
      <c r="H46" s="80">
        <f>IFERROR(XLOOKUP(Inputs!$B$5,'Lookups - JourneyDeployment'!$D$3:$D$6,'Lookups - JourneyDeployment'!$E$3:$E$6),1)</f>
        <v/>
      </c>
      <c r="I46" s="80">
        <f>E46*F46*G46*H46*N46</f>
        <v/>
      </c>
      <c r="J46" s="80">
        <f>IF(C46=0,0,I46/C46)</f>
        <v/>
      </c>
      <c r="K46" s="80" t="inlineStr">
        <is>
          <t>Knapsack</t>
        </is>
      </c>
      <c r="L46" s="80">
        <f>IF(Inputs!$B$3="Managed Service Delivery","Knapsack",IF(K46="","Knapsack",K46))</f>
        <v/>
      </c>
      <c r="M46" s="80">
        <f>A46&amp;"|"&amp;B46</f>
        <v/>
      </c>
      <c r="N46" s="98">
        <f>IFERROR(XLOOKUP(M46,'PCRI WBS Mapping'!$C$2:$C$200,'PCRI WBS Mapping'!$M$2:$M$200),1)</f>
        <v/>
      </c>
    </row>
    <row r="47" s="74">
      <c r="A47" s="79" t="inlineStr">
        <is>
          <t>Implementation + Onboarding</t>
        </is>
      </c>
      <c r="B47" s="79" t="inlineStr">
        <is>
          <t>Quality Gates Setup (A11y, Visual, Performance, Security)</t>
        </is>
      </c>
      <c r="C47" s="80" t="n">
        <v>6</v>
      </c>
      <c r="D47" s="80">
        <f>Inputs!$B$6</f>
        <v/>
      </c>
      <c r="E47" s="80">
        <f>IFERROR(INDEX('Lookups - Complexity'!$C$2:$E$200, MATCH(M47,'Lookups - Complexity'!$F$2:$F$200, 0), MATCH(D47, {"Low","Medium","High"}, 0)), 0)</f>
        <v/>
      </c>
      <c r="F47" s="80">
        <f>Inputs!$B$7</f>
        <v/>
      </c>
      <c r="G47" s="80">
        <f>IFERROR(XLOOKUP(Inputs!$B$4,'Lookups - JourneyDeployment'!$A$3:$A$6,'Lookups - JourneyDeployment'!$B$3:$B$6),1)</f>
        <v/>
      </c>
      <c r="H47" s="80">
        <f>IFERROR(XLOOKUP(Inputs!$B$5,'Lookups - JourneyDeployment'!$D$3:$D$6,'Lookups - JourneyDeployment'!$E$3:$E$6),1)</f>
        <v/>
      </c>
      <c r="I47" s="80">
        <f>E47*F47*G47*H47*N47</f>
        <v/>
      </c>
      <c r="J47" s="80">
        <f>IF(C47=0,0,I47/C47)</f>
        <v/>
      </c>
      <c r="K47" s="80" t="inlineStr">
        <is>
          <t>Knapsack</t>
        </is>
      </c>
      <c r="L47" s="80">
        <f>IF(Inputs!$B$3="Managed Service Delivery","Knapsack",IF(K47="","Knapsack",K47))</f>
        <v/>
      </c>
      <c r="M47" s="80">
        <f>A47&amp;"|"&amp;B47</f>
        <v/>
      </c>
      <c r="N47" s="98">
        <f>IFERROR(XLOOKUP(M47,'PCRI WBS Mapping'!$C$2:$C$200,'PCRI WBS Mapping'!$M$2:$M$200),1)</f>
        <v/>
      </c>
    </row>
    <row r="48" s="74">
      <c r="A48" s="79" t="inlineStr">
        <is>
          <t>Implementation + Onboarding</t>
        </is>
      </c>
      <c r="B48" s="79" t="inlineStr">
        <is>
          <t>Release Engineering &amp; Package Strategy</t>
        </is>
      </c>
      <c r="C48" s="80" t="n">
        <v>6</v>
      </c>
      <c r="D48" s="80">
        <f>Inputs!$B$6</f>
        <v/>
      </c>
      <c r="E48" s="80">
        <f>IFERROR(INDEX('Lookups - Complexity'!$C$2:$E$200, MATCH(M48,'Lookups - Complexity'!$F$2:$F$200, 0), MATCH(D48, {"Low","Medium","High"}, 0)), 0)</f>
        <v/>
      </c>
      <c r="F48" s="80">
        <f>Inputs!$B$7</f>
        <v/>
      </c>
      <c r="G48" s="80">
        <f>IFERROR(XLOOKUP(Inputs!$B$4,'Lookups - JourneyDeployment'!$A$3:$A$6,'Lookups - JourneyDeployment'!$B$3:$B$6),1)</f>
        <v/>
      </c>
      <c r="H48" s="80">
        <f>IFERROR(XLOOKUP(Inputs!$B$5,'Lookups - JourneyDeployment'!$D$3:$D$6,'Lookups - JourneyDeployment'!$E$3:$E$6),1)</f>
        <v/>
      </c>
      <c r="I48" s="80">
        <f>E48*F48*G48*H48*N48</f>
        <v/>
      </c>
      <c r="J48" s="80">
        <f>IF(C48=0,0,I48/C48)</f>
        <v/>
      </c>
      <c r="K48" s="80" t="inlineStr">
        <is>
          <t>Knapsack</t>
        </is>
      </c>
      <c r="L48" s="80">
        <f>IF(Inputs!$B$3="Managed Service Delivery","Knapsack",IF(K48="","Knapsack",K48))</f>
        <v/>
      </c>
      <c r="M48" s="80">
        <f>A48&amp;"|"&amp;B48</f>
        <v/>
      </c>
      <c r="N48" s="98">
        <f>IFERROR(XLOOKUP(M48,'PCRI WBS Mapping'!$C$2:$C$200,'PCRI WBS Mapping'!$M$2:$M$200),1)</f>
        <v/>
      </c>
    </row>
    <row r="49" s="74">
      <c r="A49" s="79" t="inlineStr">
        <is>
          <t>Implementation + Onboarding</t>
        </is>
      </c>
      <c r="B49" s="79" t="inlineStr">
        <is>
          <t>AI Contextual Capabilities – Context Model &amp; Knowledge Base</t>
        </is>
      </c>
      <c r="C49" s="80" t="n">
        <v>7</v>
      </c>
      <c r="D49" s="80">
        <f>Inputs!$B$6</f>
        <v/>
      </c>
      <c r="E49" s="80">
        <f>IFERROR(INDEX('Lookups - Complexity'!$C$2:$E$200, MATCH(M49,'Lookups - Complexity'!$F$2:$F$200, 0), MATCH(D49, {"Low","Medium","High"}, 0)), 0)</f>
        <v/>
      </c>
      <c r="F49" s="80">
        <f>Inputs!$B$7</f>
        <v/>
      </c>
      <c r="G49" s="80">
        <f>IFERROR(XLOOKUP(Inputs!$B$4,'Lookups - JourneyDeployment'!$A$3:$A$6,'Lookups - JourneyDeployment'!$B$3:$B$6),1)</f>
        <v/>
      </c>
      <c r="H49" s="80">
        <f>IFERROR(XLOOKUP(Inputs!$B$5,'Lookups - JourneyDeployment'!$D$3:$D$6,'Lookups - JourneyDeployment'!$E$3:$E$6),1)</f>
        <v/>
      </c>
      <c r="I49" s="80">
        <f>E49*F49*G49*H49*N49</f>
        <v/>
      </c>
      <c r="J49" s="80">
        <f>IF(C49=0,0,I49/C49)</f>
        <v/>
      </c>
      <c r="K49" s="80" t="inlineStr">
        <is>
          <t>Knapsack</t>
        </is>
      </c>
      <c r="L49" s="80">
        <f>IF(Inputs!$B$3="Managed Service Delivery","Knapsack",IF(K49="","Knapsack",K49))</f>
        <v/>
      </c>
      <c r="M49" s="80">
        <f>A49&amp;"|"&amp;B49</f>
        <v/>
      </c>
      <c r="N49" s="98">
        <f>IFERROR(XLOOKUP(M49,'PCRI WBS Mapping'!$C$2:$C$200,'PCRI WBS Mapping'!$M$2:$M$200),1)</f>
        <v/>
      </c>
    </row>
    <row r="50" s="74">
      <c r="A50" s="79" t="inlineStr">
        <is>
          <t>Scaled Rollout and Adoption</t>
        </is>
      </c>
      <c r="B50" s="79" t="inlineStr">
        <is>
          <t>Component Library MVP Build (Core Set)</t>
        </is>
      </c>
      <c r="C50" s="80" t="n">
        <v>7</v>
      </c>
      <c r="D50" s="80">
        <f>Inputs!$B$6</f>
        <v/>
      </c>
      <c r="E50" s="80">
        <f>IFERROR(INDEX('Lookups - Complexity'!$C$2:$E$200, MATCH(M50,'Lookups - Complexity'!$F$2:$F$200, 0), MATCH(D50, {"Low","Medium","High"}, 0)), 0)</f>
        <v/>
      </c>
      <c r="F50" s="80">
        <f>Inputs!$B$7</f>
        <v/>
      </c>
      <c r="G50" s="80">
        <f>IFERROR(XLOOKUP(Inputs!$B$4,'Lookups - JourneyDeployment'!$A$3:$A$6,'Lookups - JourneyDeployment'!$B$3:$B$6),1)</f>
        <v/>
      </c>
      <c r="H50" s="80">
        <f>IFERROR(XLOOKUP(Inputs!$B$5,'Lookups - JourneyDeployment'!$D$3:$D$6,'Lookups - JourneyDeployment'!$E$3:$E$6),1)</f>
        <v/>
      </c>
      <c r="I50" s="80">
        <f>E50*F50*G50*H50*N50</f>
        <v/>
      </c>
      <c r="J50" s="80">
        <f>IF(C50=0,0,I50/C50)</f>
        <v/>
      </c>
      <c r="K50" s="80" t="inlineStr">
        <is>
          <t>Knapsack</t>
        </is>
      </c>
      <c r="L50" s="80">
        <f>IF(Inputs!$B$3="Managed Service Delivery","Knapsack",IF(K50="","Knapsack",K50))</f>
        <v/>
      </c>
      <c r="M50" s="80">
        <f>A50&amp;"|"&amp;B50</f>
        <v/>
      </c>
      <c r="N50" s="98">
        <f>IFERROR(XLOOKUP(M50,'PCRI WBS Mapping'!$C$2:$C$200,'PCRI WBS Mapping'!$M$2:$M$200),1)</f>
        <v/>
      </c>
    </row>
    <row r="51" s="74">
      <c r="A51" s="79" t="inlineStr">
        <is>
          <t>Scaled Rollout and Adoption</t>
        </is>
      </c>
      <c r="B51" s="79" t="inlineStr">
        <is>
          <t>Code Connect Coverage Expansion &amp; Drift Remediation</t>
        </is>
      </c>
      <c r="C51" s="80" t="n">
        <v>6</v>
      </c>
      <c r="D51" s="80">
        <f>Inputs!$B$6</f>
        <v/>
      </c>
      <c r="E51" s="80">
        <f>IFERROR(INDEX('Lookups - Complexity'!$C$2:$E$200, MATCH(M51,'Lookups - Complexity'!$F$2:$F$200, 0), MATCH(D51, {"Low","Medium","High"}, 0)), 0)</f>
        <v/>
      </c>
      <c r="F51" s="80">
        <f>Inputs!$B$7</f>
        <v/>
      </c>
      <c r="G51" s="80">
        <f>IFERROR(XLOOKUP(Inputs!$B$4,'Lookups - JourneyDeployment'!$A$3:$A$6,'Lookups - JourneyDeployment'!$B$3:$B$6),1)</f>
        <v/>
      </c>
      <c r="H51" s="80">
        <f>IFERROR(XLOOKUP(Inputs!$B$5,'Lookups - JourneyDeployment'!$D$3:$D$6,'Lookups - JourneyDeployment'!$E$3:$E$6),1)</f>
        <v/>
      </c>
      <c r="I51" s="80">
        <f>E51*F51*G51*H51*N51</f>
        <v/>
      </c>
      <c r="J51" s="80">
        <f>IF(C51=0,0,I51/C51)</f>
        <v/>
      </c>
      <c r="K51" s="80" t="inlineStr">
        <is>
          <t>Knapsack</t>
        </is>
      </c>
      <c r="L51" s="80">
        <f>IF(Inputs!$B$3="Managed Service Delivery","Knapsack",IF(K51="","Knapsack",K51))</f>
        <v/>
      </c>
      <c r="M51" s="80">
        <f>A51&amp;"|"&amp;B51</f>
        <v/>
      </c>
      <c r="N51" s="98">
        <f>IFERROR(XLOOKUP(M51,'PCRI WBS Mapping'!$C$2:$C$200,'PCRI WBS Mapping'!$M$2:$M$200),1)</f>
        <v/>
      </c>
    </row>
    <row r="52" s="74">
      <c r="A52" s="79" t="inlineStr">
        <is>
          <t>Scaled Rollout and Adoption</t>
        </is>
      </c>
      <c r="B52" s="79" t="inlineStr">
        <is>
          <t>Docs Launch + Recipes &amp; Migration Guides</t>
        </is>
      </c>
      <c r="C52" s="80" t="n">
        <v>5</v>
      </c>
      <c r="D52" s="80">
        <f>Inputs!$B$6</f>
        <v/>
      </c>
      <c r="E52" s="80">
        <f>IFERROR(INDEX('Lookups - Complexity'!$C$2:$E$200, MATCH(M52,'Lookups - Complexity'!$F$2:$F$200, 0), MATCH(D52, {"Low","Medium","High"}, 0)), 0)</f>
        <v/>
      </c>
      <c r="F52" s="80">
        <f>Inputs!$B$7</f>
        <v/>
      </c>
      <c r="G52" s="80">
        <f>IFERROR(XLOOKUP(Inputs!$B$4,'Lookups - JourneyDeployment'!$A$3:$A$6,'Lookups - JourneyDeployment'!$B$3:$B$6),1)</f>
        <v/>
      </c>
      <c r="H52" s="80">
        <f>IFERROR(XLOOKUP(Inputs!$B$5,'Lookups - JourneyDeployment'!$D$3:$D$6,'Lookups - JourneyDeployment'!$E$3:$E$6),1)</f>
        <v/>
      </c>
      <c r="I52" s="80">
        <f>E52*F52*G52*H52*N52</f>
        <v/>
      </c>
      <c r="J52" s="80">
        <f>IF(C52=0,0,I52/C52)</f>
        <v/>
      </c>
      <c r="K52" s="80" t="inlineStr">
        <is>
          <t>Knapsack</t>
        </is>
      </c>
      <c r="L52" s="80">
        <f>IF(Inputs!$B$3="Managed Service Delivery","Knapsack",IF(K52="","Knapsack",K52))</f>
        <v/>
      </c>
      <c r="M52" s="80">
        <f>A52&amp;"|"&amp;B52</f>
        <v/>
      </c>
      <c r="N52" s="98">
        <f>IFERROR(XLOOKUP(M52,'PCRI WBS Mapping'!$C$2:$C$200,'PCRI WBS Mapping'!$M$2:$M$200),1)</f>
        <v/>
      </c>
    </row>
    <row r="53" s="74">
      <c r="A53" s="79" t="inlineStr">
        <is>
          <t>Scaled Rollout and Adoption</t>
        </is>
      </c>
      <c r="B53" s="79" t="inlineStr">
        <is>
          <t>Partner Contribution Pathway &amp; Certification</t>
        </is>
      </c>
      <c r="C53" s="80" t="n">
        <v>6</v>
      </c>
      <c r="D53" s="80">
        <f>Inputs!$B$6</f>
        <v/>
      </c>
      <c r="E53" s="80">
        <f>IFERROR(INDEX('Lookups - Complexity'!$C$2:$E$200, MATCH(M53,'Lookups - Complexity'!$F$2:$F$200, 0), MATCH(D53, {"Low","Medium","High"}, 0)), 0)</f>
        <v/>
      </c>
      <c r="F53" s="80">
        <f>Inputs!$B$7</f>
        <v/>
      </c>
      <c r="G53" s="80">
        <f>IFERROR(XLOOKUP(Inputs!$B$4,'Lookups - JourneyDeployment'!$A$3:$A$6,'Lookups - JourneyDeployment'!$B$3:$B$6),1)</f>
        <v/>
      </c>
      <c r="H53" s="80">
        <f>IFERROR(XLOOKUP(Inputs!$B$5,'Lookups - JourneyDeployment'!$D$3:$D$6,'Lookups - JourneyDeployment'!$E$3:$E$6),1)</f>
        <v/>
      </c>
      <c r="I53" s="80">
        <f>E53*F53*G53*H53*N53</f>
        <v/>
      </c>
      <c r="J53" s="80">
        <f>IF(C53=0,0,I53/C53)</f>
        <v/>
      </c>
      <c r="K53" s="80" t="inlineStr">
        <is>
          <t>Knapsack</t>
        </is>
      </c>
      <c r="L53" s="80">
        <f>IF(Inputs!$B$3="Managed Service Delivery","Knapsack",IF(K53="","Knapsack",K53))</f>
        <v/>
      </c>
      <c r="M53" s="80">
        <f>A53&amp;"|"&amp;B53</f>
        <v/>
      </c>
      <c r="N53" s="98">
        <f>IFERROR(XLOOKUP(M53,'PCRI WBS Mapping'!$C$2:$C$200,'PCRI WBS Mapping'!$M$2:$M$200),1)</f>
        <v/>
      </c>
    </row>
    <row r="54" s="74">
      <c r="A54" s="79" t="inlineStr">
        <is>
          <t>Scaled Rollout and Adoption</t>
        </is>
      </c>
      <c r="B54" s="79" t="inlineStr">
        <is>
          <t>AI Contextual Capabilities – Workflow Integrations</t>
        </is>
      </c>
      <c r="C54" s="80" t="n">
        <v>6</v>
      </c>
      <c r="D54" s="80">
        <f>Inputs!$B$6</f>
        <v/>
      </c>
      <c r="E54" s="80">
        <f>IFERROR(INDEX('Lookups - Complexity'!$C$2:$E$200, MATCH(M54,'Lookups - Complexity'!$F$2:$F$200, 0), MATCH(D54, {"Low","Medium","High"}, 0)), 0)</f>
        <v/>
      </c>
      <c r="F54" s="80">
        <f>Inputs!$B$7</f>
        <v/>
      </c>
      <c r="G54" s="80">
        <f>IFERROR(XLOOKUP(Inputs!$B$4,'Lookups - JourneyDeployment'!$A$3:$A$6,'Lookups - JourneyDeployment'!$B$3:$B$6),1)</f>
        <v/>
      </c>
      <c r="H54" s="80">
        <f>IFERROR(XLOOKUP(Inputs!$B$5,'Lookups - JourneyDeployment'!$D$3:$D$6,'Lookups - JourneyDeployment'!$E$3:$E$6),1)</f>
        <v/>
      </c>
      <c r="I54" s="80">
        <f>E54*F54*G54*H54*N54</f>
        <v/>
      </c>
      <c r="J54" s="80">
        <f>IF(C54=0,0,I54/C54)</f>
        <v/>
      </c>
      <c r="K54" s="80" t="inlineStr">
        <is>
          <t>Knapsack</t>
        </is>
      </c>
      <c r="L54" s="80">
        <f>IF(Inputs!$B$3="Managed Service Delivery","Knapsack",IF(K54="","Knapsack",K54))</f>
        <v/>
      </c>
      <c r="M54" s="80">
        <f>A54&amp;"|"&amp;B54</f>
        <v/>
      </c>
      <c r="N54" s="98">
        <f>IFERROR(XLOOKUP(M54,'PCRI WBS Mapping'!$C$2:$C$200,'PCRI WBS Mapping'!$M$2:$M$200),1)</f>
        <v/>
      </c>
    </row>
    <row r="55" s="74">
      <c r="A55" s="79" t="inlineStr">
        <is>
          <t>Scaled Rollout and Adoption</t>
        </is>
      </c>
      <c r="B55" s="79" t="inlineStr">
        <is>
          <t>AI Contextual Capabilities – Evaluation Harness + Telemetry</t>
        </is>
      </c>
      <c r="C55" s="80" t="n">
        <v>6</v>
      </c>
      <c r="D55" s="80">
        <f>Inputs!$B$6</f>
        <v/>
      </c>
      <c r="E55" s="80">
        <f>IFERROR(INDEX('Lookups - Complexity'!$C$2:$E$200, MATCH(M55,'Lookups - Complexity'!$F$2:$F$200, 0), MATCH(D55, {"Low","Medium","High"}, 0)), 0)</f>
        <v/>
      </c>
      <c r="F55" s="80">
        <f>Inputs!$B$7</f>
        <v/>
      </c>
      <c r="G55" s="80">
        <f>IFERROR(XLOOKUP(Inputs!$B$4,'Lookups - JourneyDeployment'!$A$3:$A$6,'Lookups - JourneyDeployment'!$B$3:$B$6),1)</f>
        <v/>
      </c>
      <c r="H55" s="80">
        <f>IFERROR(XLOOKUP(Inputs!$B$5,'Lookups - JourneyDeployment'!$D$3:$D$6,'Lookups - JourneyDeployment'!$E$3:$E$6),1)</f>
        <v/>
      </c>
      <c r="I55" s="80">
        <f>E55*F55*G55*H55*N55</f>
        <v/>
      </c>
      <c r="J55" s="80">
        <f>IF(C55=0,0,I55/C55)</f>
        <v/>
      </c>
      <c r="K55" s="80" t="inlineStr">
        <is>
          <t>Knapsack</t>
        </is>
      </c>
      <c r="L55" s="80">
        <f>IF(Inputs!$B$3="Managed Service Delivery","Knapsack",IF(K55="","Knapsack",K55))</f>
        <v/>
      </c>
      <c r="M55" s="80">
        <f>A55&amp;"|"&amp;B55</f>
        <v/>
      </c>
      <c r="N55" s="98">
        <f>IFERROR(XLOOKUP(M55,'PCRI WBS Mapping'!$C$2:$C$200,'PCRI WBS Mapping'!$M$2:$M$200),1)</f>
        <v/>
      </c>
    </row>
    <row r="56" s="74">
      <c r="A56" s="79" t="inlineStr">
        <is>
          <t>Optimization and Continued Support</t>
        </is>
      </c>
      <c r="B56" s="79" t="inlineStr">
        <is>
          <t>Continuous Quality &amp; Accessibility Automation</t>
        </is>
      </c>
      <c r="C56" s="80" t="n">
        <v>5</v>
      </c>
      <c r="D56" s="80">
        <f>Inputs!$B$6</f>
        <v/>
      </c>
      <c r="E56" s="80">
        <f>IFERROR(INDEX('Lookups - Complexity'!$C$2:$E$200, MATCH(M56,'Lookups - Complexity'!$F$2:$F$200, 0), MATCH(D56, {"Low","Medium","High"}, 0)), 0)</f>
        <v/>
      </c>
      <c r="F56" s="80">
        <f>Inputs!$B$7</f>
        <v/>
      </c>
      <c r="G56" s="80">
        <f>IFERROR(XLOOKUP(Inputs!$B$4,'Lookups - JourneyDeployment'!$A$3:$A$6,'Lookups - JourneyDeployment'!$B$3:$B$6),1)</f>
        <v/>
      </c>
      <c r="H56" s="80">
        <f>IFERROR(XLOOKUP(Inputs!$B$5,'Lookups - JourneyDeployment'!$D$3:$D$6,'Lookups - JourneyDeployment'!$E$3:$E$6),1)</f>
        <v/>
      </c>
      <c r="I56" s="80">
        <f>E56*F56*G56*H56*N56</f>
        <v/>
      </c>
      <c r="J56" s="80">
        <f>IF(C56=0,0,I56/C56)</f>
        <v/>
      </c>
      <c r="K56" s="80" t="inlineStr">
        <is>
          <t>Knapsack</t>
        </is>
      </c>
      <c r="L56" s="80">
        <f>IF(Inputs!$B$3="Managed Service Delivery","Knapsack",IF(K56="","Knapsack",K56))</f>
        <v/>
      </c>
      <c r="M56" s="80">
        <f>A56&amp;"|"&amp;B56</f>
        <v/>
      </c>
      <c r="N56" s="98">
        <f>IFERROR(XLOOKUP(M56,'PCRI WBS Mapping'!$C$2:$C$200,'PCRI WBS Mapping'!$M$2:$M$200),1)</f>
        <v/>
      </c>
    </row>
    <row r="57" s="74">
      <c r="A57" s="79" t="inlineStr">
        <is>
          <t>Optimization and Continued Support</t>
        </is>
      </c>
      <c r="B57" s="79" t="inlineStr">
        <is>
          <t>Release Cadence, Deprecations &amp; Migrations</t>
        </is>
      </c>
      <c r="C57" s="80" t="n">
        <v>5</v>
      </c>
      <c r="D57" s="80">
        <f>Inputs!$B$6</f>
        <v/>
      </c>
      <c r="E57" s="80">
        <f>IFERROR(INDEX('Lookups - Complexity'!$C$2:$E$200, MATCH(M57,'Lookups - Complexity'!$F$2:$F$200, 0), MATCH(D57, {"Low","Medium","High"}, 0)), 0)</f>
        <v/>
      </c>
      <c r="F57" s="80">
        <f>Inputs!$B$7</f>
        <v/>
      </c>
      <c r="G57" s="80">
        <f>IFERROR(XLOOKUP(Inputs!$B$4,'Lookups - JourneyDeployment'!$A$3:$A$6,'Lookups - JourneyDeployment'!$B$3:$B$6),1)</f>
        <v/>
      </c>
      <c r="H57" s="80">
        <f>IFERROR(XLOOKUP(Inputs!$B$5,'Lookups - JourneyDeployment'!$D$3:$D$6,'Lookups - JourneyDeployment'!$E$3:$E$6),1)</f>
        <v/>
      </c>
      <c r="I57" s="80">
        <f>E57*F57*G57*H57*N57</f>
        <v/>
      </c>
      <c r="J57" s="80">
        <f>IF(C57=0,0,I57/C57)</f>
        <v/>
      </c>
      <c r="K57" s="80" t="inlineStr">
        <is>
          <t>Knapsack</t>
        </is>
      </c>
      <c r="L57" s="80">
        <f>IF(Inputs!$B$3="Managed Service Delivery","Knapsack",IF(K57="","Knapsack",K57))</f>
        <v/>
      </c>
      <c r="M57" s="80">
        <f>A57&amp;"|"&amp;B57</f>
        <v/>
      </c>
      <c r="N57" s="98">
        <f>IFERROR(XLOOKUP(M57,'PCRI WBS Mapping'!$C$2:$C$200,'PCRI WBS Mapping'!$M$2:$M$200),1)</f>
        <v/>
      </c>
    </row>
    <row r="58" s="74">
      <c r="A58" s="79" t="inlineStr">
        <is>
          <t>Optimization and Continued Support</t>
        </is>
      </c>
      <c r="B58" s="79" t="inlineStr">
        <is>
          <t>Adoption Analytics &amp; Reporting (Design↔Code)</t>
        </is>
      </c>
      <c r="C58" s="80" t="n">
        <v>4</v>
      </c>
      <c r="D58" s="80">
        <f>Inputs!$B$6</f>
        <v/>
      </c>
      <c r="E58" s="80">
        <f>IFERROR(INDEX('Lookups - Complexity'!$C$2:$E$200, MATCH(M58,'Lookups - Complexity'!$F$2:$F$200, 0), MATCH(D58, {"Low","Medium","High"}, 0)), 0)</f>
        <v/>
      </c>
      <c r="F58" s="80">
        <f>Inputs!$B$7</f>
        <v/>
      </c>
      <c r="G58" s="80">
        <f>IFERROR(XLOOKUP(Inputs!$B$4,'Lookups - JourneyDeployment'!$A$3:$A$6,'Lookups - JourneyDeployment'!$B$3:$B$6),1)</f>
        <v/>
      </c>
      <c r="H58" s="80">
        <f>IFERROR(XLOOKUP(Inputs!$B$5,'Lookups - JourneyDeployment'!$D$3:$D$6,'Lookups - JourneyDeployment'!$E$3:$E$6),1)</f>
        <v/>
      </c>
      <c r="I58" s="80">
        <f>E58*F58*G58*H58*N58</f>
        <v/>
      </c>
      <c r="J58" s="80">
        <f>IF(C58=0,0,I58/C58)</f>
        <v/>
      </c>
      <c r="K58" s="80" t="inlineStr">
        <is>
          <t>Knapsack</t>
        </is>
      </c>
      <c r="L58" s="80">
        <f>IF(Inputs!$B$3="Managed Service Delivery","Knapsack",IF(K58="","Knapsack",K58))</f>
        <v/>
      </c>
      <c r="M58" s="80">
        <f>A58&amp;"|"&amp;B58</f>
        <v/>
      </c>
      <c r="N58" s="98">
        <f>IFERROR(XLOOKUP(M58,'PCRI WBS Mapping'!$C$2:$C$200,'PCRI WBS Mapping'!$M$2:$M$200),1)</f>
        <v/>
      </c>
    </row>
    <row r="59" s="74">
      <c r="A59" s="79" t="inlineStr">
        <is>
          <t>Optimization and Continued Support</t>
        </is>
      </c>
      <c r="B59" s="79" t="inlineStr">
        <is>
          <t>AI Contextual Capabilities – Guardrails, Governance &amp; Iteration</t>
        </is>
      </c>
      <c r="C59" s="80" t="n">
        <v>6</v>
      </c>
      <c r="D59" s="80">
        <f>Inputs!$B$6</f>
        <v/>
      </c>
      <c r="E59" s="80">
        <f>IFERROR(INDEX('Lookups - Complexity'!$C$2:$E$200, MATCH(M59,'Lookups - Complexity'!$F$2:$F$200, 0), MATCH(D59, {"Low","Medium","High"}, 0)), 0)</f>
        <v/>
      </c>
      <c r="F59" s="80">
        <f>Inputs!$B$7</f>
        <v/>
      </c>
      <c r="G59" s="80">
        <f>IFERROR(XLOOKUP(Inputs!$B$4,'Lookups - JourneyDeployment'!$A$3:$A$6,'Lookups - JourneyDeployment'!$B$3:$B$6),1)</f>
        <v/>
      </c>
      <c r="H59" s="80">
        <f>IFERROR(XLOOKUP(Inputs!$B$5,'Lookups - JourneyDeployment'!$D$3:$D$6,'Lookups - JourneyDeployment'!$E$3:$E$6),1)</f>
        <v/>
      </c>
      <c r="I59" s="80">
        <f>E59*F59*G59*H59*N59</f>
        <v/>
      </c>
      <c r="J59" s="80">
        <f>IF(C59=0,0,I59/C59)</f>
        <v/>
      </c>
      <c r="K59" s="80" t="inlineStr">
        <is>
          <t>Knapsack</t>
        </is>
      </c>
      <c r="L59" s="80">
        <f>IF(Inputs!$B$3="Managed Service Delivery","Knapsack",IF(K59="","Knapsack",K59))</f>
        <v/>
      </c>
      <c r="M59" s="80">
        <f>A59&amp;"|"&amp;B59</f>
        <v/>
      </c>
      <c r="N59" s="98">
        <f>IFERROR(XLOOKUP(M59,'PCRI WBS Mapping'!$C$2:$C$200,'PCRI WBS Mapping'!$M$2:$M$200),1)</f>
        <v/>
      </c>
    </row>
    <row r="60" s="74">
      <c r="A60" s="79" t="inlineStr">
        <is>
          <t>Optimization and Continued Support</t>
        </is>
      </c>
      <c r="B60" s="79" t="inlineStr">
        <is>
          <t>AI Contextual Capabilities – Feedback Loop + Knowledge Refresh</t>
        </is>
      </c>
      <c r="C60" s="80" t="n">
        <v>4</v>
      </c>
      <c r="D60" s="80">
        <f>Inputs!$B$6</f>
        <v/>
      </c>
      <c r="E60" s="80">
        <f>IFERROR(INDEX('Lookups - Complexity'!$C$2:$E$200, MATCH(M60,'Lookups - Complexity'!$F$2:$F$200, 0), MATCH(D60, {"Low","Medium","High"}, 0)), 0)</f>
        <v/>
      </c>
      <c r="F60" s="80">
        <f>Inputs!$B$7</f>
        <v/>
      </c>
      <c r="G60" s="80">
        <f>IFERROR(XLOOKUP(Inputs!$B$4,'Lookups - JourneyDeployment'!$A$3:$A$6,'Lookups - JourneyDeployment'!$B$3:$B$6),1)</f>
        <v/>
      </c>
      <c r="H60" s="80">
        <f>IFERROR(XLOOKUP(Inputs!$B$5,'Lookups - JourneyDeployment'!$D$3:$D$6,'Lookups - JourneyDeployment'!$E$3:$E$6),1)</f>
        <v/>
      </c>
      <c r="I60" s="80">
        <f>E60*F60*G60*H60*N60</f>
        <v/>
      </c>
      <c r="J60" s="80">
        <f>IF(C60=0,0,I60/C60)</f>
        <v/>
      </c>
      <c r="K60" s="80" t="inlineStr">
        <is>
          <t>Knapsack</t>
        </is>
      </c>
      <c r="L60" s="80">
        <f>IF(Inputs!$B$3="Managed Service Delivery","Knapsack",IF(K60="","Knapsack",K60))</f>
        <v/>
      </c>
      <c r="M60" s="80">
        <f>A60&amp;"|"&amp;B60</f>
        <v/>
      </c>
      <c r="N60" s="98">
        <f>IFERROR(XLOOKUP(M60,'PCRI WBS Mapping'!$C$2:$C$200,'PCRI WBS Mapping'!$M$2:$M$200),1)</f>
        <v/>
      </c>
    </row>
  </sheetData>
  <conditionalFormatting sqref="K2:K39">
    <cfRule type="expression" priority="1" dxfId="6">
      <formula>Inputs!$B$3="Managed Service Delivery"</formula>
    </cfRule>
  </conditionalFormatting>
  <dataValidations count="2">
    <dataValidation sqref="D2:D39" showDropDown="0" showInputMessage="0" showErrorMessage="0" allowBlank="0" type="list">
      <formula1>='Lookups - JourneyDeployment'!$G$3:$G$5</formula1>
    </dataValidation>
    <dataValidation sqref="K2:K39" showDropDown="0" showInputMessage="0" showErrorMessage="0" allowBlank="1" type="list">
      <formula1>='Lookups - JourneyDeployment'!$I$3:$I$4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84"/>
  <sheetViews>
    <sheetView showGridLines="0" workbookViewId="0">
      <pane ySplit="1" topLeftCell="A2" activePane="bottomLeft" state="frozen"/>
      <selection pane="bottomLeft" activeCell="A1" sqref="A1"/>
    </sheetView>
  </sheetViews>
  <sheetFormatPr baseColWidth="8" defaultRowHeight="15"/>
  <cols>
    <col width="24" customWidth="1" style="74" min="1" max="1"/>
    <col width="34" customWidth="1" style="74" min="2" max="2"/>
    <col width="40" customWidth="1" style="74" min="3" max="3"/>
    <col width="20" customWidth="1" style="74" min="4" max="4"/>
    <col width="38" customWidth="1" style="74" min="5" max="5"/>
    <col width="28" customWidth="1" style="74" min="6" max="6"/>
    <col width="16" customWidth="1" style="74" min="7" max="7"/>
    <col width="16" customWidth="1" style="74" min="8" max="8"/>
    <col width="14" customWidth="1" style="74" min="9" max="9"/>
    <col width="16" customWidth="1" style="74" min="10" max="10"/>
    <col width="30" customWidth="1" style="74" min="11" max="11"/>
    <col width="18" customWidth="1" style="74" min="12" max="12"/>
    <col width="14" customWidth="1" style="74" min="13" max="13"/>
    <col width="12" customWidth="1" style="74" min="14" max="14"/>
    <col width="12" customWidth="1" style="74" min="15" max="15"/>
  </cols>
  <sheetData>
    <row r="1" ht="28" customHeight="1" s="74">
      <c r="A1" s="78" t="inlineStr">
        <is>
          <t>Phase</t>
        </is>
      </c>
      <c r="B1" s="78" t="inlineStr">
        <is>
          <t>Activity / Milestone</t>
        </is>
      </c>
      <c r="C1" s="78" t="inlineStr">
        <is>
          <t>Subtask</t>
        </is>
      </c>
      <c r="D1" s="78" t="inlineStr">
        <is>
          <t>Deliverable</t>
        </is>
      </c>
      <c r="E1" s="78" t="inlineStr">
        <is>
          <t>Deliverable Description</t>
        </is>
      </c>
      <c r="F1" s="78" t="inlineStr">
        <is>
          <t>Knapsack Role Description</t>
        </is>
      </c>
      <c r="G1" s="78" t="inlineStr">
        <is>
          <t>Accountable Party</t>
        </is>
      </c>
      <c r="H1" s="78" t="inlineStr">
        <is>
          <t>Role</t>
        </is>
      </c>
      <c r="I1" s="78" t="inlineStr">
        <is>
          <t>Timeline (Weeks)</t>
        </is>
      </c>
      <c r="J1" s="78" t="inlineStr">
        <is>
          <t>Standard Role</t>
        </is>
      </c>
      <c r="K1" s="78" t="inlineStr">
        <is>
          <t>Activity Key</t>
        </is>
      </c>
      <c r="L1" s="78" t="inlineStr">
        <is>
          <t>Hours / Subtask (adjusted)</t>
        </is>
      </c>
      <c r="M1" s="78" t="inlineStr">
        <is>
          <t>Owner Used</t>
        </is>
      </c>
      <c r="N1" s="78" t="inlineStr">
        <is>
          <t>Rate ($/hr)</t>
        </is>
      </c>
      <c r="O1" s="78" t="inlineStr">
        <is>
          <t>Est. Cost</t>
        </is>
      </c>
    </row>
    <row r="2">
      <c r="A2" s="79" t="inlineStr">
        <is>
          <t>Implementation + Onboarding</t>
        </is>
      </c>
      <c r="B2" s="79" t="inlineStr">
        <is>
          <t>Stakeholder Alignment Workshops</t>
        </is>
      </c>
      <c r="C2" s="79" t="inlineStr">
        <is>
          <t>Identify executive and operational stakeholders</t>
        </is>
      </c>
      <c r="D2" s="79" t="n"/>
      <c r="E2" s="79" t="n"/>
      <c r="F2" s="79" t="inlineStr">
        <is>
          <t>CX Partner - Change Management SME</t>
        </is>
      </c>
      <c r="G2" s="80" t="inlineStr">
        <is>
          <t>Adobe</t>
        </is>
      </c>
      <c r="H2" s="80" t="inlineStr">
        <is>
          <t>CX Partner</t>
        </is>
      </c>
      <c r="I2" s="80" t="inlineStr">
        <is>
          <t>1–2</t>
        </is>
      </c>
      <c r="J2" s="79">
        <f>IFERROR(XLOOKUP(H2,'Lookups - JourneyDeployment'!$K$3:$K$7,'Lookups - JourneyDeployment'!$L$3:$L$7),"")</f>
        <v/>
      </c>
      <c r="K2" s="80">
        <f>A2&amp;"|"&amp;B2</f>
        <v/>
      </c>
      <c r="L2" s="85">
        <f>IFERROR(XLOOKUP(K2,'Activity Settings'!$M$2:$M$200,'Activity Settings'!$J$2:$J$200),0)</f>
        <v/>
      </c>
      <c r="M2" s="80">
        <f>IFERROR(XLOOKUP(K2,'Activity Settings'!$M$2:$M$200,'Activity Settings'!$L$2:$L$200),"Knapsack")</f>
        <v/>
      </c>
      <c r="N2" s="86">
        <f>IFERROR(XLOOKUP(J2&amp;"|"&amp;M2,Rates!$E$2:$E$13,Rates!$C$2:$C$13),0)</f>
        <v/>
      </c>
      <c r="O2" s="86">
        <f>L2*N2</f>
        <v/>
      </c>
    </row>
    <row r="3">
      <c r="A3" s="79" t="inlineStr">
        <is>
          <t>Implementation + Onboarding</t>
        </is>
      </c>
      <c r="B3" s="79" t="inlineStr">
        <is>
          <t>Stakeholder Alignment Workshops</t>
        </is>
      </c>
      <c r="C3" s="79" t="inlineStr">
        <is>
          <t>Conduct alignment workshops and capture insights</t>
        </is>
      </c>
      <c r="D3" s="79" t="n"/>
      <c r="E3" s="79" t="n"/>
      <c r="F3" s="79" t="inlineStr">
        <is>
          <t>CX Partner - Change Management SME</t>
        </is>
      </c>
      <c r="G3" s="80" t="inlineStr">
        <is>
          <t>Adobe</t>
        </is>
      </c>
      <c r="H3" s="80" t="inlineStr">
        <is>
          <t>CX Partner</t>
        </is>
      </c>
      <c r="I3" s="80" t="inlineStr">
        <is>
          <t>1–2</t>
        </is>
      </c>
      <c r="J3" s="79">
        <f>IFERROR(XLOOKUP(H3,'Lookups - JourneyDeployment'!$K$3:$K$7,'Lookups - JourneyDeployment'!$L$3:$L$7),"")</f>
        <v/>
      </c>
      <c r="K3" s="80">
        <f>A3&amp;"|"&amp;B3</f>
        <v/>
      </c>
      <c r="L3" s="85">
        <f>IFERROR(XLOOKUP(K3,'Activity Settings'!$M$2:$M$200,'Activity Settings'!$J$2:$J$200),0)</f>
        <v/>
      </c>
      <c r="M3" s="80">
        <f>IFERROR(XLOOKUP(K3,'Activity Settings'!$M$2:$M$200,'Activity Settings'!$L$2:$L$200),"Knapsack")</f>
        <v/>
      </c>
      <c r="N3" s="86">
        <f>IFERROR(XLOOKUP(J3&amp;"|"&amp;M3,Rates!$E$2:$E$13,Rates!$C$2:$C$13),0)</f>
        <v/>
      </c>
      <c r="O3" s="86">
        <f>L3*N3</f>
        <v/>
      </c>
    </row>
    <row r="4">
      <c r="A4" s="79" t="inlineStr">
        <is>
          <t>Implementation + Onboarding</t>
        </is>
      </c>
      <c r="B4" s="79" t="inlineStr">
        <is>
          <t>Stakeholder Alignment Workshops</t>
        </is>
      </c>
      <c r="C4" s="79" t="inlineStr">
        <is>
          <t>Develop stakeholder map and influence matrix</t>
        </is>
      </c>
      <c r="D4" s="79" t="n"/>
      <c r="E4" s="79" t="n"/>
      <c r="F4" s="79" t="inlineStr">
        <is>
          <t>CX Partner - Change Management SME</t>
        </is>
      </c>
      <c r="G4" s="80" t="inlineStr">
        <is>
          <t>Adobe</t>
        </is>
      </c>
      <c r="H4" s="80" t="inlineStr">
        <is>
          <t>CX Partner</t>
        </is>
      </c>
      <c r="I4" s="80" t="inlineStr">
        <is>
          <t>1–2</t>
        </is>
      </c>
      <c r="J4" s="79">
        <f>IFERROR(XLOOKUP(H4,'Lookups - JourneyDeployment'!$K$3:$K$7,'Lookups - JourneyDeployment'!$L$3:$L$7),"")</f>
        <v/>
      </c>
      <c r="K4" s="80">
        <f>A4&amp;"|"&amp;B4</f>
        <v/>
      </c>
      <c r="L4" s="85">
        <f>IFERROR(XLOOKUP(K4,'Activity Settings'!$M$2:$M$200,'Activity Settings'!$J$2:$J$200),0)</f>
        <v/>
      </c>
      <c r="M4" s="80">
        <f>IFERROR(XLOOKUP(K4,'Activity Settings'!$M$2:$M$200,'Activity Settings'!$L$2:$L$200),"Knapsack")</f>
        <v/>
      </c>
      <c r="N4" s="86">
        <f>IFERROR(XLOOKUP(J4&amp;"|"&amp;M4,Rates!$E$2:$E$13,Rates!$C$2:$C$13),0)</f>
        <v/>
      </c>
      <c r="O4" s="86">
        <f>L4*N4</f>
        <v/>
      </c>
    </row>
    <row r="5">
      <c r="A5" s="79" t="inlineStr">
        <is>
          <t>Implementation + Onboarding</t>
        </is>
      </c>
      <c r="B5" s="79" t="inlineStr">
        <is>
          <t>Stakeholder Alignment Workshops</t>
        </is>
      </c>
      <c r="C5" s="79" t="inlineStr">
        <is>
          <t>Draft communication strategy and feedback cadence</t>
        </is>
      </c>
      <c r="D5" s="79" t="n"/>
      <c r="E5" s="79" t="n"/>
      <c r="F5" s="79" t="inlineStr">
        <is>
          <t>CX Partner - Change Management SME</t>
        </is>
      </c>
      <c r="G5" s="80" t="inlineStr">
        <is>
          <t>Adobe</t>
        </is>
      </c>
      <c r="H5" s="80" t="inlineStr">
        <is>
          <t>CX Partner</t>
        </is>
      </c>
      <c r="I5" s="80" t="inlineStr">
        <is>
          <t>1–2</t>
        </is>
      </c>
      <c r="J5" s="79">
        <f>IFERROR(XLOOKUP(H5,'Lookups - JourneyDeployment'!$K$3:$K$7,'Lookups - JourneyDeployment'!$L$3:$L$7),"")</f>
        <v/>
      </c>
      <c r="K5" s="80">
        <f>A5&amp;"|"&amp;B5</f>
        <v/>
      </c>
      <c r="L5" s="85">
        <f>IFERROR(XLOOKUP(K5,'Activity Settings'!$M$2:$M$200,'Activity Settings'!$J$2:$J$200),0)</f>
        <v/>
      </c>
      <c r="M5" s="80">
        <f>IFERROR(XLOOKUP(K5,'Activity Settings'!$M$2:$M$200,'Activity Settings'!$L$2:$L$200),"Knapsack")</f>
        <v/>
      </c>
      <c r="N5" s="86">
        <f>IFERROR(XLOOKUP(J5&amp;"|"&amp;M5,Rates!$E$2:$E$13,Rates!$C$2:$C$13),0)</f>
        <v/>
      </c>
      <c r="O5" s="86">
        <f>L5*N5</f>
        <v/>
      </c>
    </row>
    <row r="6">
      <c r="A6" s="79" t="inlineStr">
        <is>
          <t>Implementation + Onboarding</t>
        </is>
      </c>
      <c r="B6" s="79" t="inlineStr">
        <is>
          <t>Stakeholder Alignment Workshops</t>
        </is>
      </c>
      <c r="C6" s="79" t="inlineStr">
        <is>
          <t>Review and sign off communication plan with Steering Committee</t>
        </is>
      </c>
      <c r="D6" s="79" t="inlineStr">
        <is>
          <t>Stakeholder Map, Communication Strategy Draft</t>
        </is>
      </c>
      <c r="E6" s="79" t="inlineStr">
        <is>
          <t>Ensure executive and stakeholder alignment before kickoff.</t>
        </is>
      </c>
      <c r="F6" s="79" t="inlineStr">
        <is>
          <t>CX Partner - Change Management SME</t>
        </is>
      </c>
      <c r="G6" s="80" t="inlineStr">
        <is>
          <t>Adobe</t>
        </is>
      </c>
      <c r="H6" s="80" t="inlineStr">
        <is>
          <t>CX Partner</t>
        </is>
      </c>
      <c r="I6" s="80" t="inlineStr">
        <is>
          <t>1–2</t>
        </is>
      </c>
      <c r="J6" s="79">
        <f>IFERROR(XLOOKUP(H6,'Lookups - JourneyDeployment'!$K$3:$K$7,'Lookups - JourneyDeployment'!$L$3:$L$7),"")</f>
        <v/>
      </c>
      <c r="K6" s="80">
        <f>A6&amp;"|"&amp;B6</f>
        <v/>
      </c>
      <c r="L6" s="85">
        <f>IFERROR(XLOOKUP(K6,'Activity Settings'!$M$2:$M$200,'Activity Settings'!$J$2:$J$200),0)</f>
        <v/>
      </c>
      <c r="M6" s="80">
        <f>IFERROR(XLOOKUP(K6,'Activity Settings'!$M$2:$M$200,'Activity Settings'!$L$2:$L$200),"Knapsack")</f>
        <v/>
      </c>
      <c r="N6" s="86">
        <f>IFERROR(XLOOKUP(J6&amp;"|"&amp;M6,Rates!$E$2:$E$13,Rates!$C$2:$C$13),0)</f>
        <v/>
      </c>
      <c r="O6" s="86">
        <f>L6*N6</f>
        <v/>
      </c>
    </row>
    <row r="7">
      <c r="A7" s="79" t="inlineStr">
        <is>
          <t>Implementation + Onboarding</t>
        </is>
      </c>
      <c r="B7" s="79" t="inlineStr">
        <is>
          <t>Program management and coordination</t>
        </is>
      </c>
      <c r="C7" s="79" t="inlineStr">
        <is>
          <t>Establish governance tracker and cadence calendar</t>
        </is>
      </c>
      <c r="D7" s="79" t="n"/>
      <c r="E7" s="79" t="n"/>
      <c r="F7" s="79" t="inlineStr">
        <is>
          <t>Project Manager</t>
        </is>
      </c>
      <c r="G7" s="80" t="inlineStr">
        <is>
          <t>Knapsack</t>
        </is>
      </c>
      <c r="H7" s="80" t="inlineStr">
        <is>
          <t>Project Manager</t>
        </is>
      </c>
      <c r="I7" s="80" t="inlineStr">
        <is>
          <t>1–20</t>
        </is>
      </c>
      <c r="J7" s="79">
        <f>IFERROR(XLOOKUP(H7,'Lookups - JourneyDeployment'!$K$3:$K$7,'Lookups - JourneyDeployment'!$L$3:$L$7),"")</f>
        <v/>
      </c>
      <c r="K7" s="80">
        <f>A7&amp;"|"&amp;B7</f>
        <v/>
      </c>
      <c r="L7" s="85">
        <f>IFERROR(XLOOKUP(K7,'Activity Settings'!$M$2:$M$200,'Activity Settings'!$J$2:$J$200),0)</f>
        <v/>
      </c>
      <c r="M7" s="80">
        <f>IFERROR(XLOOKUP(K7,'Activity Settings'!$M$2:$M$200,'Activity Settings'!$L$2:$L$200),"Knapsack")</f>
        <v/>
      </c>
      <c r="N7" s="86">
        <f>IFERROR(XLOOKUP(J7&amp;"|"&amp;M7,Rates!$E$2:$E$13,Rates!$C$2:$C$13),0)</f>
        <v/>
      </c>
      <c r="O7" s="86">
        <f>L7*N7</f>
        <v/>
      </c>
    </row>
    <row r="8">
      <c r="A8" s="79" t="inlineStr">
        <is>
          <t>Implementation + Onboarding</t>
        </is>
      </c>
      <c r="B8" s="79" t="inlineStr">
        <is>
          <t>Program management and coordination</t>
        </is>
      </c>
      <c r="C8" s="79" t="inlineStr">
        <is>
          <t>Schedule weekly syncs and milestone reviews</t>
        </is>
      </c>
      <c r="D8" s="79" t="n"/>
      <c r="E8" s="79" t="n"/>
      <c r="F8" s="79" t="inlineStr">
        <is>
          <t>Project Manager</t>
        </is>
      </c>
      <c r="G8" s="80" t="inlineStr">
        <is>
          <t>Knapsack</t>
        </is>
      </c>
      <c r="H8" s="80" t="inlineStr">
        <is>
          <t>Project Manager</t>
        </is>
      </c>
      <c r="I8" s="80" t="inlineStr">
        <is>
          <t>1–20</t>
        </is>
      </c>
      <c r="J8" s="79">
        <f>IFERROR(XLOOKUP(H8,'Lookups - JourneyDeployment'!$K$3:$K$7,'Lookups - JourneyDeployment'!$L$3:$L$7),"")</f>
        <v/>
      </c>
      <c r="K8" s="80">
        <f>A8&amp;"|"&amp;B8</f>
        <v/>
      </c>
      <c r="L8" s="85">
        <f>IFERROR(XLOOKUP(K8,'Activity Settings'!$M$2:$M$200,'Activity Settings'!$J$2:$J$200),0)</f>
        <v/>
      </c>
      <c r="M8" s="80">
        <f>IFERROR(XLOOKUP(K8,'Activity Settings'!$M$2:$M$200,'Activity Settings'!$L$2:$L$200),"Knapsack")</f>
        <v/>
      </c>
      <c r="N8" s="86">
        <f>IFERROR(XLOOKUP(J8&amp;"|"&amp;M8,Rates!$E$2:$E$13,Rates!$C$2:$C$13),0)</f>
        <v/>
      </c>
      <c r="O8" s="86">
        <f>L8*N8</f>
        <v/>
      </c>
    </row>
    <row r="9">
      <c r="A9" s="79" t="inlineStr">
        <is>
          <t>Implementation + Onboarding</t>
        </is>
      </c>
      <c r="B9" s="79" t="inlineStr">
        <is>
          <t>Program management and coordination</t>
        </is>
      </c>
      <c r="C9" s="79" t="inlineStr">
        <is>
          <t>Maintain RAID log</t>
        </is>
      </c>
      <c r="D9" s="79" t="n"/>
      <c r="E9" s="79" t="n"/>
      <c r="F9" s="79" t="inlineStr">
        <is>
          <t>Project Manager</t>
        </is>
      </c>
      <c r="G9" s="80" t="inlineStr">
        <is>
          <t>Knapsack</t>
        </is>
      </c>
      <c r="H9" s="80" t="inlineStr">
        <is>
          <t>Project Manager</t>
        </is>
      </c>
      <c r="I9" s="80" t="inlineStr">
        <is>
          <t>1–20</t>
        </is>
      </c>
      <c r="J9" s="79">
        <f>IFERROR(XLOOKUP(H9,'Lookups - JourneyDeployment'!$K$3:$K$7,'Lookups - JourneyDeployment'!$L$3:$L$7),"")</f>
        <v/>
      </c>
      <c r="K9" s="80">
        <f>A9&amp;"|"&amp;B9</f>
        <v/>
      </c>
      <c r="L9" s="85">
        <f>IFERROR(XLOOKUP(K9,'Activity Settings'!$M$2:$M$200,'Activity Settings'!$J$2:$J$200),0)</f>
        <v/>
      </c>
      <c r="M9" s="80">
        <f>IFERROR(XLOOKUP(K9,'Activity Settings'!$M$2:$M$200,'Activity Settings'!$L$2:$L$200),"Knapsack")</f>
        <v/>
      </c>
      <c r="N9" s="86">
        <f>IFERROR(XLOOKUP(J9&amp;"|"&amp;M9,Rates!$E$2:$E$13,Rates!$C$2:$C$13),0)</f>
        <v/>
      </c>
      <c r="O9" s="86">
        <f>L9*N9</f>
        <v/>
      </c>
    </row>
    <row r="10">
      <c r="A10" s="79" t="inlineStr">
        <is>
          <t>Implementation + Onboarding</t>
        </is>
      </c>
      <c r="B10" s="79" t="inlineStr">
        <is>
          <t>Program management and coordination</t>
        </is>
      </c>
      <c r="C10" s="79" t="inlineStr">
        <is>
          <t>Prepare Phase 1 exit and readiness report</t>
        </is>
      </c>
      <c r="D10" s="79" t="n"/>
      <c r="E10" s="79" t="n"/>
      <c r="F10" s="79" t="inlineStr">
        <is>
          <t>Project Manager</t>
        </is>
      </c>
      <c r="G10" s="80" t="inlineStr">
        <is>
          <t>Knapsack</t>
        </is>
      </c>
      <c r="H10" s="80" t="inlineStr">
        <is>
          <t>Project Manager</t>
        </is>
      </c>
      <c r="I10" s="80" t="inlineStr">
        <is>
          <t>1–20</t>
        </is>
      </c>
      <c r="J10" s="79">
        <f>IFERROR(XLOOKUP(H10,'Lookups - JourneyDeployment'!$K$3:$K$7,'Lookups - JourneyDeployment'!$L$3:$L$7),"")</f>
        <v/>
      </c>
      <c r="K10" s="80">
        <f>A10&amp;"|"&amp;B10</f>
        <v/>
      </c>
      <c r="L10" s="85">
        <f>IFERROR(XLOOKUP(K10,'Activity Settings'!$M$2:$M$200,'Activity Settings'!$J$2:$J$200),0)</f>
        <v/>
      </c>
      <c r="M10" s="80">
        <f>IFERROR(XLOOKUP(K10,'Activity Settings'!$M$2:$M$200,'Activity Settings'!$L$2:$L$200),"Knapsack")</f>
        <v/>
      </c>
      <c r="N10" s="86">
        <f>IFERROR(XLOOKUP(J10&amp;"|"&amp;M10,Rates!$E$2:$E$13,Rates!$C$2:$C$13),0)</f>
        <v/>
      </c>
      <c r="O10" s="86">
        <f>L10*N10</f>
        <v/>
      </c>
    </row>
    <row r="11">
      <c r="A11" s="79" t="inlineStr">
        <is>
          <t>Implementation + Onboarding</t>
        </is>
      </c>
      <c r="B11" s="79" t="inlineStr">
        <is>
          <t>Program management and coordination</t>
        </is>
      </c>
      <c r="C11" s="79" t="inlineStr">
        <is>
          <t>Present status updates to Adobe Steering Committee</t>
        </is>
      </c>
      <c r="D11" s="79" t="inlineStr">
        <is>
          <t>Project Governance Tracker, Phase 1 Exit Report</t>
        </is>
      </c>
      <c r="E11" s="79" t="inlineStr">
        <is>
          <t>Program coordination, kickoff, and phase review oversight.</t>
        </is>
      </c>
      <c r="F11" s="79" t="inlineStr">
        <is>
          <t>Project Manager</t>
        </is>
      </c>
      <c r="G11" s="80" t="inlineStr">
        <is>
          <t>Knapsack</t>
        </is>
      </c>
      <c r="H11" s="80" t="inlineStr">
        <is>
          <t>Project Manager</t>
        </is>
      </c>
      <c r="I11" s="80" t="inlineStr">
        <is>
          <t>1–20</t>
        </is>
      </c>
      <c r="J11" s="79">
        <f>IFERROR(XLOOKUP(H11,'Lookups - JourneyDeployment'!$K$3:$K$7,'Lookups - JourneyDeployment'!$L$3:$L$7),"")</f>
        <v/>
      </c>
      <c r="K11" s="80">
        <f>A11&amp;"|"&amp;B11</f>
        <v/>
      </c>
      <c r="L11" s="85">
        <f>IFERROR(XLOOKUP(K11,'Activity Settings'!$M$2:$M$200,'Activity Settings'!$J$2:$J$200),0)</f>
        <v/>
      </c>
      <c r="M11" s="80">
        <f>IFERROR(XLOOKUP(K11,'Activity Settings'!$M$2:$M$200,'Activity Settings'!$L$2:$L$200),"Knapsack")</f>
        <v/>
      </c>
      <c r="N11" s="86">
        <f>IFERROR(XLOOKUP(J11&amp;"|"&amp;M11,Rates!$E$2:$E$13,Rates!$C$2:$C$13),0)</f>
        <v/>
      </c>
      <c r="O11" s="86">
        <f>L11*N11</f>
        <v/>
      </c>
    </row>
    <row r="12">
      <c r="A12" s="79" t="inlineStr">
        <is>
          <t>Implementation + Onboarding</t>
        </is>
      </c>
      <c r="B12" s="79" t="inlineStr">
        <is>
          <t>Communication Launch Plan</t>
        </is>
      </c>
      <c r="C12" s="79" t="inlineStr">
        <is>
          <t>Create internal messaging and visual identity kit</t>
        </is>
      </c>
      <c r="D12" s="79" t="n"/>
      <c r="E12" s="79" t="n"/>
      <c r="F12" s="79" t="inlineStr">
        <is>
          <t>CX Partner - Change Management SME</t>
        </is>
      </c>
      <c r="G12" s="80" t="inlineStr">
        <is>
          <t>Adobe</t>
        </is>
      </c>
      <c r="H12" s="80" t="inlineStr">
        <is>
          <t>CX Partner</t>
        </is>
      </c>
      <c r="I12" s="80" t="inlineStr">
        <is>
          <t>3–6</t>
        </is>
      </c>
      <c r="J12" s="79">
        <f>IFERROR(XLOOKUP(H12,'Lookups - JourneyDeployment'!$K$3:$K$7,'Lookups - JourneyDeployment'!$L$3:$L$7),"")</f>
        <v/>
      </c>
      <c r="K12" s="80">
        <f>A12&amp;"|"&amp;B12</f>
        <v/>
      </c>
      <c r="L12" s="85">
        <f>IFERROR(XLOOKUP(K12,'Activity Settings'!$M$2:$M$200,'Activity Settings'!$J$2:$J$200),0)</f>
        <v/>
      </c>
      <c r="M12" s="80">
        <f>IFERROR(XLOOKUP(K12,'Activity Settings'!$M$2:$M$200,'Activity Settings'!$L$2:$L$200),"Knapsack")</f>
        <v/>
      </c>
      <c r="N12" s="86">
        <f>IFERROR(XLOOKUP(J12&amp;"|"&amp;M12,Rates!$E$2:$E$13,Rates!$C$2:$C$13),0)</f>
        <v/>
      </c>
      <c r="O12" s="86">
        <f>L12*N12</f>
        <v/>
      </c>
    </row>
    <row r="13">
      <c r="A13" s="79" t="inlineStr">
        <is>
          <t>Implementation + Onboarding</t>
        </is>
      </c>
      <c r="B13" s="79" t="inlineStr">
        <is>
          <t>Communication Launch Plan</t>
        </is>
      </c>
      <c r="C13" s="79" t="inlineStr">
        <is>
          <t>Develop launch materials (FAQ, deck, announcement)</t>
        </is>
      </c>
      <c r="D13" s="79" t="n"/>
      <c r="E13" s="79" t="n"/>
      <c r="F13" s="79" t="inlineStr">
        <is>
          <t>CX Partner - Change Management SME</t>
        </is>
      </c>
      <c r="G13" s="80" t="inlineStr">
        <is>
          <t>Adobe</t>
        </is>
      </c>
      <c r="H13" s="80" t="inlineStr">
        <is>
          <t>CX Partner</t>
        </is>
      </c>
      <c r="I13" s="80" t="inlineStr">
        <is>
          <t>3–6</t>
        </is>
      </c>
      <c r="J13" s="79">
        <f>IFERROR(XLOOKUP(H13,'Lookups - JourneyDeployment'!$K$3:$K$7,'Lookups - JourneyDeployment'!$L$3:$L$7),"")</f>
        <v/>
      </c>
      <c r="K13" s="80">
        <f>A13&amp;"|"&amp;B13</f>
        <v/>
      </c>
      <c r="L13" s="85">
        <f>IFERROR(XLOOKUP(K13,'Activity Settings'!$M$2:$M$200,'Activity Settings'!$J$2:$J$200),0)</f>
        <v/>
      </c>
      <c r="M13" s="80">
        <f>IFERROR(XLOOKUP(K13,'Activity Settings'!$M$2:$M$200,'Activity Settings'!$L$2:$L$200),"Knapsack")</f>
        <v/>
      </c>
      <c r="N13" s="86">
        <f>IFERROR(XLOOKUP(J13&amp;"|"&amp;M13,Rates!$E$2:$E$13,Rates!$C$2:$C$13),0)</f>
        <v/>
      </c>
      <c r="O13" s="86">
        <f>L13*N13</f>
        <v/>
      </c>
    </row>
    <row r="14">
      <c r="A14" s="79" t="inlineStr">
        <is>
          <t>Implementation + Onboarding</t>
        </is>
      </c>
      <c r="B14" s="79" t="inlineStr">
        <is>
          <t>Communication Launch Plan</t>
        </is>
      </c>
      <c r="C14" s="79" t="inlineStr">
        <is>
          <t>Align with design ops for internal brand tone and channels</t>
        </is>
      </c>
      <c r="D14" s="79" t="n"/>
      <c r="E14" s="79" t="n"/>
      <c r="F14" s="79" t="inlineStr">
        <is>
          <t>CX Partner - Change Management SME</t>
        </is>
      </c>
      <c r="G14" s="80" t="inlineStr">
        <is>
          <t>Adobe</t>
        </is>
      </c>
      <c r="H14" s="80" t="inlineStr">
        <is>
          <t>CX Partner</t>
        </is>
      </c>
      <c r="I14" s="80" t="inlineStr">
        <is>
          <t>3–6</t>
        </is>
      </c>
      <c r="J14" s="79">
        <f>IFERROR(XLOOKUP(H14,'Lookups - JourneyDeployment'!$K$3:$K$7,'Lookups - JourneyDeployment'!$L$3:$L$7),"")</f>
        <v/>
      </c>
      <c r="K14" s="80">
        <f>A14&amp;"|"&amp;B14</f>
        <v/>
      </c>
      <c r="L14" s="85">
        <f>IFERROR(XLOOKUP(K14,'Activity Settings'!$M$2:$M$200,'Activity Settings'!$J$2:$J$200),0)</f>
        <v/>
      </c>
      <c r="M14" s="80">
        <f>IFERROR(XLOOKUP(K14,'Activity Settings'!$M$2:$M$200,'Activity Settings'!$L$2:$L$200),"Knapsack")</f>
        <v/>
      </c>
      <c r="N14" s="86">
        <f>IFERROR(XLOOKUP(J14&amp;"|"&amp;M14,Rates!$E$2:$E$13,Rates!$C$2:$C$13),0)</f>
        <v/>
      </c>
      <c r="O14" s="86">
        <f>L14*N14</f>
        <v/>
      </c>
    </row>
    <row r="15">
      <c r="A15" s="79" t="inlineStr">
        <is>
          <t>Implementation + Onboarding</t>
        </is>
      </c>
      <c r="B15" s="79" t="inlineStr">
        <is>
          <t>Communication Launch Plan</t>
        </is>
      </c>
      <c r="C15" s="79" t="inlineStr">
        <is>
          <t>Distribute campaign via Adobe internal comms</t>
        </is>
      </c>
      <c r="D15" s="79" t="n"/>
      <c r="E15" s="79" t="n"/>
      <c r="F15" s="79" t="inlineStr">
        <is>
          <t>CX Partner - Change Management SME</t>
        </is>
      </c>
      <c r="G15" s="80" t="inlineStr">
        <is>
          <t>Adobe</t>
        </is>
      </c>
      <c r="H15" s="80" t="inlineStr">
        <is>
          <t>CX Partner</t>
        </is>
      </c>
      <c r="I15" s="80" t="inlineStr">
        <is>
          <t>3–6</t>
        </is>
      </c>
      <c r="J15" s="79">
        <f>IFERROR(XLOOKUP(H15,'Lookups - JourneyDeployment'!$K$3:$K$7,'Lookups - JourneyDeployment'!$L$3:$L$7),"")</f>
        <v/>
      </c>
      <c r="K15" s="80">
        <f>A15&amp;"|"&amp;B15</f>
        <v/>
      </c>
      <c r="L15" s="85">
        <f>IFERROR(XLOOKUP(K15,'Activity Settings'!$M$2:$M$200,'Activity Settings'!$J$2:$J$200),0)</f>
        <v/>
      </c>
      <c r="M15" s="80">
        <f>IFERROR(XLOOKUP(K15,'Activity Settings'!$M$2:$M$200,'Activity Settings'!$L$2:$L$200),"Knapsack")</f>
        <v/>
      </c>
      <c r="N15" s="86">
        <f>IFERROR(XLOOKUP(J15&amp;"|"&amp;M15,Rates!$E$2:$E$13,Rates!$C$2:$C$13),0)</f>
        <v/>
      </c>
      <c r="O15" s="86">
        <f>L15*N15</f>
        <v/>
      </c>
    </row>
    <row r="16">
      <c r="A16" s="79" t="inlineStr">
        <is>
          <t>Implementation + Onboarding</t>
        </is>
      </c>
      <c r="B16" s="79" t="inlineStr">
        <is>
          <t>Communication Launch Plan</t>
        </is>
      </c>
      <c r="C16" s="79" t="inlineStr">
        <is>
          <t>Gather feedback and refine messaging</t>
        </is>
      </c>
      <c r="D16" s="79" t="inlineStr">
        <is>
          <t>Internal Communication Plan, Branding Package</t>
        </is>
      </c>
      <c r="E16" s="79" t="inlineStr">
        <is>
          <t>Launch program messaging, goals, and brand identity across teams.</t>
        </is>
      </c>
      <c r="F16" s="79" t="inlineStr">
        <is>
          <t>CX Partner - Change Management SME</t>
        </is>
      </c>
      <c r="G16" s="80" t="inlineStr">
        <is>
          <t>Adobe</t>
        </is>
      </c>
      <c r="H16" s="80" t="inlineStr">
        <is>
          <t>CX Partner</t>
        </is>
      </c>
      <c r="I16" s="80" t="inlineStr">
        <is>
          <t>3–6</t>
        </is>
      </c>
      <c r="J16" s="79">
        <f>IFERROR(XLOOKUP(H16,'Lookups - JourneyDeployment'!$K$3:$K$7,'Lookups - JourneyDeployment'!$L$3:$L$7),"")</f>
        <v/>
      </c>
      <c r="K16" s="80">
        <f>A16&amp;"|"&amp;B16</f>
        <v/>
      </c>
      <c r="L16" s="85">
        <f>IFERROR(XLOOKUP(K16,'Activity Settings'!$M$2:$M$200,'Activity Settings'!$J$2:$J$200),0)</f>
        <v/>
      </c>
      <c r="M16" s="80">
        <f>IFERROR(XLOOKUP(K16,'Activity Settings'!$M$2:$M$200,'Activity Settings'!$L$2:$L$200),"Knapsack")</f>
        <v/>
      </c>
      <c r="N16" s="86">
        <f>IFERROR(XLOOKUP(J16&amp;"|"&amp;M16,Rates!$E$2:$E$13,Rates!$C$2:$C$13),0)</f>
        <v/>
      </c>
      <c r="O16" s="86">
        <f>L16*N16</f>
        <v/>
      </c>
    </row>
    <row r="17">
      <c r="A17" s="79" t="inlineStr">
        <is>
          <t>Implementation + Onboarding</t>
        </is>
      </c>
      <c r="B17" s="79" t="inlineStr">
        <is>
          <t>Preparation</t>
        </is>
      </c>
      <c r="C17" s="79" t="inlineStr">
        <is>
          <t>Conduct environment readiness check</t>
        </is>
      </c>
      <c r="D17" s="79" t="n"/>
      <c r="E17" s="79" t="n"/>
      <c r="F17" s="79" t="inlineStr">
        <is>
          <t>Project Manager</t>
        </is>
      </c>
      <c r="G17" s="80" t="inlineStr">
        <is>
          <t>Knapsack</t>
        </is>
      </c>
      <c r="H17" s="80" t="inlineStr">
        <is>
          <t>Project Manager</t>
        </is>
      </c>
      <c r="I17" s="80" t="inlineStr">
        <is>
          <t>7–10</t>
        </is>
      </c>
      <c r="J17" s="79">
        <f>IFERROR(XLOOKUP(H17,'Lookups - JourneyDeployment'!$K$3:$K$7,'Lookups - JourneyDeployment'!$L$3:$L$7),"")</f>
        <v/>
      </c>
      <c r="K17" s="80">
        <f>A17&amp;"|"&amp;B17</f>
        <v/>
      </c>
      <c r="L17" s="85">
        <f>IFERROR(XLOOKUP(K17,'Activity Settings'!$M$2:$M$200,'Activity Settings'!$J$2:$J$200),0)</f>
        <v/>
      </c>
      <c r="M17" s="80">
        <f>IFERROR(XLOOKUP(K17,'Activity Settings'!$M$2:$M$200,'Activity Settings'!$L$2:$L$200),"Knapsack")</f>
        <v/>
      </c>
      <c r="N17" s="86">
        <f>IFERROR(XLOOKUP(J17&amp;"|"&amp;M17,Rates!$E$2:$E$13,Rates!$C$2:$C$13),0)</f>
        <v/>
      </c>
      <c r="O17" s="86">
        <f>L17*N17</f>
        <v/>
      </c>
    </row>
    <row r="18">
      <c r="A18" s="79" t="inlineStr">
        <is>
          <t>Implementation + Onboarding</t>
        </is>
      </c>
      <c r="B18" s="79" t="inlineStr">
        <is>
          <t>Preparation</t>
        </is>
      </c>
      <c r="C18" s="79" t="inlineStr">
        <is>
          <t>Validate API and endpoint configuration</t>
        </is>
      </c>
      <c r="D18" s="79" t="n"/>
      <c r="E18" s="79" t="n"/>
      <c r="F18" s="79" t="inlineStr">
        <is>
          <t>Project Manager</t>
        </is>
      </c>
      <c r="G18" s="80" t="inlineStr">
        <is>
          <t>Knapsack</t>
        </is>
      </c>
      <c r="H18" s="80" t="inlineStr">
        <is>
          <t>Project Manager</t>
        </is>
      </c>
      <c r="I18" s="80" t="inlineStr">
        <is>
          <t>7–10</t>
        </is>
      </c>
      <c r="J18" s="79">
        <f>IFERROR(XLOOKUP(H18,'Lookups - JourneyDeployment'!$K$3:$K$7,'Lookups - JourneyDeployment'!$L$3:$L$7),"")</f>
        <v/>
      </c>
      <c r="K18" s="80">
        <f>A18&amp;"|"&amp;B18</f>
        <v/>
      </c>
      <c r="L18" s="85">
        <f>IFERROR(XLOOKUP(K18,'Activity Settings'!$M$2:$M$200,'Activity Settings'!$J$2:$J$200),0)</f>
        <v/>
      </c>
      <c r="M18" s="80">
        <f>IFERROR(XLOOKUP(K18,'Activity Settings'!$M$2:$M$200,'Activity Settings'!$L$2:$L$200),"Knapsack")</f>
        <v/>
      </c>
      <c r="N18" s="86">
        <f>IFERROR(XLOOKUP(J18&amp;"|"&amp;M18,Rates!$E$2:$E$13,Rates!$C$2:$C$13),0)</f>
        <v/>
      </c>
      <c r="O18" s="86">
        <f>L18*N18</f>
        <v/>
      </c>
    </row>
    <row r="19">
      <c r="A19" s="79" t="inlineStr">
        <is>
          <t>Implementation + Onboarding</t>
        </is>
      </c>
      <c r="B19" s="79" t="inlineStr">
        <is>
          <t>Preparation</t>
        </is>
      </c>
      <c r="C19" s="79" t="inlineStr">
        <is>
          <t>Verify authentication and permissions access</t>
        </is>
      </c>
      <c r="D19" s="79" t="n"/>
      <c r="E19" s="79" t="n"/>
      <c r="F19" s="79" t="inlineStr">
        <is>
          <t>Project Manager</t>
        </is>
      </c>
      <c r="G19" s="80" t="inlineStr">
        <is>
          <t>Knapsack</t>
        </is>
      </c>
      <c r="H19" s="80" t="inlineStr">
        <is>
          <t>Project Manager</t>
        </is>
      </c>
      <c r="I19" s="80" t="inlineStr">
        <is>
          <t>7–10</t>
        </is>
      </c>
      <c r="J19" s="79">
        <f>IFERROR(XLOOKUP(H19,'Lookups - JourneyDeployment'!$K$3:$K$7,'Lookups - JourneyDeployment'!$L$3:$L$7),"")</f>
        <v/>
      </c>
      <c r="K19" s="80">
        <f>A19&amp;"|"&amp;B19</f>
        <v/>
      </c>
      <c r="L19" s="85">
        <f>IFERROR(XLOOKUP(K19,'Activity Settings'!$M$2:$M$200,'Activity Settings'!$J$2:$J$200),0)</f>
        <v/>
      </c>
      <c r="M19" s="80">
        <f>IFERROR(XLOOKUP(K19,'Activity Settings'!$M$2:$M$200,'Activity Settings'!$L$2:$L$200),"Knapsack")</f>
        <v/>
      </c>
      <c r="N19" s="86">
        <f>IFERROR(XLOOKUP(J19&amp;"|"&amp;M19,Rates!$E$2:$E$13,Rates!$C$2:$C$13),0)</f>
        <v/>
      </c>
      <c r="O19" s="86">
        <f>L19*N19</f>
        <v/>
      </c>
    </row>
    <row r="20">
      <c r="A20" s="79" t="inlineStr">
        <is>
          <t>Implementation + Onboarding</t>
        </is>
      </c>
      <c r="B20" s="79" t="inlineStr">
        <is>
          <t>Preparation</t>
        </is>
      </c>
      <c r="C20" s="79" t="inlineStr">
        <is>
          <t>Confirm hosting and network compliance</t>
        </is>
      </c>
      <c r="D20" s="79" t="n"/>
      <c r="E20" s="79" t="n"/>
      <c r="F20" s="79" t="inlineStr">
        <is>
          <t>Project Manager</t>
        </is>
      </c>
      <c r="G20" s="80" t="inlineStr">
        <is>
          <t>Knapsack</t>
        </is>
      </c>
      <c r="H20" s="80" t="inlineStr">
        <is>
          <t>Project Manager</t>
        </is>
      </c>
      <c r="I20" s="80" t="inlineStr">
        <is>
          <t>7–10</t>
        </is>
      </c>
      <c r="J20" s="79">
        <f>IFERROR(XLOOKUP(H20,'Lookups - JourneyDeployment'!$K$3:$K$7,'Lookups - JourneyDeployment'!$L$3:$L$7),"")</f>
        <v/>
      </c>
      <c r="K20" s="80">
        <f>A20&amp;"|"&amp;B20</f>
        <v/>
      </c>
      <c r="L20" s="85">
        <f>IFERROR(XLOOKUP(K20,'Activity Settings'!$M$2:$M$200,'Activity Settings'!$J$2:$J$200),0)</f>
        <v/>
      </c>
      <c r="M20" s="80">
        <f>IFERROR(XLOOKUP(K20,'Activity Settings'!$M$2:$M$200,'Activity Settings'!$L$2:$L$200),"Knapsack")</f>
        <v/>
      </c>
      <c r="N20" s="86">
        <f>IFERROR(XLOOKUP(J20&amp;"|"&amp;M20,Rates!$E$2:$E$13,Rates!$C$2:$C$13),0)</f>
        <v/>
      </c>
      <c r="O20" s="86">
        <f>L20*N20</f>
        <v/>
      </c>
    </row>
    <row r="21">
      <c r="A21" s="79" t="inlineStr">
        <is>
          <t>Implementation + Onboarding</t>
        </is>
      </c>
      <c r="B21" s="79" t="inlineStr">
        <is>
          <t>Preparation</t>
        </is>
      </c>
      <c r="C21" s="79" t="inlineStr">
        <is>
          <t>Document results in Technical Readiness Checklist</t>
        </is>
      </c>
      <c r="D21" s="79" t="inlineStr">
        <is>
          <t>Technical Readiness Checklist</t>
        </is>
      </c>
      <c r="E21" s="79" t="inlineStr">
        <is>
          <t>Verify infrastructure readiness, environment setup, and permissions.</t>
        </is>
      </c>
      <c r="F21" s="79" t="inlineStr">
        <is>
          <t>Project Manager</t>
        </is>
      </c>
      <c r="G21" s="80" t="inlineStr">
        <is>
          <t>Knapsack</t>
        </is>
      </c>
      <c r="H21" s="80" t="inlineStr">
        <is>
          <t>Project Manager</t>
        </is>
      </c>
      <c r="I21" s="80" t="inlineStr">
        <is>
          <t>7–10</t>
        </is>
      </c>
      <c r="J21" s="79">
        <f>IFERROR(XLOOKUP(H21,'Lookups - JourneyDeployment'!$K$3:$K$7,'Lookups - JourneyDeployment'!$L$3:$L$7),"")</f>
        <v/>
      </c>
      <c r="K21" s="80">
        <f>A21&amp;"|"&amp;B21</f>
        <v/>
      </c>
      <c r="L21" s="85">
        <f>IFERROR(XLOOKUP(K21,'Activity Settings'!$M$2:$M$200,'Activity Settings'!$J$2:$J$200),0)</f>
        <v/>
      </c>
      <c r="M21" s="80">
        <f>IFERROR(XLOOKUP(K21,'Activity Settings'!$M$2:$M$200,'Activity Settings'!$L$2:$L$200),"Knapsack")</f>
        <v/>
      </c>
      <c r="N21" s="86">
        <f>IFERROR(XLOOKUP(J21&amp;"|"&amp;M21,Rates!$E$2:$E$13,Rates!$C$2:$C$13),0)</f>
        <v/>
      </c>
      <c r="O21" s="86">
        <f>L21*N21</f>
        <v/>
      </c>
    </row>
    <row r="22">
      <c r="A22" s="79" t="inlineStr">
        <is>
          <t>Implementation + Onboarding</t>
        </is>
      </c>
      <c r="B22" s="79" t="inlineStr">
        <is>
          <t>Local install support</t>
        </is>
      </c>
      <c r="C22" s="79" t="inlineStr">
        <is>
          <t>Provide installation guide and validation checklist</t>
        </is>
      </c>
      <c r="D22" s="79" t="n"/>
      <c r="E22" s="79" t="n"/>
      <c r="F22" s="79" t="inlineStr">
        <is>
          <t>Senior Solutions Engineer</t>
        </is>
      </c>
      <c r="G22" s="80" t="inlineStr">
        <is>
          <t>Knapsack</t>
        </is>
      </c>
      <c r="H22" s="80" t="inlineStr">
        <is>
          <t>Engineer</t>
        </is>
      </c>
      <c r="I22" s="80" t="inlineStr">
        <is>
          <t>7–10</t>
        </is>
      </c>
      <c r="J22" s="79">
        <f>IFERROR(XLOOKUP(H22,'Lookups - JourneyDeployment'!$K$3:$K$7,'Lookups - JourneyDeployment'!$L$3:$L$7),"")</f>
        <v/>
      </c>
      <c r="K22" s="80">
        <f>A22&amp;"|"&amp;B22</f>
        <v/>
      </c>
      <c r="L22" s="85">
        <f>IFERROR(XLOOKUP(K22,'Activity Settings'!$M$2:$M$200,'Activity Settings'!$J$2:$J$200),0)</f>
        <v/>
      </c>
      <c r="M22" s="80">
        <f>IFERROR(XLOOKUP(K22,'Activity Settings'!$M$2:$M$200,'Activity Settings'!$L$2:$L$200),"Knapsack")</f>
        <v/>
      </c>
      <c r="N22" s="86">
        <f>IFERROR(XLOOKUP(J22&amp;"|"&amp;M22,Rates!$E$2:$E$13,Rates!$C$2:$C$13),0)</f>
        <v/>
      </c>
      <c r="O22" s="86">
        <f>L22*N22</f>
        <v/>
      </c>
    </row>
    <row r="23">
      <c r="A23" s="79" t="inlineStr">
        <is>
          <t>Implementation + Onboarding</t>
        </is>
      </c>
      <c r="B23" s="79" t="inlineStr">
        <is>
          <t>Local install support</t>
        </is>
      </c>
      <c r="C23" s="79" t="inlineStr">
        <is>
          <t>Support local environment configuration</t>
        </is>
      </c>
      <c r="D23" s="79" t="n"/>
      <c r="E23" s="79" t="n"/>
      <c r="F23" s="79" t="inlineStr">
        <is>
          <t>Senior Solutions Engineer</t>
        </is>
      </c>
      <c r="G23" s="80" t="inlineStr">
        <is>
          <t>Knapsack</t>
        </is>
      </c>
      <c r="H23" s="80" t="inlineStr">
        <is>
          <t>Engineer</t>
        </is>
      </c>
      <c r="I23" s="80" t="inlineStr">
        <is>
          <t>7–10</t>
        </is>
      </c>
      <c r="J23" s="79">
        <f>IFERROR(XLOOKUP(H23,'Lookups - JourneyDeployment'!$K$3:$K$7,'Lookups - JourneyDeployment'!$L$3:$L$7),"")</f>
        <v/>
      </c>
      <c r="K23" s="80">
        <f>A23&amp;"|"&amp;B23</f>
        <v/>
      </c>
      <c r="L23" s="85">
        <f>IFERROR(XLOOKUP(K23,'Activity Settings'!$M$2:$M$200,'Activity Settings'!$J$2:$J$200),0)</f>
        <v/>
      </c>
      <c r="M23" s="80">
        <f>IFERROR(XLOOKUP(K23,'Activity Settings'!$M$2:$M$200,'Activity Settings'!$L$2:$L$200),"Knapsack")</f>
        <v/>
      </c>
      <c r="N23" s="86">
        <f>IFERROR(XLOOKUP(J23&amp;"|"&amp;M23,Rates!$E$2:$E$13,Rates!$C$2:$C$13),0)</f>
        <v/>
      </c>
      <c r="O23" s="86">
        <f>L23*N23</f>
        <v/>
      </c>
    </row>
    <row r="24">
      <c r="A24" s="79" t="inlineStr">
        <is>
          <t>Implementation + Onboarding</t>
        </is>
      </c>
      <c r="B24" s="79" t="inlineStr">
        <is>
          <t>Local install support</t>
        </is>
      </c>
      <c r="C24" s="79" t="inlineStr">
        <is>
          <t>Troubleshoot integration issues</t>
        </is>
      </c>
      <c r="D24" s="79" t="n"/>
      <c r="E24" s="79" t="n"/>
      <c r="F24" s="79" t="inlineStr">
        <is>
          <t>Senior Solutions Engineer</t>
        </is>
      </c>
      <c r="G24" s="80" t="inlineStr">
        <is>
          <t>Knapsack</t>
        </is>
      </c>
      <c r="H24" s="80" t="inlineStr">
        <is>
          <t>Engineer</t>
        </is>
      </c>
      <c r="I24" s="80" t="inlineStr">
        <is>
          <t>7–10</t>
        </is>
      </c>
      <c r="J24" s="79">
        <f>IFERROR(XLOOKUP(H24,'Lookups - JourneyDeployment'!$K$3:$K$7,'Lookups - JourneyDeployment'!$L$3:$L$7),"")</f>
        <v/>
      </c>
      <c r="K24" s="80">
        <f>A24&amp;"|"&amp;B24</f>
        <v/>
      </c>
      <c r="L24" s="85">
        <f>IFERROR(XLOOKUP(K24,'Activity Settings'!$M$2:$M$200,'Activity Settings'!$J$2:$J$200),0)</f>
        <v/>
      </c>
      <c r="M24" s="80">
        <f>IFERROR(XLOOKUP(K24,'Activity Settings'!$M$2:$M$200,'Activity Settings'!$L$2:$L$200),"Knapsack")</f>
        <v/>
      </c>
      <c r="N24" s="86">
        <f>IFERROR(XLOOKUP(J24&amp;"|"&amp;M24,Rates!$E$2:$E$13,Rates!$C$2:$C$13),0)</f>
        <v/>
      </c>
      <c r="O24" s="86">
        <f>L24*N24</f>
        <v/>
      </c>
    </row>
    <row r="25">
      <c r="A25" s="79" t="inlineStr">
        <is>
          <t>Implementation + Onboarding</t>
        </is>
      </c>
      <c r="B25" s="79" t="inlineStr">
        <is>
          <t>Local install support</t>
        </is>
      </c>
      <c r="C25" s="79" t="inlineStr">
        <is>
          <t>Validate connectivity with IPE components</t>
        </is>
      </c>
      <c r="D25" s="79" t="n"/>
      <c r="E25" s="79" t="n"/>
      <c r="F25" s="79" t="inlineStr">
        <is>
          <t>Senior Solutions Engineer</t>
        </is>
      </c>
      <c r="G25" s="80" t="inlineStr">
        <is>
          <t>Knapsack</t>
        </is>
      </c>
      <c r="H25" s="80" t="inlineStr">
        <is>
          <t>Engineer</t>
        </is>
      </c>
      <c r="I25" s="80" t="inlineStr">
        <is>
          <t>7–10</t>
        </is>
      </c>
      <c r="J25" s="79">
        <f>IFERROR(XLOOKUP(H25,'Lookups - JourneyDeployment'!$K$3:$K$7,'Lookups - JourneyDeployment'!$L$3:$L$7),"")</f>
        <v/>
      </c>
      <c r="K25" s="80">
        <f>A25&amp;"|"&amp;B25</f>
        <v/>
      </c>
      <c r="L25" s="85">
        <f>IFERROR(XLOOKUP(K25,'Activity Settings'!$M$2:$M$200,'Activity Settings'!$J$2:$J$200),0)</f>
        <v/>
      </c>
      <c r="M25" s="80">
        <f>IFERROR(XLOOKUP(K25,'Activity Settings'!$M$2:$M$200,'Activity Settings'!$L$2:$L$200),"Knapsack")</f>
        <v/>
      </c>
      <c r="N25" s="86">
        <f>IFERROR(XLOOKUP(J25&amp;"|"&amp;M25,Rates!$E$2:$E$13,Rates!$C$2:$C$13),0)</f>
        <v/>
      </c>
      <c r="O25" s="86">
        <f>L25*N25</f>
        <v/>
      </c>
    </row>
    <row r="26">
      <c r="A26" s="79" t="inlineStr">
        <is>
          <t>Implementation + Onboarding</t>
        </is>
      </c>
      <c r="B26" s="79" t="inlineStr">
        <is>
          <t>Local install support</t>
        </is>
      </c>
      <c r="C26" s="79" t="inlineStr">
        <is>
          <t>Log and close install-related tickets</t>
        </is>
      </c>
      <c r="D26" s="79" t="inlineStr">
        <is>
          <t>Installation Validation Report</t>
        </is>
      </c>
      <c r="E26" s="79" t="inlineStr">
        <is>
          <t>Validate local environment setup for Knapsack and IPE components.</t>
        </is>
      </c>
      <c r="F26" s="79" t="inlineStr">
        <is>
          <t>Senior Solutions Engineer</t>
        </is>
      </c>
      <c r="G26" s="80" t="inlineStr">
        <is>
          <t>Knapsack</t>
        </is>
      </c>
      <c r="H26" s="80" t="inlineStr">
        <is>
          <t>Engineer</t>
        </is>
      </c>
      <c r="I26" s="80" t="inlineStr">
        <is>
          <t>7–10</t>
        </is>
      </c>
      <c r="J26" s="79">
        <f>IFERROR(XLOOKUP(H26,'Lookups - JourneyDeployment'!$K$3:$K$7,'Lookups - JourneyDeployment'!$L$3:$L$7),"")</f>
        <v/>
      </c>
      <c r="K26" s="80">
        <f>A26&amp;"|"&amp;B26</f>
        <v/>
      </c>
      <c r="L26" s="85">
        <f>IFERROR(XLOOKUP(K26,'Activity Settings'!$M$2:$M$200,'Activity Settings'!$J$2:$J$200),0)</f>
        <v/>
      </c>
      <c r="M26" s="80">
        <f>IFERROR(XLOOKUP(K26,'Activity Settings'!$M$2:$M$200,'Activity Settings'!$L$2:$L$200),"Knapsack")</f>
        <v/>
      </c>
      <c r="N26" s="86">
        <f>IFERROR(XLOOKUP(J26&amp;"|"&amp;M26,Rates!$E$2:$E$13,Rates!$C$2:$C$13),0)</f>
        <v/>
      </c>
      <c r="O26" s="86">
        <f>L26*N26</f>
        <v/>
      </c>
    </row>
    <row r="27">
      <c r="A27" s="79" t="inlineStr">
        <is>
          <t>Implementation + Onboarding</t>
        </is>
      </c>
      <c r="B27" s="79" t="inlineStr">
        <is>
          <t>Component rendering</t>
        </is>
      </c>
      <c r="C27" s="79" t="inlineStr">
        <is>
          <t>Validate core Spectrum components rendering</t>
        </is>
      </c>
      <c r="D27" s="79" t="n"/>
      <c r="E27" s="79" t="n"/>
      <c r="F27" s="79" t="inlineStr">
        <is>
          <t>Senior Solutions Engineer</t>
        </is>
      </c>
      <c r="G27" s="80" t="inlineStr">
        <is>
          <t>Knapsack</t>
        </is>
      </c>
      <c r="H27" s="80" t="inlineStr">
        <is>
          <t>Engineer</t>
        </is>
      </c>
      <c r="I27" s="80" t="inlineStr">
        <is>
          <t>7–10</t>
        </is>
      </c>
      <c r="J27" s="79">
        <f>IFERROR(XLOOKUP(H27,'Lookups - JourneyDeployment'!$K$3:$K$7,'Lookups - JourneyDeployment'!$L$3:$L$7),"")</f>
        <v/>
      </c>
      <c r="K27" s="80">
        <f>A27&amp;"|"&amp;B27</f>
        <v/>
      </c>
      <c r="L27" s="85">
        <f>IFERROR(XLOOKUP(K27,'Activity Settings'!$M$2:$M$200,'Activity Settings'!$J$2:$J$200),0)</f>
        <v/>
      </c>
      <c r="M27" s="80">
        <f>IFERROR(XLOOKUP(K27,'Activity Settings'!$M$2:$M$200,'Activity Settings'!$L$2:$L$200),"Knapsack")</f>
        <v/>
      </c>
      <c r="N27" s="86">
        <f>IFERROR(XLOOKUP(J27&amp;"|"&amp;M27,Rates!$E$2:$E$13,Rates!$C$2:$C$13),0)</f>
        <v/>
      </c>
      <c r="O27" s="86">
        <f>L27*N27</f>
        <v/>
      </c>
    </row>
    <row r="28">
      <c r="A28" s="79" t="inlineStr">
        <is>
          <t>Implementation + Onboarding</t>
        </is>
      </c>
      <c r="B28" s="79" t="inlineStr">
        <is>
          <t>Component rendering</t>
        </is>
      </c>
      <c r="C28" s="79" t="inlineStr">
        <is>
          <t>Conduct visual and functional QA across environments</t>
        </is>
      </c>
      <c r="D28" s="79" t="n"/>
      <c r="E28" s="79" t="n"/>
      <c r="F28" s="79" t="inlineStr">
        <is>
          <t>Senior Solutions Engineer</t>
        </is>
      </c>
      <c r="G28" s="80" t="inlineStr">
        <is>
          <t>Knapsack</t>
        </is>
      </c>
      <c r="H28" s="80" t="inlineStr">
        <is>
          <t>Engineer</t>
        </is>
      </c>
      <c r="I28" s="80" t="inlineStr">
        <is>
          <t>7–10</t>
        </is>
      </c>
      <c r="J28" s="79">
        <f>IFERROR(XLOOKUP(H28,'Lookups - JourneyDeployment'!$K$3:$K$7,'Lookups - JourneyDeployment'!$L$3:$L$7),"")</f>
        <v/>
      </c>
      <c r="K28" s="80">
        <f>A28&amp;"|"&amp;B28</f>
        <v/>
      </c>
      <c r="L28" s="85">
        <f>IFERROR(XLOOKUP(K28,'Activity Settings'!$M$2:$M$200,'Activity Settings'!$J$2:$J$200),0)</f>
        <v/>
      </c>
      <c r="M28" s="80">
        <f>IFERROR(XLOOKUP(K28,'Activity Settings'!$M$2:$M$200,'Activity Settings'!$L$2:$L$200),"Knapsack")</f>
        <v/>
      </c>
      <c r="N28" s="86">
        <f>IFERROR(XLOOKUP(J28&amp;"|"&amp;M28,Rates!$E$2:$E$13,Rates!$C$2:$C$13),0)</f>
        <v/>
      </c>
      <c r="O28" s="86">
        <f>L28*N28</f>
        <v/>
      </c>
    </row>
    <row r="29">
      <c r="A29" s="79" t="inlineStr">
        <is>
          <t>Implementation + Onboarding</t>
        </is>
      </c>
      <c r="B29" s="79" t="inlineStr">
        <is>
          <t>Component rendering</t>
        </is>
      </c>
      <c r="C29" s="79" t="inlineStr">
        <is>
          <t>Compare results with baseline expectations</t>
        </is>
      </c>
      <c r="D29" s="79" t="n"/>
      <c r="E29" s="79" t="n"/>
      <c r="F29" s="79" t="inlineStr">
        <is>
          <t>Senior Solutions Engineer</t>
        </is>
      </c>
      <c r="G29" s="80" t="inlineStr">
        <is>
          <t>Knapsack</t>
        </is>
      </c>
      <c r="H29" s="80" t="inlineStr">
        <is>
          <t>Engineer</t>
        </is>
      </c>
      <c r="I29" s="80" t="inlineStr">
        <is>
          <t>7–10</t>
        </is>
      </c>
      <c r="J29" s="79">
        <f>IFERROR(XLOOKUP(H29,'Lookups - JourneyDeployment'!$K$3:$K$7,'Lookups - JourneyDeployment'!$L$3:$L$7),"")</f>
        <v/>
      </c>
      <c r="K29" s="80">
        <f>A29&amp;"|"&amp;B29</f>
        <v/>
      </c>
      <c r="L29" s="85">
        <f>IFERROR(XLOOKUP(K29,'Activity Settings'!$M$2:$M$200,'Activity Settings'!$J$2:$J$200),0)</f>
        <v/>
      </c>
      <c r="M29" s="80">
        <f>IFERROR(XLOOKUP(K29,'Activity Settings'!$M$2:$M$200,'Activity Settings'!$L$2:$L$200),"Knapsack")</f>
        <v/>
      </c>
      <c r="N29" s="86">
        <f>IFERROR(XLOOKUP(J29&amp;"|"&amp;M29,Rates!$E$2:$E$13,Rates!$C$2:$C$13),0)</f>
        <v/>
      </c>
      <c r="O29" s="86">
        <f>L29*N29</f>
        <v/>
      </c>
    </row>
    <row r="30">
      <c r="A30" s="79" t="inlineStr">
        <is>
          <t>Implementation + Onboarding</t>
        </is>
      </c>
      <c r="B30" s="79" t="inlineStr">
        <is>
          <t>Component rendering</t>
        </is>
      </c>
      <c r="C30" s="79" t="inlineStr">
        <is>
          <t>Document rendering test summary report</t>
        </is>
      </c>
      <c r="D30" s="79" t="n"/>
      <c r="E30" s="79" t="n"/>
      <c r="F30" s="79" t="inlineStr">
        <is>
          <t>Senior Solutions Engineer</t>
        </is>
      </c>
      <c r="G30" s="80" t="inlineStr">
        <is>
          <t>Knapsack</t>
        </is>
      </c>
      <c r="H30" s="80" t="inlineStr">
        <is>
          <t>Engineer</t>
        </is>
      </c>
      <c r="I30" s="80" t="inlineStr">
        <is>
          <t>7–10</t>
        </is>
      </c>
      <c r="J30" s="79">
        <f>IFERROR(XLOOKUP(H30,'Lookups - JourneyDeployment'!$K$3:$K$7,'Lookups - JourneyDeployment'!$L$3:$L$7),"")</f>
        <v/>
      </c>
      <c r="K30" s="80">
        <f>A30&amp;"|"&amp;B30</f>
        <v/>
      </c>
      <c r="L30" s="85">
        <f>IFERROR(XLOOKUP(K30,'Activity Settings'!$M$2:$M$200,'Activity Settings'!$J$2:$J$200),0)</f>
        <v/>
      </c>
      <c r="M30" s="80">
        <f>IFERROR(XLOOKUP(K30,'Activity Settings'!$M$2:$M$200,'Activity Settings'!$L$2:$L$200),"Knapsack")</f>
        <v/>
      </c>
      <c r="N30" s="86">
        <f>IFERROR(XLOOKUP(J30&amp;"|"&amp;M30,Rates!$E$2:$E$13,Rates!$C$2:$C$13),0)</f>
        <v/>
      </c>
      <c r="O30" s="86">
        <f>L30*N30</f>
        <v/>
      </c>
    </row>
    <row r="31">
      <c r="A31" s="79" t="inlineStr">
        <is>
          <t>Implementation + Onboarding</t>
        </is>
      </c>
      <c r="B31" s="79" t="inlineStr">
        <is>
          <t>Component rendering</t>
        </is>
      </c>
      <c r="C31" s="79" t="inlineStr">
        <is>
          <t>Submit remediation recommendations</t>
        </is>
      </c>
      <c r="D31" s="79" t="inlineStr">
        <is>
          <t>Rendering QA Report</t>
        </is>
      </c>
      <c r="E31" s="79" t="inlineStr">
        <is>
          <t>Validate successful rendering of Spectrum components across environments.</t>
        </is>
      </c>
      <c r="F31" s="79" t="inlineStr">
        <is>
          <t>Senior Solutions Engineer</t>
        </is>
      </c>
      <c r="G31" s="80" t="inlineStr">
        <is>
          <t>Knapsack</t>
        </is>
      </c>
      <c r="H31" s="80" t="inlineStr">
        <is>
          <t>Engineer</t>
        </is>
      </c>
      <c r="I31" s="80" t="inlineStr">
        <is>
          <t>7–10</t>
        </is>
      </c>
      <c r="J31" s="79">
        <f>IFERROR(XLOOKUP(H31,'Lookups - JourneyDeployment'!$K$3:$K$7,'Lookups - JourneyDeployment'!$L$3:$L$7),"")</f>
        <v/>
      </c>
      <c r="K31" s="80">
        <f>A31&amp;"|"&amp;B31</f>
        <v/>
      </c>
      <c r="L31" s="85">
        <f>IFERROR(XLOOKUP(K31,'Activity Settings'!$M$2:$M$200,'Activity Settings'!$J$2:$J$200),0)</f>
        <v/>
      </c>
      <c r="M31" s="80">
        <f>IFERROR(XLOOKUP(K31,'Activity Settings'!$M$2:$M$200,'Activity Settings'!$L$2:$L$200),"Knapsack")</f>
        <v/>
      </c>
      <c r="N31" s="86">
        <f>IFERROR(XLOOKUP(J31&amp;"|"&amp;M31,Rates!$E$2:$E$13,Rates!$C$2:$C$13),0)</f>
        <v/>
      </c>
      <c r="O31" s="86">
        <f>L31*N31</f>
        <v/>
      </c>
    </row>
    <row r="32">
      <c r="A32" s="79" t="inlineStr">
        <is>
          <t>Implementation + Onboarding</t>
        </is>
      </c>
      <c r="B32" s="79" t="inlineStr">
        <is>
          <t>SME support for rendering</t>
        </is>
      </c>
      <c r="C32" s="79" t="inlineStr">
        <is>
          <t>Review component architecture and consistency</t>
        </is>
      </c>
      <c r="D32" s="79" t="n"/>
      <c r="E32" s="79" t="n"/>
      <c r="F32" s="79" t="inlineStr">
        <is>
          <t>Subject Matter Expert</t>
        </is>
      </c>
      <c r="G32" s="80" t="inlineStr">
        <is>
          <t>Knapsack</t>
        </is>
      </c>
      <c r="H32" s="80" t="inlineStr">
        <is>
          <t>SME</t>
        </is>
      </c>
      <c r="I32" s="80" t="inlineStr">
        <is>
          <t>7–10</t>
        </is>
      </c>
      <c r="J32" s="79">
        <f>IFERROR(XLOOKUP(H32,'Lookups - JourneyDeployment'!$K$3:$K$7,'Lookups - JourneyDeployment'!$L$3:$L$7),"")</f>
        <v/>
      </c>
      <c r="K32" s="80">
        <f>A32&amp;"|"&amp;B32</f>
        <v/>
      </c>
      <c r="L32" s="85">
        <f>IFERROR(XLOOKUP(K32,'Activity Settings'!$M$2:$M$200,'Activity Settings'!$J$2:$J$200),0)</f>
        <v/>
      </c>
      <c r="M32" s="80">
        <f>IFERROR(XLOOKUP(K32,'Activity Settings'!$M$2:$M$200,'Activity Settings'!$L$2:$L$200),"Knapsack")</f>
        <v/>
      </c>
      <c r="N32" s="86">
        <f>IFERROR(XLOOKUP(J32&amp;"|"&amp;M32,Rates!$E$2:$E$13,Rates!$C$2:$C$13),0)</f>
        <v/>
      </c>
      <c r="O32" s="86">
        <f>L32*N32</f>
        <v/>
      </c>
    </row>
    <row r="33">
      <c r="A33" s="79" t="inlineStr">
        <is>
          <t>Implementation + Onboarding</t>
        </is>
      </c>
      <c r="B33" s="79" t="inlineStr">
        <is>
          <t>SME support for rendering</t>
        </is>
      </c>
      <c r="C33" s="79" t="inlineStr">
        <is>
          <t>Audit rendering pipeline and dependency mapping</t>
        </is>
      </c>
      <c r="D33" s="79" t="n"/>
      <c r="E33" s="79" t="n"/>
      <c r="F33" s="79" t="inlineStr">
        <is>
          <t>Subject Matter Expert</t>
        </is>
      </c>
      <c r="G33" s="80" t="inlineStr">
        <is>
          <t>Knapsack</t>
        </is>
      </c>
      <c r="H33" s="80" t="inlineStr">
        <is>
          <t>SME</t>
        </is>
      </c>
      <c r="I33" s="80" t="inlineStr">
        <is>
          <t>7–10</t>
        </is>
      </c>
      <c r="J33" s="79">
        <f>IFERROR(XLOOKUP(H33,'Lookups - JourneyDeployment'!$K$3:$K$7,'Lookups - JourneyDeployment'!$L$3:$L$7),"")</f>
        <v/>
      </c>
      <c r="K33" s="80">
        <f>A33&amp;"|"&amp;B33</f>
        <v/>
      </c>
      <c r="L33" s="85">
        <f>IFERROR(XLOOKUP(K33,'Activity Settings'!$M$2:$M$200,'Activity Settings'!$J$2:$J$200),0)</f>
        <v/>
      </c>
      <c r="M33" s="80">
        <f>IFERROR(XLOOKUP(K33,'Activity Settings'!$M$2:$M$200,'Activity Settings'!$L$2:$L$200),"Knapsack")</f>
        <v/>
      </c>
      <c r="N33" s="86">
        <f>IFERROR(XLOOKUP(J33&amp;"|"&amp;M33,Rates!$E$2:$E$13,Rates!$C$2:$C$13),0)</f>
        <v/>
      </c>
      <c r="O33" s="86">
        <f>L33*N33</f>
        <v/>
      </c>
    </row>
    <row r="34">
      <c r="A34" s="79" t="inlineStr">
        <is>
          <t>Implementation + Onboarding</t>
        </is>
      </c>
      <c r="B34" s="79" t="inlineStr">
        <is>
          <t>SME support for rendering</t>
        </is>
      </c>
      <c r="C34" s="79" t="inlineStr">
        <is>
          <t>Validate accessibility compliance</t>
        </is>
      </c>
      <c r="D34" s="79" t="n"/>
      <c r="E34" s="79" t="n"/>
      <c r="F34" s="79" t="inlineStr">
        <is>
          <t>Subject Matter Expert</t>
        </is>
      </c>
      <c r="G34" s="80" t="inlineStr">
        <is>
          <t>Knapsack</t>
        </is>
      </c>
      <c r="H34" s="80" t="inlineStr">
        <is>
          <t>SME</t>
        </is>
      </c>
      <c r="I34" s="80" t="inlineStr">
        <is>
          <t>7–10</t>
        </is>
      </c>
      <c r="J34" s="79">
        <f>IFERROR(XLOOKUP(H34,'Lookups - JourneyDeployment'!$K$3:$K$7,'Lookups - JourneyDeployment'!$L$3:$L$7),"")</f>
        <v/>
      </c>
      <c r="K34" s="80">
        <f>A34&amp;"|"&amp;B34</f>
        <v/>
      </c>
      <c r="L34" s="85">
        <f>IFERROR(XLOOKUP(K34,'Activity Settings'!$M$2:$M$200,'Activity Settings'!$J$2:$J$200),0)</f>
        <v/>
      </c>
      <c r="M34" s="80">
        <f>IFERROR(XLOOKUP(K34,'Activity Settings'!$M$2:$M$200,'Activity Settings'!$L$2:$L$200),"Knapsack")</f>
        <v/>
      </c>
      <c r="N34" s="86">
        <f>IFERROR(XLOOKUP(J34&amp;"|"&amp;M34,Rates!$E$2:$E$13,Rates!$C$2:$C$13),0)</f>
        <v/>
      </c>
      <c r="O34" s="86">
        <f>L34*N34</f>
        <v/>
      </c>
    </row>
    <row r="35">
      <c r="A35" s="79" t="inlineStr">
        <is>
          <t>Implementation + Onboarding</t>
        </is>
      </c>
      <c r="B35" s="79" t="inlineStr">
        <is>
          <t>SME support for rendering</t>
        </is>
      </c>
      <c r="C35" s="79" t="inlineStr">
        <is>
          <t>Provide expert input to engineering team</t>
        </is>
      </c>
      <c r="D35" s="79" t="n"/>
      <c r="E35" s="79" t="n"/>
      <c r="F35" s="79" t="inlineStr">
        <is>
          <t>Subject Matter Expert</t>
        </is>
      </c>
      <c r="G35" s="80" t="inlineStr">
        <is>
          <t>Knapsack</t>
        </is>
      </c>
      <c r="H35" s="80" t="inlineStr">
        <is>
          <t>SME</t>
        </is>
      </c>
      <c r="I35" s="80" t="inlineStr">
        <is>
          <t>7–10</t>
        </is>
      </c>
      <c r="J35" s="79">
        <f>IFERROR(XLOOKUP(H35,'Lookups - JourneyDeployment'!$K$3:$K$7,'Lookups - JourneyDeployment'!$L$3:$L$7),"")</f>
        <v/>
      </c>
      <c r="K35" s="80">
        <f>A35&amp;"|"&amp;B35</f>
        <v/>
      </c>
      <c r="L35" s="85">
        <f>IFERROR(XLOOKUP(K35,'Activity Settings'!$M$2:$M$200,'Activity Settings'!$J$2:$J$200),0)</f>
        <v/>
      </c>
      <c r="M35" s="80">
        <f>IFERROR(XLOOKUP(K35,'Activity Settings'!$M$2:$M$200,'Activity Settings'!$L$2:$L$200),"Knapsack")</f>
        <v/>
      </c>
      <c r="N35" s="86">
        <f>IFERROR(XLOOKUP(J35&amp;"|"&amp;M35,Rates!$E$2:$E$13,Rates!$C$2:$C$13),0)</f>
        <v/>
      </c>
      <c r="O35" s="86">
        <f>L35*N35</f>
        <v/>
      </c>
    </row>
    <row r="36">
      <c r="A36" s="79" t="inlineStr">
        <is>
          <t>Implementation + Onboarding</t>
        </is>
      </c>
      <c r="B36" s="79" t="inlineStr">
        <is>
          <t>SME support for rendering</t>
        </is>
      </c>
      <c r="C36" s="79" t="inlineStr">
        <is>
          <t>Approve Architecture Validation Log</t>
        </is>
      </c>
      <c r="D36" s="79" t="inlineStr">
        <is>
          <t>Architecture Validation Log</t>
        </is>
      </c>
      <c r="E36" s="79" t="inlineStr">
        <is>
          <t>SME oversight of rendering logic and architectural consistency.</t>
        </is>
      </c>
      <c r="F36" s="79" t="inlineStr">
        <is>
          <t>Subject Matter Expert</t>
        </is>
      </c>
      <c r="G36" s="80" t="inlineStr">
        <is>
          <t>Knapsack</t>
        </is>
      </c>
      <c r="H36" s="80" t="inlineStr">
        <is>
          <t>SME</t>
        </is>
      </c>
      <c r="I36" s="80" t="inlineStr">
        <is>
          <t>7–10</t>
        </is>
      </c>
      <c r="J36" s="79">
        <f>IFERROR(XLOOKUP(H36,'Lookups - JourneyDeployment'!$K$3:$K$7,'Lookups - JourneyDeployment'!$L$3:$L$7),"")</f>
        <v/>
      </c>
      <c r="K36" s="80">
        <f>A36&amp;"|"&amp;B36</f>
        <v/>
      </c>
      <c r="L36" s="85">
        <f>IFERROR(XLOOKUP(K36,'Activity Settings'!$M$2:$M$200,'Activity Settings'!$J$2:$J$200),0)</f>
        <v/>
      </c>
      <c r="M36" s="80">
        <f>IFERROR(XLOOKUP(K36,'Activity Settings'!$M$2:$M$200,'Activity Settings'!$L$2:$L$200),"Knapsack")</f>
        <v/>
      </c>
      <c r="N36" s="86">
        <f>IFERROR(XLOOKUP(J36&amp;"|"&amp;M36,Rates!$E$2:$E$13,Rates!$C$2:$C$13),0)</f>
        <v/>
      </c>
      <c r="O36" s="86">
        <f>L36*N36</f>
        <v/>
      </c>
    </row>
    <row r="37">
      <c r="A37" s="79" t="inlineStr">
        <is>
          <t>Implementation + Onboarding</t>
        </is>
      </c>
      <c r="B37" s="79" t="inlineStr">
        <is>
          <t>Deployment support</t>
        </is>
      </c>
      <c r="C37" s="79" t="inlineStr">
        <is>
          <t>Define deployment workflow and CI/CD configuration</t>
        </is>
      </c>
      <c r="D37" s="79" t="n"/>
      <c r="E37" s="79" t="n"/>
      <c r="F37" s="79" t="inlineStr">
        <is>
          <t>Senior Solutions Engineer</t>
        </is>
      </c>
      <c r="G37" s="80" t="inlineStr">
        <is>
          <t>Knapsack</t>
        </is>
      </c>
      <c r="H37" s="80" t="inlineStr">
        <is>
          <t>Engineer</t>
        </is>
      </c>
      <c r="I37" s="80" t="inlineStr">
        <is>
          <t>15–20</t>
        </is>
      </c>
      <c r="J37" s="79">
        <f>IFERROR(XLOOKUP(H37,'Lookups - JourneyDeployment'!$K$3:$K$7,'Lookups - JourneyDeployment'!$L$3:$L$7),"")</f>
        <v/>
      </c>
      <c r="K37" s="80">
        <f>A37&amp;"|"&amp;B37</f>
        <v/>
      </c>
      <c r="L37" s="85">
        <f>IFERROR(XLOOKUP(K37,'Activity Settings'!$M$2:$M$200,'Activity Settings'!$J$2:$J$200),0)</f>
        <v/>
      </c>
      <c r="M37" s="80">
        <f>IFERROR(XLOOKUP(K37,'Activity Settings'!$M$2:$M$200,'Activity Settings'!$L$2:$L$200),"Knapsack")</f>
        <v/>
      </c>
      <c r="N37" s="86">
        <f>IFERROR(XLOOKUP(J37&amp;"|"&amp;M37,Rates!$E$2:$E$13,Rates!$C$2:$C$13),0)</f>
        <v/>
      </c>
      <c r="O37" s="86">
        <f>L37*N37</f>
        <v/>
      </c>
    </row>
    <row r="38">
      <c r="A38" s="79" t="inlineStr">
        <is>
          <t>Implementation + Onboarding</t>
        </is>
      </c>
      <c r="B38" s="79" t="inlineStr">
        <is>
          <t>Deployment support</t>
        </is>
      </c>
      <c r="C38" s="79" t="inlineStr">
        <is>
          <t>Create rollback and versioning process</t>
        </is>
      </c>
      <c r="D38" s="79" t="n"/>
      <c r="E38" s="79" t="n"/>
      <c r="F38" s="79" t="inlineStr">
        <is>
          <t>Senior Solutions Engineer</t>
        </is>
      </c>
      <c r="G38" s="80" t="inlineStr">
        <is>
          <t>Knapsack</t>
        </is>
      </c>
      <c r="H38" s="80" t="inlineStr">
        <is>
          <t>Engineer</t>
        </is>
      </c>
      <c r="I38" s="80" t="inlineStr">
        <is>
          <t>15–20</t>
        </is>
      </c>
      <c r="J38" s="79">
        <f>IFERROR(XLOOKUP(H38,'Lookups - JourneyDeployment'!$K$3:$K$7,'Lookups - JourneyDeployment'!$L$3:$L$7),"")</f>
        <v/>
      </c>
      <c r="K38" s="80">
        <f>A38&amp;"|"&amp;B38</f>
        <v/>
      </c>
      <c r="L38" s="85">
        <f>IFERROR(XLOOKUP(K38,'Activity Settings'!$M$2:$M$200,'Activity Settings'!$J$2:$J$200),0)</f>
        <v/>
      </c>
      <c r="M38" s="80">
        <f>IFERROR(XLOOKUP(K38,'Activity Settings'!$M$2:$M$200,'Activity Settings'!$L$2:$L$200),"Knapsack")</f>
        <v/>
      </c>
      <c r="N38" s="86">
        <f>IFERROR(XLOOKUP(J38&amp;"|"&amp;M38,Rates!$E$2:$E$13,Rates!$C$2:$C$13),0)</f>
        <v/>
      </c>
      <c r="O38" s="86">
        <f>L38*N38</f>
        <v/>
      </c>
    </row>
    <row r="39">
      <c r="A39" s="79" t="inlineStr">
        <is>
          <t>Implementation + Onboarding</t>
        </is>
      </c>
      <c r="B39" s="79" t="inlineStr">
        <is>
          <t>Deployment support</t>
        </is>
      </c>
      <c r="C39" s="79" t="inlineStr">
        <is>
          <t>Run initial deployment test</t>
        </is>
      </c>
      <c r="D39" s="79" t="n"/>
      <c r="E39" s="79" t="n"/>
      <c r="F39" s="79" t="inlineStr">
        <is>
          <t>Senior Solutions Engineer</t>
        </is>
      </c>
      <c r="G39" s="80" t="inlineStr">
        <is>
          <t>Knapsack</t>
        </is>
      </c>
      <c r="H39" s="80" t="inlineStr">
        <is>
          <t>Engineer</t>
        </is>
      </c>
      <c r="I39" s="80" t="inlineStr">
        <is>
          <t>15–20</t>
        </is>
      </c>
      <c r="J39" s="79">
        <f>IFERROR(XLOOKUP(H39,'Lookups - JourneyDeployment'!$K$3:$K$7,'Lookups - JourneyDeployment'!$L$3:$L$7),"")</f>
        <v/>
      </c>
      <c r="K39" s="80">
        <f>A39&amp;"|"&amp;B39</f>
        <v/>
      </c>
      <c r="L39" s="85">
        <f>IFERROR(XLOOKUP(K39,'Activity Settings'!$M$2:$M$200,'Activity Settings'!$J$2:$J$200),0)</f>
        <v/>
      </c>
      <c r="M39" s="80">
        <f>IFERROR(XLOOKUP(K39,'Activity Settings'!$M$2:$M$200,'Activity Settings'!$L$2:$L$200),"Knapsack")</f>
        <v/>
      </c>
      <c r="N39" s="86">
        <f>IFERROR(XLOOKUP(J39&amp;"|"&amp;M39,Rates!$E$2:$E$13,Rates!$C$2:$C$13),0)</f>
        <v/>
      </c>
      <c r="O39" s="86">
        <f>L39*N39</f>
        <v/>
      </c>
    </row>
    <row r="40">
      <c r="A40" s="79" t="inlineStr">
        <is>
          <t>Implementation + Onboarding</t>
        </is>
      </c>
      <c r="B40" s="79" t="inlineStr">
        <is>
          <t>Deployment support</t>
        </is>
      </c>
      <c r="C40" s="79" t="inlineStr">
        <is>
          <t>Record metrics against success criteria</t>
        </is>
      </c>
      <c r="D40" s="79" t="n"/>
      <c r="E40" s="79" t="n"/>
      <c r="F40" s="79" t="inlineStr">
        <is>
          <t>Senior Solutions Engineer</t>
        </is>
      </c>
      <c r="G40" s="80" t="inlineStr">
        <is>
          <t>Knapsack</t>
        </is>
      </c>
      <c r="H40" s="80" t="inlineStr">
        <is>
          <t>Engineer</t>
        </is>
      </c>
      <c r="I40" s="80" t="inlineStr">
        <is>
          <t>15–20</t>
        </is>
      </c>
      <c r="J40" s="79">
        <f>IFERROR(XLOOKUP(H40,'Lookups - JourneyDeployment'!$K$3:$K$7,'Lookups - JourneyDeployment'!$L$3:$L$7),"")</f>
        <v/>
      </c>
      <c r="K40" s="80">
        <f>A40&amp;"|"&amp;B40</f>
        <v/>
      </c>
      <c r="L40" s="85">
        <f>IFERROR(XLOOKUP(K40,'Activity Settings'!$M$2:$M$200,'Activity Settings'!$J$2:$J$200),0)</f>
        <v/>
      </c>
      <c r="M40" s="80">
        <f>IFERROR(XLOOKUP(K40,'Activity Settings'!$M$2:$M$200,'Activity Settings'!$L$2:$L$200),"Knapsack")</f>
        <v/>
      </c>
      <c r="N40" s="86">
        <f>IFERROR(XLOOKUP(J40&amp;"|"&amp;M40,Rates!$E$2:$E$13,Rates!$C$2:$C$13),0)</f>
        <v/>
      </c>
      <c r="O40" s="86">
        <f>L40*N40</f>
        <v/>
      </c>
    </row>
    <row r="41">
      <c r="A41" s="79" t="inlineStr">
        <is>
          <t>Implementation + Onboarding</t>
        </is>
      </c>
      <c r="B41" s="79" t="inlineStr">
        <is>
          <t>Deployment support</t>
        </is>
      </c>
      <c r="C41" s="79" t="inlineStr">
        <is>
          <t>Approve Deployment Plan and Success Metrics</t>
        </is>
      </c>
      <c r="D41" s="79" t="inlineStr">
        <is>
          <t>Deployment Plan + Success Metrics</t>
        </is>
      </c>
      <c r="E41" s="79" t="inlineStr">
        <is>
          <t>Plan and validate deployment pipelines with measurable success criteria.</t>
        </is>
      </c>
      <c r="F41" s="79" t="inlineStr">
        <is>
          <t>Senior Solutions Engineer</t>
        </is>
      </c>
      <c r="G41" s="80" t="inlineStr">
        <is>
          <t>Knapsack</t>
        </is>
      </c>
      <c r="H41" s="80" t="inlineStr">
        <is>
          <t>Engineer</t>
        </is>
      </c>
      <c r="I41" s="80" t="inlineStr">
        <is>
          <t>15–20</t>
        </is>
      </c>
      <c r="J41" s="79">
        <f>IFERROR(XLOOKUP(H41,'Lookups - JourneyDeployment'!$K$3:$K$7,'Lookups - JourneyDeployment'!$L$3:$L$7),"")</f>
        <v/>
      </c>
      <c r="K41" s="80">
        <f>A41&amp;"|"&amp;B41</f>
        <v/>
      </c>
      <c r="L41" s="85">
        <f>IFERROR(XLOOKUP(K41,'Activity Settings'!$M$2:$M$200,'Activity Settings'!$J$2:$J$200),0)</f>
        <v/>
      </c>
      <c r="M41" s="80">
        <f>IFERROR(XLOOKUP(K41,'Activity Settings'!$M$2:$M$200,'Activity Settings'!$L$2:$L$200),"Knapsack")</f>
        <v/>
      </c>
      <c r="N41" s="86">
        <f>IFERROR(XLOOKUP(J41&amp;"|"&amp;M41,Rates!$E$2:$E$13,Rates!$C$2:$C$13),0)</f>
        <v/>
      </c>
      <c r="O41" s="86">
        <f>L41*N41</f>
        <v/>
      </c>
    </row>
    <row r="42">
      <c r="A42" s="79" t="inlineStr">
        <is>
          <t>Scaled Rollout and Adoption</t>
        </is>
      </c>
      <c r="B42" s="79" t="inlineStr">
        <is>
          <t>Program management and Steering Committee coordination</t>
        </is>
      </c>
      <c r="C42" s="79" t="inlineStr">
        <is>
          <t>Conduct bi-weekly stand-ups with stakeholders</t>
        </is>
      </c>
      <c r="D42" s="79" t="n"/>
      <c r="E42" s="79" t="n"/>
      <c r="F42" s="79" t="inlineStr">
        <is>
          <t>Project Manager</t>
        </is>
      </c>
      <c r="G42" s="80" t="inlineStr">
        <is>
          <t>Adobe</t>
        </is>
      </c>
      <c r="H42" s="80" t="inlineStr">
        <is>
          <t>Project Manager</t>
        </is>
      </c>
      <c r="I42" s="80" t="inlineStr">
        <is>
          <t>21–32</t>
        </is>
      </c>
      <c r="J42" s="79">
        <f>IFERROR(XLOOKUP(H42,'Lookups - JourneyDeployment'!$K$3:$K$7,'Lookups - JourneyDeployment'!$L$3:$L$7),"")</f>
        <v/>
      </c>
      <c r="K42" s="80">
        <f>A42&amp;"|"&amp;B42</f>
        <v/>
      </c>
      <c r="L42" s="85">
        <f>IFERROR(XLOOKUP(K42,'Activity Settings'!$M$2:$M$200,'Activity Settings'!$J$2:$J$200),0)</f>
        <v/>
      </c>
      <c r="M42" s="80">
        <f>IFERROR(XLOOKUP(K42,'Activity Settings'!$M$2:$M$200,'Activity Settings'!$L$2:$L$200),"Knapsack")</f>
        <v/>
      </c>
      <c r="N42" s="86">
        <f>IFERROR(XLOOKUP(J42&amp;"|"&amp;M42,Rates!$E$2:$E$13,Rates!$C$2:$C$13),0)</f>
        <v/>
      </c>
      <c r="O42" s="86">
        <f>L42*N42</f>
        <v/>
      </c>
    </row>
    <row r="43">
      <c r="A43" s="79" t="inlineStr">
        <is>
          <t>Scaled Rollout and Adoption</t>
        </is>
      </c>
      <c r="B43" s="79" t="inlineStr">
        <is>
          <t>Program management and Steering Committee coordination</t>
        </is>
      </c>
      <c r="C43" s="79" t="inlineStr">
        <is>
          <t>Prepare monthly summary reports</t>
        </is>
      </c>
      <c r="D43" s="79" t="n"/>
      <c r="E43" s="79" t="n"/>
      <c r="F43" s="79" t="inlineStr">
        <is>
          <t>Project Manager</t>
        </is>
      </c>
      <c r="G43" s="80" t="inlineStr">
        <is>
          <t>Adobe</t>
        </is>
      </c>
      <c r="H43" s="80" t="inlineStr">
        <is>
          <t>Project Manager</t>
        </is>
      </c>
      <c r="I43" s="80" t="inlineStr">
        <is>
          <t>21–32</t>
        </is>
      </c>
      <c r="J43" s="79">
        <f>IFERROR(XLOOKUP(H43,'Lookups - JourneyDeployment'!$K$3:$K$7,'Lookups - JourneyDeployment'!$L$3:$L$7),"")</f>
        <v/>
      </c>
      <c r="K43" s="80">
        <f>A43&amp;"|"&amp;B43</f>
        <v/>
      </c>
      <c r="L43" s="85">
        <f>IFERROR(XLOOKUP(K43,'Activity Settings'!$M$2:$M$200,'Activity Settings'!$J$2:$J$200),0)</f>
        <v/>
      </c>
      <c r="M43" s="80">
        <f>IFERROR(XLOOKUP(K43,'Activity Settings'!$M$2:$M$200,'Activity Settings'!$L$2:$L$200),"Knapsack")</f>
        <v/>
      </c>
      <c r="N43" s="86">
        <f>IFERROR(XLOOKUP(J43&amp;"|"&amp;M43,Rates!$E$2:$E$13,Rates!$C$2:$C$13),0)</f>
        <v/>
      </c>
      <c r="O43" s="86">
        <f>L43*N43</f>
        <v/>
      </c>
    </row>
    <row r="44">
      <c r="A44" s="79" t="inlineStr">
        <is>
          <t>Scaled Rollout and Adoption</t>
        </is>
      </c>
      <c r="B44" s="79" t="inlineStr">
        <is>
          <t>Program management and Steering Committee coordination</t>
        </is>
      </c>
      <c r="C44" s="79" t="inlineStr">
        <is>
          <t>Track progress against milestones</t>
        </is>
      </c>
      <c r="D44" s="79" t="n"/>
      <c r="E44" s="79" t="n"/>
      <c r="F44" s="79" t="inlineStr">
        <is>
          <t>Project Manager</t>
        </is>
      </c>
      <c r="G44" s="80" t="inlineStr">
        <is>
          <t>Adobe</t>
        </is>
      </c>
      <c r="H44" s="80" t="inlineStr">
        <is>
          <t>Project Manager</t>
        </is>
      </c>
      <c r="I44" s="80" t="inlineStr">
        <is>
          <t>21–32</t>
        </is>
      </c>
      <c r="J44" s="79">
        <f>IFERROR(XLOOKUP(H44,'Lookups - JourneyDeployment'!$K$3:$K$7,'Lookups - JourneyDeployment'!$L$3:$L$7),"")</f>
        <v/>
      </c>
      <c r="K44" s="80">
        <f>A44&amp;"|"&amp;B44</f>
        <v/>
      </c>
      <c r="L44" s="85">
        <f>IFERROR(XLOOKUP(K44,'Activity Settings'!$M$2:$M$200,'Activity Settings'!$J$2:$J$200),0)</f>
        <v/>
      </c>
      <c r="M44" s="80">
        <f>IFERROR(XLOOKUP(K44,'Activity Settings'!$M$2:$M$200,'Activity Settings'!$L$2:$L$200),"Knapsack")</f>
        <v/>
      </c>
      <c r="N44" s="86">
        <f>IFERROR(XLOOKUP(J44&amp;"|"&amp;M44,Rates!$E$2:$E$13,Rates!$C$2:$C$13),0)</f>
        <v/>
      </c>
      <c r="O44" s="86">
        <f>L44*N44</f>
        <v/>
      </c>
    </row>
    <row r="45">
      <c r="A45" s="79" t="inlineStr">
        <is>
          <t>Scaled Rollout and Adoption</t>
        </is>
      </c>
      <c r="B45" s="79" t="inlineStr">
        <is>
          <t>Program management and Steering Committee coordination</t>
        </is>
      </c>
      <c r="C45" s="79" t="inlineStr">
        <is>
          <t>Facilitate phase-gate review sessions</t>
        </is>
      </c>
      <c r="D45" s="79" t="n"/>
      <c r="E45" s="79" t="n"/>
      <c r="F45" s="79" t="inlineStr">
        <is>
          <t>Project Manager</t>
        </is>
      </c>
      <c r="G45" s="80" t="inlineStr">
        <is>
          <t>Adobe</t>
        </is>
      </c>
      <c r="H45" s="80" t="inlineStr">
        <is>
          <t>Project Manager</t>
        </is>
      </c>
      <c r="I45" s="80" t="inlineStr">
        <is>
          <t>21–32</t>
        </is>
      </c>
      <c r="J45" s="79">
        <f>IFERROR(XLOOKUP(H45,'Lookups - JourneyDeployment'!$K$3:$K$7,'Lookups - JourneyDeployment'!$L$3:$L$7),"")</f>
        <v/>
      </c>
      <c r="K45" s="80">
        <f>A45&amp;"|"&amp;B45</f>
        <v/>
      </c>
      <c r="L45" s="85">
        <f>IFERROR(XLOOKUP(K45,'Activity Settings'!$M$2:$M$200,'Activity Settings'!$J$2:$J$200),0)</f>
        <v/>
      </c>
      <c r="M45" s="80">
        <f>IFERROR(XLOOKUP(K45,'Activity Settings'!$M$2:$M$200,'Activity Settings'!$L$2:$L$200),"Knapsack")</f>
        <v/>
      </c>
      <c r="N45" s="86">
        <f>IFERROR(XLOOKUP(J45&amp;"|"&amp;M45,Rates!$E$2:$E$13,Rates!$C$2:$C$13),0)</f>
        <v/>
      </c>
      <c r="O45" s="86">
        <f>L45*N45</f>
        <v/>
      </c>
    </row>
    <row r="46">
      <c r="A46" s="79" t="inlineStr">
        <is>
          <t>Scaled Rollout and Adoption</t>
        </is>
      </c>
      <c r="B46" s="79" t="inlineStr">
        <is>
          <t>Program management and Steering Committee coordination</t>
        </is>
      </c>
      <c r="C46" s="79" t="inlineStr">
        <is>
          <t>Update Governance Toolkit documents</t>
        </is>
      </c>
      <c r="D46" s="79" t="inlineStr">
        <is>
          <t>Governance Toolkit + Monthly Summary Reports</t>
        </is>
      </c>
      <c r="E46" s="79" t="inlineStr">
        <is>
          <t>Kickoff, bi-weekly stand-ups, monthly reports, phase gate reviews.</t>
        </is>
      </c>
      <c r="F46" s="79" t="inlineStr">
        <is>
          <t>Project Manager</t>
        </is>
      </c>
      <c r="G46" s="80" t="inlineStr">
        <is>
          <t>Adobe</t>
        </is>
      </c>
      <c r="H46" s="80" t="inlineStr">
        <is>
          <t>Project Manager</t>
        </is>
      </c>
      <c r="I46" s="80" t="inlineStr">
        <is>
          <t>21–32</t>
        </is>
      </c>
      <c r="J46" s="79">
        <f>IFERROR(XLOOKUP(H46,'Lookups - JourneyDeployment'!$K$3:$K$7,'Lookups - JourneyDeployment'!$L$3:$L$7),"")</f>
        <v/>
      </c>
      <c r="K46" s="80">
        <f>A46&amp;"|"&amp;B46</f>
        <v/>
      </c>
      <c r="L46" s="85">
        <f>IFERROR(XLOOKUP(K46,'Activity Settings'!$M$2:$M$200,'Activity Settings'!$J$2:$J$200),0)</f>
        <v/>
      </c>
      <c r="M46" s="80">
        <f>IFERROR(XLOOKUP(K46,'Activity Settings'!$M$2:$M$200,'Activity Settings'!$L$2:$L$200),"Knapsack")</f>
        <v/>
      </c>
      <c r="N46" s="86">
        <f>IFERROR(XLOOKUP(J46&amp;"|"&amp;M46,Rates!$E$2:$E$13,Rates!$C$2:$C$13),0)</f>
        <v/>
      </c>
      <c r="O46" s="86">
        <f>L46*N46</f>
        <v/>
      </c>
    </row>
    <row r="47">
      <c r="A47" s="79" t="inlineStr">
        <is>
          <t>Scaled Rollout and Adoption</t>
        </is>
      </c>
      <c r="B47" s="79" t="inlineStr">
        <is>
          <t>Facilitating and supporting deliverables</t>
        </is>
      </c>
      <c r="C47" s="79" t="inlineStr">
        <is>
          <t>Collect adoption and engagement metrics</t>
        </is>
      </c>
      <c r="D47" s="79" t="n"/>
      <c r="E47" s="79" t="n"/>
      <c r="F47" s="79" t="inlineStr">
        <is>
          <t>CX Partner - Change Management SME</t>
        </is>
      </c>
      <c r="G47" s="80" t="inlineStr">
        <is>
          <t>Adobe</t>
        </is>
      </c>
      <c r="H47" s="80" t="inlineStr">
        <is>
          <t>CX Partner</t>
        </is>
      </c>
      <c r="I47" s="80" t="inlineStr">
        <is>
          <t>21–32</t>
        </is>
      </c>
      <c r="J47" s="79">
        <f>IFERROR(XLOOKUP(H47,'Lookups - JourneyDeployment'!$K$3:$K$7,'Lookups - JourneyDeployment'!$L$3:$L$7),"")</f>
        <v/>
      </c>
      <c r="K47" s="80">
        <f>A47&amp;"|"&amp;B47</f>
        <v/>
      </c>
      <c r="L47" s="85">
        <f>IFERROR(XLOOKUP(K47,'Activity Settings'!$M$2:$M$200,'Activity Settings'!$J$2:$J$200),0)</f>
        <v/>
      </c>
      <c r="M47" s="80">
        <f>IFERROR(XLOOKUP(K47,'Activity Settings'!$M$2:$M$200,'Activity Settings'!$L$2:$L$200),"Knapsack")</f>
        <v/>
      </c>
      <c r="N47" s="86">
        <f>IFERROR(XLOOKUP(J47&amp;"|"&amp;M47,Rates!$E$2:$E$13,Rates!$C$2:$C$13),0)</f>
        <v/>
      </c>
      <c r="O47" s="86">
        <f>L47*N47</f>
        <v/>
      </c>
    </row>
    <row r="48">
      <c r="A48" s="79" t="inlineStr">
        <is>
          <t>Scaled Rollout and Adoption</t>
        </is>
      </c>
      <c r="B48" s="79" t="inlineStr">
        <is>
          <t>Facilitating and supporting deliverables</t>
        </is>
      </c>
      <c r="C48" s="79" t="inlineStr">
        <is>
          <t>Populate dashboard with KPIs</t>
        </is>
      </c>
      <c r="D48" s="79" t="n"/>
      <c r="E48" s="79" t="n"/>
      <c r="F48" s="79" t="inlineStr">
        <is>
          <t>CX Partner - Change Management SME</t>
        </is>
      </c>
      <c r="G48" s="80" t="inlineStr">
        <is>
          <t>Adobe</t>
        </is>
      </c>
      <c r="H48" s="80" t="inlineStr">
        <is>
          <t>CX Partner</t>
        </is>
      </c>
      <c r="I48" s="80" t="inlineStr">
        <is>
          <t>21–32</t>
        </is>
      </c>
      <c r="J48" s="79">
        <f>IFERROR(XLOOKUP(H48,'Lookups - JourneyDeployment'!$K$3:$K$7,'Lookups - JourneyDeployment'!$L$3:$L$7),"")</f>
        <v/>
      </c>
      <c r="K48" s="80">
        <f>A48&amp;"|"&amp;B48</f>
        <v/>
      </c>
      <c r="L48" s="85">
        <f>IFERROR(XLOOKUP(K48,'Activity Settings'!$M$2:$M$200,'Activity Settings'!$J$2:$J$200),0)</f>
        <v/>
      </c>
      <c r="M48" s="80">
        <f>IFERROR(XLOOKUP(K48,'Activity Settings'!$M$2:$M$200,'Activity Settings'!$L$2:$L$200),"Knapsack")</f>
        <v/>
      </c>
      <c r="N48" s="86">
        <f>IFERROR(XLOOKUP(J48&amp;"|"&amp;M48,Rates!$E$2:$E$13,Rates!$C$2:$C$13),0)</f>
        <v/>
      </c>
      <c r="O48" s="86">
        <f>L48*N48</f>
        <v/>
      </c>
    </row>
    <row r="49">
      <c r="A49" s="79" t="inlineStr">
        <is>
          <t>Scaled Rollout and Adoption</t>
        </is>
      </c>
      <c r="B49" s="79" t="inlineStr">
        <is>
          <t>Facilitating and supporting deliverables</t>
        </is>
      </c>
      <c r="C49" s="79" t="inlineStr">
        <is>
          <t>Review metrics with CX Partner and PM</t>
        </is>
      </c>
      <c r="D49" s="79" t="n"/>
      <c r="E49" s="79" t="n"/>
      <c r="F49" s="79" t="inlineStr">
        <is>
          <t>CX Partner - Change Management SME</t>
        </is>
      </c>
      <c r="G49" s="80" t="inlineStr">
        <is>
          <t>Adobe</t>
        </is>
      </c>
      <c r="H49" s="80" t="inlineStr">
        <is>
          <t>CX Partner</t>
        </is>
      </c>
      <c r="I49" s="80" t="inlineStr">
        <is>
          <t>21–32</t>
        </is>
      </c>
      <c r="J49" s="79">
        <f>IFERROR(XLOOKUP(H49,'Lookups - JourneyDeployment'!$K$3:$K$7,'Lookups - JourneyDeployment'!$L$3:$L$7),"")</f>
        <v/>
      </c>
      <c r="K49" s="80">
        <f>A49&amp;"|"&amp;B49</f>
        <v/>
      </c>
      <c r="L49" s="85">
        <f>IFERROR(XLOOKUP(K49,'Activity Settings'!$M$2:$M$200,'Activity Settings'!$J$2:$J$200),0)</f>
        <v/>
      </c>
      <c r="M49" s="80">
        <f>IFERROR(XLOOKUP(K49,'Activity Settings'!$M$2:$M$200,'Activity Settings'!$L$2:$L$200),"Knapsack")</f>
        <v/>
      </c>
      <c r="N49" s="86">
        <f>IFERROR(XLOOKUP(J49&amp;"|"&amp;M49,Rates!$E$2:$E$13,Rates!$C$2:$C$13),0)</f>
        <v/>
      </c>
      <c r="O49" s="86">
        <f>L49*N49</f>
        <v/>
      </c>
    </row>
    <row r="50">
      <c r="A50" s="79" t="inlineStr">
        <is>
          <t>Scaled Rollout and Adoption</t>
        </is>
      </c>
      <c r="B50" s="79" t="inlineStr">
        <is>
          <t>Facilitating and supporting deliverables</t>
        </is>
      </c>
      <c r="C50" s="79" t="inlineStr">
        <is>
          <t>Recommend improvements for lagging metrics</t>
        </is>
      </c>
      <c r="D50" s="79" t="n"/>
      <c r="E50" s="79" t="n"/>
      <c r="F50" s="79" t="inlineStr">
        <is>
          <t>CX Partner - Change Management SME</t>
        </is>
      </c>
      <c r="G50" s="80" t="inlineStr">
        <is>
          <t>Adobe</t>
        </is>
      </c>
      <c r="H50" s="80" t="inlineStr">
        <is>
          <t>CX Partner</t>
        </is>
      </c>
      <c r="I50" s="80" t="inlineStr">
        <is>
          <t>21–32</t>
        </is>
      </c>
      <c r="J50" s="79">
        <f>IFERROR(XLOOKUP(H50,'Lookups - JourneyDeployment'!$K$3:$K$7,'Lookups - JourneyDeployment'!$L$3:$L$7),"")</f>
        <v/>
      </c>
      <c r="K50" s="80">
        <f>A50&amp;"|"&amp;B50</f>
        <v/>
      </c>
      <c r="L50" s="85">
        <f>IFERROR(XLOOKUP(K50,'Activity Settings'!$M$2:$M$200,'Activity Settings'!$J$2:$J$200),0)</f>
        <v/>
      </c>
      <c r="M50" s="80">
        <f>IFERROR(XLOOKUP(K50,'Activity Settings'!$M$2:$M$200,'Activity Settings'!$L$2:$L$200),"Knapsack")</f>
        <v/>
      </c>
      <c r="N50" s="86">
        <f>IFERROR(XLOOKUP(J50&amp;"|"&amp;M50,Rates!$E$2:$E$13,Rates!$C$2:$C$13),0)</f>
        <v/>
      </c>
      <c r="O50" s="86">
        <f>L50*N50</f>
        <v/>
      </c>
    </row>
    <row r="51">
      <c r="A51" s="79" t="inlineStr">
        <is>
          <t>Scaled Rollout and Adoption</t>
        </is>
      </c>
      <c r="B51" s="79" t="inlineStr">
        <is>
          <t>Facilitating and supporting deliverables</t>
        </is>
      </c>
      <c r="C51" s="79" t="inlineStr">
        <is>
          <t>Share monthly change-management insights</t>
        </is>
      </c>
      <c r="D51" s="79" t="inlineStr">
        <is>
          <t>Change Management Dashboard</t>
        </is>
      </c>
      <c r="E51" s="79" t="inlineStr">
        <is>
          <t>Track adoption metrics, stakeholder engagement, and training completion.</t>
        </is>
      </c>
      <c r="F51" s="79" t="inlineStr">
        <is>
          <t>CX Partner - Change Management SME</t>
        </is>
      </c>
      <c r="G51" s="80" t="inlineStr">
        <is>
          <t>Adobe</t>
        </is>
      </c>
      <c r="H51" s="80" t="inlineStr">
        <is>
          <t>CX Partner</t>
        </is>
      </c>
      <c r="I51" s="80" t="inlineStr">
        <is>
          <t>21–32</t>
        </is>
      </c>
      <c r="J51" s="79">
        <f>IFERROR(XLOOKUP(H51,'Lookups - JourneyDeployment'!$K$3:$K$7,'Lookups - JourneyDeployment'!$L$3:$L$7),"")</f>
        <v/>
      </c>
      <c r="K51" s="80">
        <f>A51&amp;"|"&amp;B51</f>
        <v/>
      </c>
      <c r="L51" s="85">
        <f>IFERROR(XLOOKUP(K51,'Activity Settings'!$M$2:$M$200,'Activity Settings'!$J$2:$J$200),0)</f>
        <v/>
      </c>
      <c r="M51" s="80">
        <f>IFERROR(XLOOKUP(K51,'Activity Settings'!$M$2:$M$200,'Activity Settings'!$L$2:$L$200),"Knapsack")</f>
        <v/>
      </c>
      <c r="N51" s="86">
        <f>IFERROR(XLOOKUP(J51&amp;"|"&amp;M51,Rates!$E$2:$E$13,Rates!$C$2:$C$13),0)</f>
        <v/>
      </c>
      <c r="O51" s="86">
        <f>L51*N51</f>
        <v/>
      </c>
    </row>
    <row r="52">
      <c r="A52" s="79" t="inlineStr">
        <is>
          <t>Scaled Rollout and Adoption</t>
        </is>
      </c>
      <c r="B52" s="79" t="inlineStr">
        <is>
          <t>Change Readiness Assessment</t>
        </is>
      </c>
      <c r="C52" s="79" t="inlineStr">
        <is>
          <t>Draft readiness survey and baseline questions</t>
        </is>
      </c>
      <c r="D52" s="79" t="n"/>
      <c r="E52" s="79" t="n"/>
      <c r="F52" s="79" t="inlineStr">
        <is>
          <t>CX Partner - Change Management SME</t>
        </is>
      </c>
      <c r="G52" s="80" t="inlineStr">
        <is>
          <t>Adobe</t>
        </is>
      </c>
      <c r="H52" s="80" t="inlineStr">
        <is>
          <t>CX Partner</t>
        </is>
      </c>
      <c r="I52" s="80" t="inlineStr">
        <is>
          <t>21–24</t>
        </is>
      </c>
      <c r="J52" s="79">
        <f>IFERROR(XLOOKUP(H52,'Lookups - JourneyDeployment'!$K$3:$K$7,'Lookups - JourneyDeployment'!$L$3:$L$7),"")</f>
        <v/>
      </c>
      <c r="K52" s="80">
        <f>A52&amp;"|"&amp;B52</f>
        <v/>
      </c>
      <c r="L52" s="85">
        <f>IFERROR(XLOOKUP(K52,'Activity Settings'!$M$2:$M$200,'Activity Settings'!$J$2:$J$200),0)</f>
        <v/>
      </c>
      <c r="M52" s="80">
        <f>IFERROR(XLOOKUP(K52,'Activity Settings'!$M$2:$M$200,'Activity Settings'!$L$2:$L$200),"Knapsack")</f>
        <v/>
      </c>
      <c r="N52" s="86">
        <f>IFERROR(XLOOKUP(J52&amp;"|"&amp;M52,Rates!$E$2:$E$13,Rates!$C$2:$C$13),0)</f>
        <v/>
      </c>
      <c r="O52" s="86">
        <f>L52*N52</f>
        <v/>
      </c>
    </row>
    <row r="53">
      <c r="A53" s="79" t="inlineStr">
        <is>
          <t>Scaled Rollout and Adoption</t>
        </is>
      </c>
      <c r="B53" s="79" t="inlineStr">
        <is>
          <t>Change Readiness Assessment</t>
        </is>
      </c>
      <c r="C53" s="79" t="inlineStr">
        <is>
          <t>Conduct assessment sessions</t>
        </is>
      </c>
      <c r="D53" s="79" t="n"/>
      <c r="E53" s="79" t="n"/>
      <c r="F53" s="79" t="inlineStr">
        <is>
          <t>CX Partner - Change Management SME</t>
        </is>
      </c>
      <c r="G53" s="80" t="inlineStr">
        <is>
          <t>Adobe</t>
        </is>
      </c>
      <c r="H53" s="80" t="inlineStr">
        <is>
          <t>CX Partner</t>
        </is>
      </c>
      <c r="I53" s="80" t="inlineStr">
        <is>
          <t>21–24</t>
        </is>
      </c>
      <c r="J53" s="79">
        <f>IFERROR(XLOOKUP(H53,'Lookups - JourneyDeployment'!$K$3:$K$7,'Lookups - JourneyDeployment'!$L$3:$L$7),"")</f>
        <v/>
      </c>
      <c r="K53" s="80">
        <f>A53&amp;"|"&amp;B53</f>
        <v/>
      </c>
      <c r="L53" s="85">
        <f>IFERROR(XLOOKUP(K53,'Activity Settings'!$M$2:$M$200,'Activity Settings'!$J$2:$J$200),0)</f>
        <v/>
      </c>
      <c r="M53" s="80">
        <f>IFERROR(XLOOKUP(K53,'Activity Settings'!$M$2:$M$200,'Activity Settings'!$L$2:$L$200),"Knapsack")</f>
        <v/>
      </c>
      <c r="N53" s="86">
        <f>IFERROR(XLOOKUP(J53&amp;"|"&amp;M53,Rates!$E$2:$E$13,Rates!$C$2:$C$13),0)</f>
        <v/>
      </c>
      <c r="O53" s="86">
        <f>L53*N53</f>
        <v/>
      </c>
    </row>
    <row r="54">
      <c r="A54" s="79" t="inlineStr">
        <is>
          <t>Scaled Rollout and Adoption</t>
        </is>
      </c>
      <c r="B54" s="79" t="inlineStr">
        <is>
          <t>Change Readiness Assessment</t>
        </is>
      </c>
      <c r="C54" s="79" t="inlineStr">
        <is>
          <t>Analyze cultural and operational preparedness</t>
        </is>
      </c>
      <c r="D54" s="79" t="n"/>
      <c r="E54" s="79" t="n"/>
      <c r="F54" s="79" t="inlineStr">
        <is>
          <t>CX Partner - Change Management SME</t>
        </is>
      </c>
      <c r="G54" s="80" t="inlineStr">
        <is>
          <t>Adobe</t>
        </is>
      </c>
      <c r="H54" s="80" t="inlineStr">
        <is>
          <t>CX Partner</t>
        </is>
      </c>
      <c r="I54" s="80" t="inlineStr">
        <is>
          <t>21–24</t>
        </is>
      </c>
      <c r="J54" s="79">
        <f>IFERROR(XLOOKUP(H54,'Lookups - JourneyDeployment'!$K$3:$K$7,'Lookups - JourneyDeployment'!$L$3:$L$7),"")</f>
        <v/>
      </c>
      <c r="K54" s="80">
        <f>A54&amp;"|"&amp;B54</f>
        <v/>
      </c>
      <c r="L54" s="85">
        <f>IFERROR(XLOOKUP(K54,'Activity Settings'!$M$2:$M$200,'Activity Settings'!$J$2:$J$200),0)</f>
        <v/>
      </c>
      <c r="M54" s="80">
        <f>IFERROR(XLOOKUP(K54,'Activity Settings'!$M$2:$M$200,'Activity Settings'!$L$2:$L$200),"Knapsack")</f>
        <v/>
      </c>
      <c r="N54" s="86">
        <f>IFERROR(XLOOKUP(J54&amp;"|"&amp;M54,Rates!$E$2:$E$13,Rates!$C$2:$C$13),0)</f>
        <v/>
      </c>
      <c r="O54" s="86">
        <f>L54*N54</f>
        <v/>
      </c>
    </row>
    <row r="55">
      <c r="A55" s="79" t="inlineStr">
        <is>
          <t>Scaled Rollout and Adoption</t>
        </is>
      </c>
      <c r="B55" s="79" t="inlineStr">
        <is>
          <t>Change Readiness Assessment</t>
        </is>
      </c>
      <c r="C55" s="79" t="inlineStr">
        <is>
          <t>Summarize results in Readiness Index</t>
        </is>
      </c>
      <c r="D55" s="79" t="n"/>
      <c r="E55" s="79" t="n"/>
      <c r="F55" s="79" t="inlineStr">
        <is>
          <t>CX Partner - Change Management SME</t>
        </is>
      </c>
      <c r="G55" s="80" t="inlineStr">
        <is>
          <t>Adobe</t>
        </is>
      </c>
      <c r="H55" s="80" t="inlineStr">
        <is>
          <t>CX Partner</t>
        </is>
      </c>
      <c r="I55" s="80" t="inlineStr">
        <is>
          <t>21–24</t>
        </is>
      </c>
      <c r="J55" s="79">
        <f>IFERROR(XLOOKUP(H55,'Lookups - JourneyDeployment'!$K$3:$K$7,'Lookups - JourneyDeployment'!$L$3:$L$7),"")</f>
        <v/>
      </c>
      <c r="K55" s="80">
        <f>A55&amp;"|"&amp;B55</f>
        <v/>
      </c>
      <c r="L55" s="85">
        <f>IFERROR(XLOOKUP(K55,'Activity Settings'!$M$2:$M$200,'Activity Settings'!$J$2:$J$200),0)</f>
        <v/>
      </c>
      <c r="M55" s="80">
        <f>IFERROR(XLOOKUP(K55,'Activity Settings'!$M$2:$M$200,'Activity Settings'!$L$2:$L$200),"Knapsack")</f>
        <v/>
      </c>
      <c r="N55" s="86">
        <f>IFERROR(XLOOKUP(J55&amp;"|"&amp;M55,Rates!$E$2:$E$13,Rates!$C$2:$C$13),0)</f>
        <v/>
      </c>
      <c r="O55" s="86">
        <f>L55*N55</f>
        <v/>
      </c>
    </row>
    <row r="56">
      <c r="A56" s="79" t="inlineStr">
        <is>
          <t>Scaled Rollout and Adoption</t>
        </is>
      </c>
      <c r="B56" s="79" t="inlineStr">
        <is>
          <t>Change Readiness Assessment</t>
        </is>
      </c>
      <c r="C56" s="79" t="inlineStr">
        <is>
          <t>Present findings to leadership</t>
        </is>
      </c>
      <c r="D56" s="79" t="inlineStr">
        <is>
          <t>Readiness Survey, Baseline Adoption Index</t>
        </is>
      </c>
      <c r="E56" s="79" t="inlineStr">
        <is>
          <t>Assess cultural, technical, and operational readiness prior to implementation.</t>
        </is>
      </c>
      <c r="F56" s="79" t="inlineStr">
        <is>
          <t>CX Partner - Change Management SME</t>
        </is>
      </c>
      <c r="G56" s="80" t="inlineStr">
        <is>
          <t>Adobe</t>
        </is>
      </c>
      <c r="H56" s="80" t="inlineStr">
        <is>
          <t>CX Partner</t>
        </is>
      </c>
      <c r="I56" s="80" t="inlineStr">
        <is>
          <t>21–24</t>
        </is>
      </c>
      <c r="J56" s="79">
        <f>IFERROR(XLOOKUP(H56,'Lookups - JourneyDeployment'!$K$3:$K$7,'Lookups - JourneyDeployment'!$L$3:$L$7),"")</f>
        <v/>
      </c>
      <c r="K56" s="80">
        <f>A56&amp;"|"&amp;B56</f>
        <v/>
      </c>
      <c r="L56" s="85">
        <f>IFERROR(XLOOKUP(K56,'Activity Settings'!$M$2:$M$200,'Activity Settings'!$J$2:$J$200),0)</f>
        <v/>
      </c>
      <c r="M56" s="80">
        <f>IFERROR(XLOOKUP(K56,'Activity Settings'!$M$2:$M$200,'Activity Settings'!$L$2:$L$200),"Knapsack")</f>
        <v/>
      </c>
      <c r="N56" s="86">
        <f>IFERROR(XLOOKUP(J56&amp;"|"&amp;M56,Rates!$E$2:$E$13,Rates!$C$2:$C$13),0)</f>
        <v/>
      </c>
      <c r="O56" s="86">
        <f>L56*N56</f>
        <v/>
      </c>
    </row>
    <row r="57">
      <c r="A57" s="79" t="inlineStr">
        <is>
          <t>Scaled Rollout and Adoption</t>
        </is>
      </c>
      <c r="B57" s="79" t="inlineStr">
        <is>
          <t>FDE led Implementation + Architecture + Governance</t>
        </is>
      </c>
      <c r="C57" s="79" t="inlineStr">
        <is>
          <t>Define system-of-systems architecture</t>
        </is>
      </c>
      <c r="D57" s="79" t="n"/>
      <c r="E57" s="79" t="n"/>
      <c r="F57" s="79" t="inlineStr">
        <is>
          <t>Senior Solutions Engineer</t>
        </is>
      </c>
      <c r="G57" s="80" t="inlineStr">
        <is>
          <t>Knapsack</t>
        </is>
      </c>
      <c r="H57" s="80" t="inlineStr">
        <is>
          <t>Engineer</t>
        </is>
      </c>
      <c r="I57" s="80" t="inlineStr">
        <is>
          <t>21–24</t>
        </is>
      </c>
      <c r="J57" s="79">
        <f>IFERROR(XLOOKUP(H57,'Lookups - JourneyDeployment'!$K$3:$K$7,'Lookups - JourneyDeployment'!$L$3:$L$7),"")</f>
        <v/>
      </c>
      <c r="K57" s="80">
        <f>A57&amp;"|"&amp;B57</f>
        <v/>
      </c>
      <c r="L57" s="85">
        <f>IFERROR(XLOOKUP(K57,'Activity Settings'!$M$2:$M$200,'Activity Settings'!$J$2:$J$200),0)</f>
        <v/>
      </c>
      <c r="M57" s="80">
        <f>IFERROR(XLOOKUP(K57,'Activity Settings'!$M$2:$M$200,'Activity Settings'!$L$2:$L$200),"Knapsack")</f>
        <v/>
      </c>
      <c r="N57" s="86">
        <f>IFERROR(XLOOKUP(J57&amp;"|"&amp;M57,Rates!$E$2:$E$13,Rates!$C$2:$C$13),0)</f>
        <v/>
      </c>
      <c r="O57" s="86">
        <f>L57*N57</f>
        <v/>
      </c>
    </row>
    <row r="58">
      <c r="A58" s="79" t="inlineStr">
        <is>
          <t>Scaled Rollout and Adoption</t>
        </is>
      </c>
      <c r="B58" s="79" t="inlineStr">
        <is>
          <t>FDE led Implementation + Architecture + Governance</t>
        </is>
      </c>
      <c r="C58" s="79" t="inlineStr">
        <is>
          <t>Document governance model and accessibility plan</t>
        </is>
      </c>
      <c r="D58" s="79" t="n"/>
      <c r="E58" s="79" t="n"/>
      <c r="F58" s="79" t="inlineStr">
        <is>
          <t>Senior Solutions Engineer</t>
        </is>
      </c>
      <c r="G58" s="80" t="inlineStr">
        <is>
          <t>Knapsack</t>
        </is>
      </c>
      <c r="H58" s="80" t="inlineStr">
        <is>
          <t>Engineer</t>
        </is>
      </c>
      <c r="I58" s="80" t="inlineStr">
        <is>
          <t>21–24</t>
        </is>
      </c>
      <c r="J58" s="79">
        <f>IFERROR(XLOOKUP(H58,'Lookups - JourneyDeployment'!$K$3:$K$7,'Lookups - JourneyDeployment'!$L$3:$L$7),"")</f>
        <v/>
      </c>
      <c r="K58" s="80">
        <f>A58&amp;"|"&amp;B58</f>
        <v/>
      </c>
      <c r="L58" s="85">
        <f>IFERROR(XLOOKUP(K58,'Activity Settings'!$M$2:$M$200,'Activity Settings'!$J$2:$J$200),0)</f>
        <v/>
      </c>
      <c r="M58" s="80">
        <f>IFERROR(XLOOKUP(K58,'Activity Settings'!$M$2:$M$200,'Activity Settings'!$L$2:$L$200),"Knapsack")</f>
        <v/>
      </c>
      <c r="N58" s="86">
        <f>IFERROR(XLOOKUP(J58&amp;"|"&amp;M58,Rates!$E$2:$E$13,Rates!$C$2:$C$13),0)</f>
        <v/>
      </c>
      <c r="O58" s="86">
        <f>L58*N58</f>
        <v/>
      </c>
    </row>
    <row r="59">
      <c r="A59" s="79" t="inlineStr">
        <is>
          <t>Scaled Rollout and Adoption</t>
        </is>
      </c>
      <c r="B59" s="79" t="inlineStr">
        <is>
          <t>FDE led Implementation + Architecture + Governance</t>
        </is>
      </c>
      <c r="C59" s="79" t="inlineStr">
        <is>
          <t>Review architecture with engineering leads</t>
        </is>
      </c>
      <c r="D59" s="79" t="n"/>
      <c r="E59" s="79" t="n"/>
      <c r="F59" s="79" t="inlineStr">
        <is>
          <t>Senior Solutions Engineer</t>
        </is>
      </c>
      <c r="G59" s="80" t="inlineStr">
        <is>
          <t>Knapsack</t>
        </is>
      </c>
      <c r="H59" s="80" t="inlineStr">
        <is>
          <t>Engineer</t>
        </is>
      </c>
      <c r="I59" s="80" t="inlineStr">
        <is>
          <t>21–24</t>
        </is>
      </c>
      <c r="J59" s="79">
        <f>IFERROR(XLOOKUP(H59,'Lookups - JourneyDeployment'!$K$3:$K$7,'Lookups - JourneyDeployment'!$L$3:$L$7),"")</f>
        <v/>
      </c>
      <c r="K59" s="80">
        <f>A59&amp;"|"&amp;B59</f>
        <v/>
      </c>
      <c r="L59" s="85">
        <f>IFERROR(XLOOKUP(K59,'Activity Settings'!$M$2:$M$200,'Activity Settings'!$J$2:$J$200),0)</f>
        <v/>
      </c>
      <c r="M59" s="80">
        <f>IFERROR(XLOOKUP(K59,'Activity Settings'!$M$2:$M$200,'Activity Settings'!$L$2:$L$200),"Knapsack")</f>
        <v/>
      </c>
      <c r="N59" s="86">
        <f>IFERROR(XLOOKUP(J59&amp;"|"&amp;M59,Rates!$E$2:$E$13,Rates!$C$2:$C$13),0)</f>
        <v/>
      </c>
      <c r="O59" s="86">
        <f>L59*N59</f>
        <v/>
      </c>
    </row>
    <row r="60">
      <c r="A60" s="79" t="inlineStr">
        <is>
          <t>Scaled Rollout and Adoption</t>
        </is>
      </c>
      <c r="B60" s="79" t="inlineStr">
        <is>
          <t>FDE led Implementation + Architecture + Governance</t>
        </is>
      </c>
      <c r="C60" s="79" t="inlineStr">
        <is>
          <t>Finalize and publish architecture document</t>
        </is>
      </c>
      <c r="D60" s="79" t="inlineStr">
        <is>
          <t>System of Systems Architecture Document</t>
        </is>
      </c>
      <c r="E60" s="79" t="inlineStr">
        <is>
          <t>Define architecture, component contribution model, accessibility, governance framework.</t>
        </is>
      </c>
      <c r="F60" s="79" t="inlineStr">
        <is>
          <t>Senior Solutions Engineer</t>
        </is>
      </c>
      <c r="G60" s="80" t="inlineStr">
        <is>
          <t>Knapsack</t>
        </is>
      </c>
      <c r="H60" s="80" t="inlineStr">
        <is>
          <t>Engineer</t>
        </is>
      </c>
      <c r="I60" s="80" t="inlineStr">
        <is>
          <t>21–24</t>
        </is>
      </c>
      <c r="J60" s="79">
        <f>IFERROR(XLOOKUP(H60,'Lookups - JourneyDeployment'!$K$3:$K$7,'Lookups - JourneyDeployment'!$L$3:$L$7),"")</f>
        <v/>
      </c>
      <c r="K60" s="80">
        <f>A60&amp;"|"&amp;B60</f>
        <v/>
      </c>
      <c r="L60" s="85">
        <f>IFERROR(XLOOKUP(K60,'Activity Settings'!$M$2:$M$200,'Activity Settings'!$J$2:$J$200),0)</f>
        <v/>
      </c>
      <c r="M60" s="80">
        <f>IFERROR(XLOOKUP(K60,'Activity Settings'!$M$2:$M$200,'Activity Settings'!$L$2:$L$200),"Knapsack")</f>
        <v/>
      </c>
      <c r="N60" s="86">
        <f>IFERROR(XLOOKUP(J60&amp;"|"&amp;M60,Rates!$E$2:$E$13,Rates!$C$2:$C$13),0)</f>
        <v/>
      </c>
      <c r="O60" s="86">
        <f>L60*N60</f>
        <v/>
      </c>
    </row>
    <row r="61">
      <c r="A61" s="79" t="inlineStr">
        <is>
          <t>Scaled Rollout and Adoption</t>
        </is>
      </c>
      <c r="B61" s="79" t="inlineStr">
        <is>
          <t>Stakeholder Interviews/Workshops</t>
        </is>
      </c>
      <c r="C61" s="79" t="inlineStr">
        <is>
          <t>Schedule interviews across departments</t>
        </is>
      </c>
      <c r="D61" s="79" t="n"/>
      <c r="E61" s="79" t="n"/>
      <c r="F61" s="79" t="inlineStr">
        <is>
          <t>Senior Solutions Engineer</t>
        </is>
      </c>
      <c r="G61" s="80" t="inlineStr">
        <is>
          <t>Knapsack</t>
        </is>
      </c>
      <c r="H61" s="80" t="inlineStr">
        <is>
          <t>Engineer</t>
        </is>
      </c>
      <c r="I61" s="80" t="inlineStr">
        <is>
          <t>21–24</t>
        </is>
      </c>
      <c r="J61" s="79">
        <f>IFERROR(XLOOKUP(H61,'Lookups - JourneyDeployment'!$K$3:$K$7,'Lookups - JourneyDeployment'!$L$3:$L$7),"")</f>
        <v/>
      </c>
      <c r="K61" s="80">
        <f>A61&amp;"|"&amp;B61</f>
        <v/>
      </c>
      <c r="L61" s="85">
        <f>IFERROR(XLOOKUP(K61,'Activity Settings'!$M$2:$M$200,'Activity Settings'!$J$2:$J$200),0)</f>
        <v/>
      </c>
      <c r="M61" s="80">
        <f>IFERROR(XLOOKUP(K61,'Activity Settings'!$M$2:$M$200,'Activity Settings'!$L$2:$L$200),"Knapsack")</f>
        <v/>
      </c>
      <c r="N61" s="86">
        <f>IFERROR(XLOOKUP(J61&amp;"|"&amp;M61,Rates!$E$2:$E$13,Rates!$C$2:$C$13),0)</f>
        <v/>
      </c>
      <c r="O61" s="86">
        <f>L61*N61</f>
        <v/>
      </c>
    </row>
    <row r="62">
      <c r="A62" s="79" t="inlineStr">
        <is>
          <t>Scaled Rollout and Adoption</t>
        </is>
      </c>
      <c r="B62" s="79" t="inlineStr">
        <is>
          <t>Stakeholder Interviews/Workshops</t>
        </is>
      </c>
      <c r="C62" s="79" t="inlineStr">
        <is>
          <t>Capture key challenges and opportunities</t>
        </is>
      </c>
      <c r="D62" s="79" t="n"/>
      <c r="E62" s="79" t="n"/>
      <c r="F62" s="79" t="inlineStr">
        <is>
          <t>Senior Solutions Engineer</t>
        </is>
      </c>
      <c r="G62" s="80" t="inlineStr">
        <is>
          <t>Knapsack</t>
        </is>
      </c>
      <c r="H62" s="80" t="inlineStr">
        <is>
          <t>Engineer</t>
        </is>
      </c>
      <c r="I62" s="80" t="inlineStr">
        <is>
          <t>21–24</t>
        </is>
      </c>
      <c r="J62" s="79">
        <f>IFERROR(XLOOKUP(H62,'Lookups - JourneyDeployment'!$K$3:$K$7,'Lookups - JourneyDeployment'!$L$3:$L$7),"")</f>
        <v/>
      </c>
      <c r="K62" s="80">
        <f>A62&amp;"|"&amp;B62</f>
        <v/>
      </c>
      <c r="L62" s="85">
        <f>IFERROR(XLOOKUP(K62,'Activity Settings'!$M$2:$M$200,'Activity Settings'!$J$2:$J$200),0)</f>
        <v/>
      </c>
      <c r="M62" s="80">
        <f>IFERROR(XLOOKUP(K62,'Activity Settings'!$M$2:$M$200,'Activity Settings'!$L$2:$L$200),"Knapsack")</f>
        <v/>
      </c>
      <c r="N62" s="86">
        <f>IFERROR(XLOOKUP(J62&amp;"|"&amp;M62,Rates!$E$2:$E$13,Rates!$C$2:$C$13),0)</f>
        <v/>
      </c>
      <c r="O62" s="86">
        <f>L62*N62</f>
        <v/>
      </c>
    </row>
    <row r="63">
      <c r="A63" s="79" t="inlineStr">
        <is>
          <t>Scaled Rollout and Adoption</t>
        </is>
      </c>
      <c r="B63" s="79" t="inlineStr">
        <is>
          <t>Stakeholder Interviews/Workshops</t>
        </is>
      </c>
      <c r="C63" s="79" t="inlineStr">
        <is>
          <t>Consolidate findings into themes</t>
        </is>
      </c>
      <c r="D63" s="79" t="n"/>
      <c r="E63" s="79" t="n"/>
      <c r="F63" s="79" t="inlineStr">
        <is>
          <t>Senior Solutions Engineer</t>
        </is>
      </c>
      <c r="G63" s="80" t="inlineStr">
        <is>
          <t>Knapsack</t>
        </is>
      </c>
      <c r="H63" s="80" t="inlineStr">
        <is>
          <t>Engineer</t>
        </is>
      </c>
      <c r="I63" s="80" t="inlineStr">
        <is>
          <t>21–24</t>
        </is>
      </c>
      <c r="J63" s="79">
        <f>IFERROR(XLOOKUP(H63,'Lookups - JourneyDeployment'!$K$3:$K$7,'Lookups - JourneyDeployment'!$L$3:$L$7),"")</f>
        <v/>
      </c>
      <c r="K63" s="80">
        <f>A63&amp;"|"&amp;B63</f>
        <v/>
      </c>
      <c r="L63" s="85">
        <f>IFERROR(XLOOKUP(K63,'Activity Settings'!$M$2:$M$200,'Activity Settings'!$J$2:$J$200),0)</f>
        <v/>
      </c>
      <c r="M63" s="80">
        <f>IFERROR(XLOOKUP(K63,'Activity Settings'!$M$2:$M$200,'Activity Settings'!$L$2:$L$200),"Knapsack")</f>
        <v/>
      </c>
      <c r="N63" s="86">
        <f>IFERROR(XLOOKUP(J63&amp;"|"&amp;M63,Rates!$E$2:$E$13,Rates!$C$2:$C$13),0)</f>
        <v/>
      </c>
      <c r="O63" s="86">
        <f>L63*N63</f>
        <v/>
      </c>
    </row>
    <row r="64">
      <c r="A64" s="79" t="inlineStr">
        <is>
          <t>Scaled Rollout and Adoption</t>
        </is>
      </c>
      <c r="B64" s="79" t="inlineStr">
        <is>
          <t>Stakeholder Interviews/Workshops</t>
        </is>
      </c>
      <c r="C64" s="79" t="inlineStr">
        <is>
          <t>Draft recommendations report</t>
        </is>
      </c>
      <c r="D64" s="79" t="n"/>
      <c r="E64" s="79" t="n"/>
      <c r="F64" s="79" t="inlineStr">
        <is>
          <t>Senior Solutions Engineer</t>
        </is>
      </c>
      <c r="G64" s="80" t="inlineStr">
        <is>
          <t>Knapsack</t>
        </is>
      </c>
      <c r="H64" s="80" t="inlineStr">
        <is>
          <t>Engineer</t>
        </is>
      </c>
      <c r="I64" s="80" t="inlineStr">
        <is>
          <t>21–24</t>
        </is>
      </c>
      <c r="J64" s="79">
        <f>IFERROR(XLOOKUP(H64,'Lookups - JourneyDeployment'!$K$3:$K$7,'Lookups - JourneyDeployment'!$L$3:$L$7),"")</f>
        <v/>
      </c>
      <c r="K64" s="80">
        <f>A64&amp;"|"&amp;B64</f>
        <v/>
      </c>
      <c r="L64" s="85">
        <f>IFERROR(XLOOKUP(K64,'Activity Settings'!$M$2:$M$200,'Activity Settings'!$J$2:$J$200),0)</f>
        <v/>
      </c>
      <c r="M64" s="80">
        <f>IFERROR(XLOOKUP(K64,'Activity Settings'!$M$2:$M$200,'Activity Settings'!$L$2:$L$200),"Knapsack")</f>
        <v/>
      </c>
      <c r="N64" s="86">
        <f>IFERROR(XLOOKUP(J64&amp;"|"&amp;M64,Rates!$E$2:$E$13,Rates!$C$2:$C$13),0)</f>
        <v/>
      </c>
      <c r="O64" s="86">
        <f>L64*N64</f>
        <v/>
      </c>
    </row>
    <row r="65">
      <c r="A65" s="79" t="inlineStr">
        <is>
          <t>Scaled Rollout and Adoption</t>
        </is>
      </c>
      <c r="B65" s="79" t="inlineStr">
        <is>
          <t>Stakeholder Interviews/Workshops</t>
        </is>
      </c>
      <c r="C65" s="79" t="inlineStr">
        <is>
          <t>Present Strategic Readout</t>
        </is>
      </c>
      <c r="D65" s="79" t="inlineStr">
        <is>
          <t>Strategic Readout and Recommendations</t>
        </is>
      </c>
      <c r="E65" s="79" t="inlineStr">
        <is>
          <t>Collect stakeholder inputs and align roadmap.</t>
        </is>
      </c>
      <c r="F65" s="79" t="inlineStr">
        <is>
          <t>Senior Solutions Engineer</t>
        </is>
      </c>
      <c r="G65" s="80" t="inlineStr">
        <is>
          <t>Knapsack</t>
        </is>
      </c>
      <c r="H65" s="80" t="inlineStr">
        <is>
          <t>Engineer</t>
        </is>
      </c>
      <c r="I65" s="80" t="inlineStr">
        <is>
          <t>21–24</t>
        </is>
      </c>
      <c r="J65" s="79">
        <f>IFERROR(XLOOKUP(H65,'Lookups - JourneyDeployment'!$K$3:$K$7,'Lookups - JourneyDeployment'!$L$3:$L$7),"")</f>
        <v/>
      </c>
      <c r="K65" s="80">
        <f>A65&amp;"|"&amp;B65</f>
        <v/>
      </c>
      <c r="L65" s="85">
        <f>IFERROR(XLOOKUP(K65,'Activity Settings'!$M$2:$M$200,'Activity Settings'!$J$2:$J$200),0)</f>
        <v/>
      </c>
      <c r="M65" s="80">
        <f>IFERROR(XLOOKUP(K65,'Activity Settings'!$M$2:$M$200,'Activity Settings'!$L$2:$L$200),"Knapsack")</f>
        <v/>
      </c>
      <c r="N65" s="86">
        <f>IFERROR(XLOOKUP(J65&amp;"|"&amp;M65,Rates!$E$2:$E$13,Rates!$C$2:$C$13),0)</f>
        <v/>
      </c>
      <c r="O65" s="86">
        <f>L65*N65</f>
        <v/>
      </c>
    </row>
    <row r="66">
      <c r="A66" s="79" t="inlineStr">
        <is>
          <t>Scaled Rollout and Adoption</t>
        </is>
      </c>
      <c r="B66" s="79" t="inlineStr">
        <is>
          <t>Pilot Enablement &amp; Feedback Loop</t>
        </is>
      </c>
      <c r="C66" s="79" t="inlineStr">
        <is>
          <t>Identify pilot groups and roles</t>
        </is>
      </c>
      <c r="D66" s="79" t="n"/>
      <c r="E66" s="79" t="n"/>
      <c r="F66" s="79" t="inlineStr">
        <is>
          <t>CX Partner - Change Management SME</t>
        </is>
      </c>
      <c r="G66" s="80" t="inlineStr">
        <is>
          <t>Adobe</t>
        </is>
      </c>
      <c r="H66" s="80" t="inlineStr">
        <is>
          <t>CX Partner</t>
        </is>
      </c>
      <c r="I66" s="80" t="inlineStr">
        <is>
          <t>23–26</t>
        </is>
      </c>
      <c r="J66" s="79">
        <f>IFERROR(XLOOKUP(H66,'Lookups - JourneyDeployment'!$K$3:$K$7,'Lookups - JourneyDeployment'!$L$3:$L$7),"")</f>
        <v/>
      </c>
      <c r="K66" s="80">
        <f>A66&amp;"|"&amp;B66</f>
        <v/>
      </c>
      <c r="L66" s="85">
        <f>IFERROR(XLOOKUP(K66,'Activity Settings'!$M$2:$M$200,'Activity Settings'!$J$2:$J$200),0)</f>
        <v/>
      </c>
      <c r="M66" s="80">
        <f>IFERROR(XLOOKUP(K66,'Activity Settings'!$M$2:$M$200,'Activity Settings'!$L$2:$L$200),"Knapsack")</f>
        <v/>
      </c>
      <c r="N66" s="86">
        <f>IFERROR(XLOOKUP(J66&amp;"|"&amp;M66,Rates!$E$2:$E$13,Rates!$C$2:$C$13),0)</f>
        <v/>
      </c>
      <c r="O66" s="86">
        <f>L66*N66</f>
        <v/>
      </c>
    </row>
    <row r="67">
      <c r="A67" s="79" t="inlineStr">
        <is>
          <t>Scaled Rollout and Adoption</t>
        </is>
      </c>
      <c r="B67" s="79" t="inlineStr">
        <is>
          <t>Pilot Enablement &amp; Feedback Loop</t>
        </is>
      </c>
      <c r="C67" s="79" t="inlineStr">
        <is>
          <t>Conduct onboarding sessions</t>
        </is>
      </c>
      <c r="D67" s="79" t="n"/>
      <c r="E67" s="79" t="n"/>
      <c r="F67" s="79" t="inlineStr">
        <is>
          <t>CX Partner - Change Management SME</t>
        </is>
      </c>
      <c r="G67" s="80" t="inlineStr">
        <is>
          <t>Adobe</t>
        </is>
      </c>
      <c r="H67" s="80" t="inlineStr">
        <is>
          <t>CX Partner</t>
        </is>
      </c>
      <c r="I67" s="80" t="inlineStr">
        <is>
          <t>23–26</t>
        </is>
      </c>
      <c r="J67" s="79">
        <f>IFERROR(XLOOKUP(H67,'Lookups - JourneyDeployment'!$K$3:$K$7,'Lookups - JourneyDeployment'!$L$3:$L$7),"")</f>
        <v/>
      </c>
      <c r="K67" s="80">
        <f>A67&amp;"|"&amp;B67</f>
        <v/>
      </c>
      <c r="L67" s="85">
        <f>IFERROR(XLOOKUP(K67,'Activity Settings'!$M$2:$M$200,'Activity Settings'!$J$2:$J$200),0)</f>
        <v/>
      </c>
      <c r="M67" s="80">
        <f>IFERROR(XLOOKUP(K67,'Activity Settings'!$M$2:$M$200,'Activity Settings'!$L$2:$L$200),"Knapsack")</f>
        <v/>
      </c>
      <c r="N67" s="86">
        <f>IFERROR(XLOOKUP(J67&amp;"|"&amp;M67,Rates!$E$2:$E$13,Rates!$C$2:$C$13),0)</f>
        <v/>
      </c>
      <c r="O67" s="86">
        <f>L67*N67</f>
        <v/>
      </c>
    </row>
    <row r="68">
      <c r="A68" s="79" t="inlineStr">
        <is>
          <t>Scaled Rollout and Adoption</t>
        </is>
      </c>
      <c r="B68" s="79" t="inlineStr">
        <is>
          <t>Pilot Enablement &amp; Feedback Loop</t>
        </is>
      </c>
      <c r="C68" s="79" t="inlineStr">
        <is>
          <t>Gather qualitative feedback</t>
        </is>
      </c>
      <c r="D68" s="79" t="n"/>
      <c r="E68" s="79" t="n"/>
      <c r="F68" s="79" t="inlineStr">
        <is>
          <t>CX Partner - Change Management SME</t>
        </is>
      </c>
      <c r="G68" s="80" t="inlineStr">
        <is>
          <t>Adobe</t>
        </is>
      </c>
      <c r="H68" s="80" t="inlineStr">
        <is>
          <t>CX Partner</t>
        </is>
      </c>
      <c r="I68" s="80" t="inlineStr">
        <is>
          <t>23–26</t>
        </is>
      </c>
      <c r="J68" s="79">
        <f>IFERROR(XLOOKUP(H68,'Lookups - JourneyDeployment'!$K$3:$K$7,'Lookups - JourneyDeployment'!$L$3:$L$7),"")</f>
        <v/>
      </c>
      <c r="K68" s="80">
        <f>A68&amp;"|"&amp;B68</f>
        <v/>
      </c>
      <c r="L68" s="85">
        <f>IFERROR(XLOOKUP(K68,'Activity Settings'!$M$2:$M$200,'Activity Settings'!$J$2:$J$200),0)</f>
        <v/>
      </c>
      <c r="M68" s="80">
        <f>IFERROR(XLOOKUP(K68,'Activity Settings'!$M$2:$M$200,'Activity Settings'!$L$2:$L$200),"Knapsack")</f>
        <v/>
      </c>
      <c r="N68" s="86">
        <f>IFERROR(XLOOKUP(J68&amp;"|"&amp;M68,Rates!$E$2:$E$13,Rates!$C$2:$C$13),0)</f>
        <v/>
      </c>
      <c r="O68" s="86">
        <f>L68*N68</f>
        <v/>
      </c>
    </row>
    <row r="69">
      <c r="A69" s="79" t="inlineStr">
        <is>
          <t>Scaled Rollout and Adoption</t>
        </is>
      </c>
      <c r="B69" s="79" t="inlineStr">
        <is>
          <t>Pilot Enablement &amp; Feedback Loop</t>
        </is>
      </c>
      <c r="C69" s="79" t="inlineStr">
        <is>
          <t>Build sentiment dashboard</t>
        </is>
      </c>
      <c r="D69" s="79" t="n"/>
      <c r="E69" s="79" t="n"/>
      <c r="F69" s="79" t="inlineStr">
        <is>
          <t>CX Partner - Change Management SME</t>
        </is>
      </c>
      <c r="G69" s="80" t="inlineStr">
        <is>
          <t>Adobe</t>
        </is>
      </c>
      <c r="H69" s="80" t="inlineStr">
        <is>
          <t>CX Partner</t>
        </is>
      </c>
      <c r="I69" s="80" t="inlineStr">
        <is>
          <t>23–26</t>
        </is>
      </c>
      <c r="J69" s="79">
        <f>IFERROR(XLOOKUP(H69,'Lookups - JourneyDeployment'!$K$3:$K$7,'Lookups - JourneyDeployment'!$L$3:$L$7),"")</f>
        <v/>
      </c>
      <c r="K69" s="80">
        <f>A69&amp;"|"&amp;B69</f>
        <v/>
      </c>
      <c r="L69" s="85">
        <f>IFERROR(XLOOKUP(K69,'Activity Settings'!$M$2:$M$200,'Activity Settings'!$J$2:$J$200),0)</f>
        <v/>
      </c>
      <c r="M69" s="80">
        <f>IFERROR(XLOOKUP(K69,'Activity Settings'!$M$2:$M$200,'Activity Settings'!$L$2:$L$200),"Knapsack")</f>
        <v/>
      </c>
      <c r="N69" s="86">
        <f>IFERROR(XLOOKUP(J69&amp;"|"&amp;M69,Rates!$E$2:$E$13,Rates!$C$2:$C$13),0)</f>
        <v/>
      </c>
      <c r="O69" s="86">
        <f>L69*N69</f>
        <v/>
      </c>
    </row>
    <row r="70">
      <c r="A70" s="79" t="inlineStr">
        <is>
          <t>Scaled Rollout and Adoption</t>
        </is>
      </c>
      <c r="B70" s="79" t="inlineStr">
        <is>
          <t>Pilot Enablement &amp; Feedback Loop</t>
        </is>
      </c>
      <c r="C70" s="79" t="inlineStr">
        <is>
          <t>Review results and refine approach</t>
        </is>
      </c>
      <c r="D70" s="79" t="inlineStr">
        <is>
          <t>Pilot Feedback Summary, Sentiment Dashboard</t>
        </is>
      </c>
      <c r="E70" s="79" t="inlineStr">
        <is>
          <t>Gather early adopter feedback and adjust onboarding approach.</t>
        </is>
      </c>
      <c r="F70" s="79" t="inlineStr">
        <is>
          <t>CX Partner - Change Management SME</t>
        </is>
      </c>
      <c r="G70" s="80" t="inlineStr">
        <is>
          <t>Adobe</t>
        </is>
      </c>
      <c r="H70" s="80" t="inlineStr">
        <is>
          <t>CX Partner</t>
        </is>
      </c>
      <c r="I70" s="80" t="inlineStr">
        <is>
          <t>23–26</t>
        </is>
      </c>
      <c r="J70" s="79">
        <f>IFERROR(XLOOKUP(H70,'Lookups - JourneyDeployment'!$K$3:$K$7,'Lookups - JourneyDeployment'!$L$3:$L$7),"")</f>
        <v/>
      </c>
      <c r="K70" s="80">
        <f>A70&amp;"|"&amp;B70</f>
        <v/>
      </c>
      <c r="L70" s="85">
        <f>IFERROR(XLOOKUP(K70,'Activity Settings'!$M$2:$M$200,'Activity Settings'!$J$2:$J$200),0)</f>
        <v/>
      </c>
      <c r="M70" s="80">
        <f>IFERROR(XLOOKUP(K70,'Activity Settings'!$M$2:$M$200,'Activity Settings'!$L$2:$L$200),"Knapsack")</f>
        <v/>
      </c>
      <c r="N70" s="86">
        <f>IFERROR(XLOOKUP(J70&amp;"|"&amp;M70,Rates!$E$2:$E$13,Rates!$C$2:$C$13),0)</f>
        <v/>
      </c>
      <c r="O70" s="86">
        <f>L70*N70</f>
        <v/>
      </c>
    </row>
    <row r="71">
      <c r="A71" s="79" t="inlineStr">
        <is>
          <t>Scaled Rollout and Adoption</t>
        </is>
      </c>
      <c r="B71" s="79" t="inlineStr">
        <is>
          <t>Role-Based Training Enablement</t>
        </is>
      </c>
      <c r="C71" s="79" t="inlineStr">
        <is>
          <t>Segment audience (UX, Eng, Partners)</t>
        </is>
      </c>
      <c r="D71" s="79" t="n"/>
      <c r="E71" s="79" t="n"/>
      <c r="F71" s="79" t="inlineStr">
        <is>
          <t>CX Partner - Change Management SME</t>
        </is>
      </c>
      <c r="G71" s="80" t="inlineStr">
        <is>
          <t>Adobe</t>
        </is>
      </c>
      <c r="H71" s="80" t="inlineStr">
        <is>
          <t>CX Partner</t>
        </is>
      </c>
      <c r="I71" s="80" t="inlineStr">
        <is>
          <t>25–28</t>
        </is>
      </c>
      <c r="J71" s="79">
        <f>IFERROR(XLOOKUP(H71,'Lookups - JourneyDeployment'!$K$3:$K$7,'Lookups - JourneyDeployment'!$L$3:$L$7),"")</f>
        <v/>
      </c>
      <c r="K71" s="80">
        <f>A71&amp;"|"&amp;B71</f>
        <v/>
      </c>
      <c r="L71" s="85">
        <f>IFERROR(XLOOKUP(K71,'Activity Settings'!$M$2:$M$200,'Activity Settings'!$J$2:$J$200),0)</f>
        <v/>
      </c>
      <c r="M71" s="80">
        <f>IFERROR(XLOOKUP(K71,'Activity Settings'!$M$2:$M$200,'Activity Settings'!$L$2:$L$200),"Knapsack")</f>
        <v/>
      </c>
      <c r="N71" s="86">
        <f>IFERROR(XLOOKUP(J71&amp;"|"&amp;M71,Rates!$E$2:$E$13,Rates!$C$2:$C$13),0)</f>
        <v/>
      </c>
      <c r="O71" s="86">
        <f>L71*N71</f>
        <v/>
      </c>
    </row>
    <row r="72">
      <c r="A72" s="79" t="inlineStr">
        <is>
          <t>Scaled Rollout and Adoption</t>
        </is>
      </c>
      <c r="B72" s="79" t="inlineStr">
        <is>
          <t>Role-Based Training Enablement</t>
        </is>
      </c>
      <c r="C72" s="79" t="inlineStr">
        <is>
          <t>Develop persona-specific materials</t>
        </is>
      </c>
      <c r="D72" s="79" t="n"/>
      <c r="E72" s="79" t="n"/>
      <c r="F72" s="79" t="inlineStr">
        <is>
          <t>CX Partner - Change Management SME</t>
        </is>
      </c>
      <c r="G72" s="80" t="inlineStr">
        <is>
          <t>Adobe</t>
        </is>
      </c>
      <c r="H72" s="80" t="inlineStr">
        <is>
          <t>CX Partner</t>
        </is>
      </c>
      <c r="I72" s="80" t="inlineStr">
        <is>
          <t>25–28</t>
        </is>
      </c>
      <c r="J72" s="79">
        <f>IFERROR(XLOOKUP(H72,'Lookups - JourneyDeployment'!$K$3:$K$7,'Lookups - JourneyDeployment'!$L$3:$L$7),"")</f>
        <v/>
      </c>
      <c r="K72" s="80">
        <f>A72&amp;"|"&amp;B72</f>
        <v/>
      </c>
      <c r="L72" s="85">
        <f>IFERROR(XLOOKUP(K72,'Activity Settings'!$M$2:$M$200,'Activity Settings'!$J$2:$J$200),0)</f>
        <v/>
      </c>
      <c r="M72" s="80">
        <f>IFERROR(XLOOKUP(K72,'Activity Settings'!$M$2:$M$200,'Activity Settings'!$L$2:$L$200),"Knapsack")</f>
        <v/>
      </c>
      <c r="N72" s="86">
        <f>IFERROR(XLOOKUP(J72&amp;"|"&amp;M72,Rates!$E$2:$E$13,Rates!$C$2:$C$13),0)</f>
        <v/>
      </c>
      <c r="O72" s="86">
        <f>L72*N72</f>
        <v/>
      </c>
    </row>
    <row r="73">
      <c r="A73" s="79" t="inlineStr">
        <is>
          <t>Scaled Rollout and Adoption</t>
        </is>
      </c>
      <c r="B73" s="79" t="inlineStr">
        <is>
          <t>Role-Based Training Enablement</t>
        </is>
      </c>
      <c r="C73" s="79" t="inlineStr">
        <is>
          <t>Host training sessions</t>
        </is>
      </c>
      <c r="D73" s="79" t="n"/>
      <c r="E73" s="79" t="n"/>
      <c r="F73" s="79" t="inlineStr">
        <is>
          <t>CX Partner - Change Management SME</t>
        </is>
      </c>
      <c r="G73" s="80" t="inlineStr">
        <is>
          <t>Adobe</t>
        </is>
      </c>
      <c r="H73" s="80" t="inlineStr">
        <is>
          <t>CX Partner</t>
        </is>
      </c>
      <c r="I73" s="80" t="inlineStr">
        <is>
          <t>25–28</t>
        </is>
      </c>
      <c r="J73" s="79">
        <f>IFERROR(XLOOKUP(H73,'Lookups - JourneyDeployment'!$K$3:$K$7,'Lookups - JourneyDeployment'!$L$3:$L$7),"")</f>
        <v/>
      </c>
      <c r="K73" s="80">
        <f>A73&amp;"|"&amp;B73</f>
        <v/>
      </c>
      <c r="L73" s="85">
        <f>IFERROR(XLOOKUP(K73,'Activity Settings'!$M$2:$M$200,'Activity Settings'!$J$2:$J$200),0)</f>
        <v/>
      </c>
      <c r="M73" s="80">
        <f>IFERROR(XLOOKUP(K73,'Activity Settings'!$M$2:$M$200,'Activity Settings'!$L$2:$L$200),"Knapsack")</f>
        <v/>
      </c>
      <c r="N73" s="86">
        <f>IFERROR(XLOOKUP(J73&amp;"|"&amp;M73,Rates!$E$2:$E$13,Rates!$C$2:$C$13),0)</f>
        <v/>
      </c>
      <c r="O73" s="86">
        <f>L73*N73</f>
        <v/>
      </c>
    </row>
    <row r="74">
      <c r="A74" s="79" t="inlineStr">
        <is>
          <t>Scaled Rollout and Adoption</t>
        </is>
      </c>
      <c r="B74" s="79" t="inlineStr">
        <is>
          <t>Role-Based Training Enablement</t>
        </is>
      </c>
      <c r="C74" s="79" t="inlineStr">
        <is>
          <t>Assess comprehension via surveys</t>
        </is>
      </c>
      <c r="D74" s="79" t="n"/>
      <c r="E74" s="79" t="n"/>
      <c r="F74" s="79" t="inlineStr">
        <is>
          <t>CX Partner - Change Management SME</t>
        </is>
      </c>
      <c r="G74" s="80" t="inlineStr">
        <is>
          <t>Adobe</t>
        </is>
      </c>
      <c r="H74" s="80" t="inlineStr">
        <is>
          <t>CX Partner</t>
        </is>
      </c>
      <c r="I74" s="80" t="inlineStr">
        <is>
          <t>25–28</t>
        </is>
      </c>
      <c r="J74" s="79">
        <f>IFERROR(XLOOKUP(H74,'Lookups - JourneyDeployment'!$K$3:$K$7,'Lookups - JourneyDeployment'!$L$3:$L$7),"")</f>
        <v/>
      </c>
      <c r="K74" s="80">
        <f>A74&amp;"|"&amp;B74</f>
        <v/>
      </c>
      <c r="L74" s="85">
        <f>IFERROR(XLOOKUP(K74,'Activity Settings'!$M$2:$M$200,'Activity Settings'!$J$2:$J$200),0)</f>
        <v/>
      </c>
      <c r="M74" s="80">
        <f>IFERROR(XLOOKUP(K74,'Activity Settings'!$M$2:$M$200,'Activity Settings'!$L$2:$L$200),"Knapsack")</f>
        <v/>
      </c>
      <c r="N74" s="86">
        <f>IFERROR(XLOOKUP(J74&amp;"|"&amp;M74,Rates!$E$2:$E$13,Rates!$C$2:$C$13),0)</f>
        <v/>
      </c>
      <c r="O74" s="86">
        <f>L74*N74</f>
        <v/>
      </c>
    </row>
    <row r="75">
      <c r="A75" s="79" t="inlineStr">
        <is>
          <t>Scaled Rollout and Adoption</t>
        </is>
      </c>
      <c r="B75" s="79" t="inlineStr">
        <is>
          <t>Role-Based Training Enablement</t>
        </is>
      </c>
      <c r="C75" s="79" t="inlineStr">
        <is>
          <t>Update modules as needed</t>
        </is>
      </c>
      <c r="D75" s="79" t="inlineStr">
        <is>
          <t>Persona-Based Training Modules (UX, Eng, Partner)</t>
        </is>
      </c>
      <c r="E75" s="79" t="inlineStr">
        <is>
          <t>Deliver tailored enablement by persona to improve comprehension and adoption.</t>
        </is>
      </c>
      <c r="F75" s="79" t="inlineStr">
        <is>
          <t>CX Partner - Change Management SME</t>
        </is>
      </c>
      <c r="G75" s="80" t="inlineStr">
        <is>
          <t>Adobe</t>
        </is>
      </c>
      <c r="H75" s="80" t="inlineStr">
        <is>
          <t>CX Partner</t>
        </is>
      </c>
      <c r="I75" s="80" t="inlineStr">
        <is>
          <t>25–28</t>
        </is>
      </c>
      <c r="J75" s="79">
        <f>IFERROR(XLOOKUP(H75,'Lookups - JourneyDeployment'!$K$3:$K$7,'Lookups - JourneyDeployment'!$L$3:$L$7),"")</f>
        <v/>
      </c>
      <c r="K75" s="80">
        <f>A75&amp;"|"&amp;B75</f>
        <v/>
      </c>
      <c r="L75" s="85">
        <f>IFERROR(XLOOKUP(K75,'Activity Settings'!$M$2:$M$200,'Activity Settings'!$J$2:$J$200),0)</f>
        <v/>
      </c>
      <c r="M75" s="80">
        <f>IFERROR(XLOOKUP(K75,'Activity Settings'!$M$2:$M$200,'Activity Settings'!$L$2:$L$200),"Knapsack")</f>
        <v/>
      </c>
      <c r="N75" s="86">
        <f>IFERROR(XLOOKUP(J75&amp;"|"&amp;M75,Rates!$E$2:$E$13,Rates!$C$2:$C$13),0)</f>
        <v/>
      </c>
      <c r="O75" s="86">
        <f>L75*N75</f>
        <v/>
      </c>
    </row>
    <row r="76">
      <c r="A76" s="79" t="inlineStr">
        <is>
          <t>Scaled Rollout and Adoption</t>
        </is>
      </c>
      <c r="B76" s="79" t="inlineStr">
        <is>
          <t>SME support for Deployment/DevOps</t>
        </is>
      </c>
      <c r="C76" s="79" t="inlineStr">
        <is>
          <t>Review CI/CD pipelines for readiness</t>
        </is>
      </c>
      <c r="D76" s="79" t="n"/>
      <c r="E76" s="79" t="n"/>
      <c r="F76" s="79" t="inlineStr">
        <is>
          <t>Subject Matter Expert</t>
        </is>
      </c>
      <c r="G76" s="80" t="inlineStr">
        <is>
          <t>Knapsack</t>
        </is>
      </c>
      <c r="H76" s="80" t="inlineStr">
        <is>
          <t>SME</t>
        </is>
      </c>
      <c r="I76" s="80" t="inlineStr">
        <is>
          <t>21–26</t>
        </is>
      </c>
      <c r="J76" s="79">
        <f>IFERROR(XLOOKUP(H76,'Lookups - JourneyDeployment'!$K$3:$K$7,'Lookups - JourneyDeployment'!$L$3:$L$7),"")</f>
        <v/>
      </c>
      <c r="K76" s="80">
        <f>A76&amp;"|"&amp;B76</f>
        <v/>
      </c>
      <c r="L76" s="85">
        <f>IFERROR(XLOOKUP(K76,'Activity Settings'!$M$2:$M$200,'Activity Settings'!$J$2:$J$200),0)</f>
        <v/>
      </c>
      <c r="M76" s="80">
        <f>IFERROR(XLOOKUP(K76,'Activity Settings'!$M$2:$M$200,'Activity Settings'!$L$2:$L$200),"Knapsack")</f>
        <v/>
      </c>
      <c r="N76" s="86">
        <f>IFERROR(XLOOKUP(J76&amp;"|"&amp;M76,Rates!$E$2:$E$13,Rates!$C$2:$C$13),0)</f>
        <v/>
      </c>
      <c r="O76" s="86">
        <f>L76*N76</f>
        <v/>
      </c>
    </row>
    <row r="77">
      <c r="A77" s="79" t="inlineStr">
        <is>
          <t>Scaled Rollout and Adoption</t>
        </is>
      </c>
      <c r="B77" s="79" t="inlineStr">
        <is>
          <t>SME support for Deployment/DevOps</t>
        </is>
      </c>
      <c r="C77" s="79" t="inlineStr">
        <is>
          <t>Validate automation scripts</t>
        </is>
      </c>
      <c r="D77" s="79" t="n"/>
      <c r="E77" s="79" t="n"/>
      <c r="F77" s="79" t="inlineStr">
        <is>
          <t>Subject Matter Expert</t>
        </is>
      </c>
      <c r="G77" s="80" t="inlineStr">
        <is>
          <t>Knapsack</t>
        </is>
      </c>
      <c r="H77" s="80" t="inlineStr">
        <is>
          <t>SME</t>
        </is>
      </c>
      <c r="I77" s="80" t="inlineStr">
        <is>
          <t>21–26</t>
        </is>
      </c>
      <c r="J77" s="79">
        <f>IFERROR(XLOOKUP(H77,'Lookups - JourneyDeployment'!$K$3:$K$7,'Lookups - JourneyDeployment'!$L$3:$L$7),"")</f>
        <v/>
      </c>
      <c r="K77" s="80">
        <f>A77&amp;"|"&amp;B77</f>
        <v/>
      </c>
      <c r="L77" s="85">
        <f>IFERROR(XLOOKUP(K77,'Activity Settings'!$M$2:$M$200,'Activity Settings'!$J$2:$J$200),0)</f>
        <v/>
      </c>
      <c r="M77" s="80">
        <f>IFERROR(XLOOKUP(K77,'Activity Settings'!$M$2:$M$200,'Activity Settings'!$L$2:$L$200),"Knapsack")</f>
        <v/>
      </c>
      <c r="N77" s="86">
        <f>IFERROR(XLOOKUP(J77&amp;"|"&amp;M77,Rates!$E$2:$E$13,Rates!$C$2:$C$13),0)</f>
        <v/>
      </c>
      <c r="O77" s="86">
        <f>L77*N77</f>
        <v/>
      </c>
    </row>
    <row r="78">
      <c r="A78" s="79" t="inlineStr">
        <is>
          <t>Scaled Rollout and Adoption</t>
        </is>
      </c>
      <c r="B78" s="79" t="inlineStr">
        <is>
          <t>SME support for Deployment/DevOps</t>
        </is>
      </c>
      <c r="C78" s="79" t="inlineStr">
        <is>
          <t>Confirm test coverage completeness</t>
        </is>
      </c>
      <c r="D78" s="79" t="n"/>
      <c r="E78" s="79" t="n"/>
      <c r="F78" s="79" t="inlineStr">
        <is>
          <t>Subject Matter Expert</t>
        </is>
      </c>
      <c r="G78" s="80" t="inlineStr">
        <is>
          <t>Knapsack</t>
        </is>
      </c>
      <c r="H78" s="80" t="inlineStr">
        <is>
          <t>SME</t>
        </is>
      </c>
      <c r="I78" s="80" t="inlineStr">
        <is>
          <t>21–26</t>
        </is>
      </c>
      <c r="J78" s="79">
        <f>IFERROR(XLOOKUP(H78,'Lookups - JourneyDeployment'!$K$3:$K$7,'Lookups - JourneyDeployment'!$L$3:$L$7),"")</f>
        <v/>
      </c>
      <c r="K78" s="80">
        <f>A78&amp;"|"&amp;B78</f>
        <v/>
      </c>
      <c r="L78" s="85">
        <f>IFERROR(XLOOKUP(K78,'Activity Settings'!$M$2:$M$200,'Activity Settings'!$J$2:$J$200),0)</f>
        <v/>
      </c>
      <c r="M78" s="80">
        <f>IFERROR(XLOOKUP(K78,'Activity Settings'!$M$2:$M$200,'Activity Settings'!$L$2:$L$200),"Knapsack")</f>
        <v/>
      </c>
      <c r="N78" s="86">
        <f>IFERROR(XLOOKUP(J78&amp;"|"&amp;M78,Rates!$E$2:$E$13,Rates!$C$2:$C$13),0)</f>
        <v/>
      </c>
      <c r="O78" s="86">
        <f>L78*N78</f>
        <v/>
      </c>
    </row>
    <row r="79">
      <c r="A79" s="79" t="inlineStr">
        <is>
          <t>Scaled Rollout and Adoption</t>
        </is>
      </c>
      <c r="B79" s="79" t="inlineStr">
        <is>
          <t>SME support for Deployment/DevOps</t>
        </is>
      </c>
      <c r="C79" s="79" t="inlineStr">
        <is>
          <t>Document readiness report</t>
        </is>
      </c>
      <c r="D79" s="79" t="inlineStr">
        <is>
          <t>DevOps Readiness</t>
        </is>
      </c>
      <c r="E79" s="79" t="inlineStr">
        <is>
          <t>Validate CI/CD, cloud authoring, and deployment automation readiness.</t>
        </is>
      </c>
      <c r="F79" s="79" t="inlineStr">
        <is>
          <t>Subject Matter Expert</t>
        </is>
      </c>
      <c r="G79" s="80" t="inlineStr">
        <is>
          <t>Knapsack</t>
        </is>
      </c>
      <c r="H79" s="80" t="inlineStr">
        <is>
          <t>SME</t>
        </is>
      </c>
      <c r="I79" s="80" t="inlineStr">
        <is>
          <t>21–26</t>
        </is>
      </c>
      <c r="J79" s="79">
        <f>IFERROR(XLOOKUP(H79,'Lookups - JourneyDeployment'!$K$3:$K$7,'Lookups - JourneyDeployment'!$L$3:$L$7),"")</f>
        <v/>
      </c>
      <c r="K79" s="80">
        <f>A79&amp;"|"&amp;B79</f>
        <v/>
      </c>
      <c r="L79" s="85">
        <f>IFERROR(XLOOKUP(K79,'Activity Settings'!$M$2:$M$200,'Activity Settings'!$J$2:$J$200),0)</f>
        <v/>
      </c>
      <c r="M79" s="80">
        <f>IFERROR(XLOOKUP(K79,'Activity Settings'!$M$2:$M$200,'Activity Settings'!$L$2:$L$200),"Knapsack")</f>
        <v/>
      </c>
      <c r="N79" s="86">
        <f>IFERROR(XLOOKUP(J79&amp;"|"&amp;M79,Rates!$E$2:$E$13,Rates!$C$2:$C$13),0)</f>
        <v/>
      </c>
      <c r="O79" s="86">
        <f>L79*N79</f>
        <v/>
      </c>
    </row>
    <row r="80">
      <c r="A80" s="79" t="inlineStr">
        <is>
          <t>Scaled Rollout and Adoption</t>
        </is>
      </c>
      <c r="B80" s="79" t="inlineStr">
        <is>
          <t>Cloud authoring setup and testing</t>
        </is>
      </c>
      <c r="C80" s="79" t="inlineStr">
        <is>
          <t>Configure cloud authoring environment</t>
        </is>
      </c>
      <c r="D80" s="79" t="n"/>
      <c r="E80" s="79" t="n"/>
      <c r="F80" s="79" t="inlineStr">
        <is>
          <t>Senior Solutions Engineer</t>
        </is>
      </c>
      <c r="G80" s="80" t="inlineStr">
        <is>
          <t>Knapsack</t>
        </is>
      </c>
      <c r="H80" s="80" t="inlineStr">
        <is>
          <t>Engineer</t>
        </is>
      </c>
      <c r="I80" s="80" t="inlineStr">
        <is>
          <t>25–28</t>
        </is>
      </c>
      <c r="J80" s="79">
        <f>IFERROR(XLOOKUP(H80,'Lookups - JourneyDeployment'!$K$3:$K$7,'Lookups - JourneyDeployment'!$L$3:$L$7),"")</f>
        <v/>
      </c>
      <c r="K80" s="80">
        <f>A80&amp;"|"&amp;B80</f>
        <v/>
      </c>
      <c r="L80" s="85">
        <f>IFERROR(XLOOKUP(K80,'Activity Settings'!$M$2:$M$200,'Activity Settings'!$J$2:$J$200),0)</f>
        <v/>
      </c>
      <c r="M80" s="80">
        <f>IFERROR(XLOOKUP(K80,'Activity Settings'!$M$2:$M$200,'Activity Settings'!$L$2:$L$200),"Knapsack")</f>
        <v/>
      </c>
      <c r="N80" s="86">
        <f>IFERROR(XLOOKUP(J80&amp;"|"&amp;M80,Rates!$E$2:$E$13,Rates!$C$2:$C$13),0)</f>
        <v/>
      </c>
      <c r="O80" s="86">
        <f>L80*N80</f>
        <v/>
      </c>
    </row>
    <row r="81">
      <c r="A81" s="79" t="inlineStr">
        <is>
          <t>Scaled Rollout and Adoption</t>
        </is>
      </c>
      <c r="B81" s="79" t="inlineStr">
        <is>
          <t>Cloud authoring setup and testing</t>
        </is>
      </c>
      <c r="C81" s="79" t="inlineStr">
        <is>
          <t>Migrate initial content set</t>
        </is>
      </c>
      <c r="D81" s="79" t="n"/>
      <c r="E81" s="79" t="n"/>
      <c r="F81" s="79" t="inlineStr">
        <is>
          <t>Senior Solutions Engineer</t>
        </is>
      </c>
      <c r="G81" s="80" t="inlineStr">
        <is>
          <t>Knapsack</t>
        </is>
      </c>
      <c r="H81" s="80" t="inlineStr">
        <is>
          <t>Engineer</t>
        </is>
      </c>
      <c r="I81" s="80" t="inlineStr">
        <is>
          <t>25–28</t>
        </is>
      </c>
      <c r="J81" s="79">
        <f>IFERROR(XLOOKUP(H81,'Lookups - JourneyDeployment'!$K$3:$K$7,'Lookups - JourneyDeployment'!$L$3:$L$7),"")</f>
        <v/>
      </c>
      <c r="K81" s="80">
        <f>A81&amp;"|"&amp;B81</f>
        <v/>
      </c>
      <c r="L81" s="85">
        <f>IFERROR(XLOOKUP(K81,'Activity Settings'!$M$2:$M$200,'Activity Settings'!$J$2:$J$200),0)</f>
        <v/>
      </c>
      <c r="M81" s="80">
        <f>IFERROR(XLOOKUP(K81,'Activity Settings'!$M$2:$M$200,'Activity Settings'!$L$2:$L$200),"Knapsack")</f>
        <v/>
      </c>
      <c r="N81" s="86">
        <f>IFERROR(XLOOKUP(J81&amp;"|"&amp;M81,Rates!$E$2:$E$13,Rates!$C$2:$C$13),0)</f>
        <v/>
      </c>
      <c r="O81" s="86">
        <f>L81*N81</f>
        <v/>
      </c>
    </row>
    <row r="82">
      <c r="A82" s="79" t="inlineStr">
        <is>
          <t>Scaled Rollout and Adoption</t>
        </is>
      </c>
      <c r="B82" s="79" t="inlineStr">
        <is>
          <t>Cloud authoring setup and testing</t>
        </is>
      </c>
      <c r="C82" s="79" t="inlineStr">
        <is>
          <t>Validate performance and permissions</t>
        </is>
      </c>
      <c r="D82" s="79" t="n"/>
      <c r="E82" s="79" t="n"/>
      <c r="F82" s="79" t="inlineStr">
        <is>
          <t>Senior Solutions Engineer</t>
        </is>
      </c>
      <c r="G82" s="80" t="inlineStr">
        <is>
          <t>Knapsack</t>
        </is>
      </c>
      <c r="H82" s="80" t="inlineStr">
        <is>
          <t>Engineer</t>
        </is>
      </c>
      <c r="I82" s="80" t="inlineStr">
        <is>
          <t>25–28</t>
        </is>
      </c>
      <c r="J82" s="79">
        <f>IFERROR(XLOOKUP(H82,'Lookups - JourneyDeployment'!$K$3:$K$7,'Lookups - JourneyDeployment'!$L$3:$L$7),"")</f>
        <v/>
      </c>
      <c r="K82" s="80">
        <f>A82&amp;"|"&amp;B82</f>
        <v/>
      </c>
      <c r="L82" s="85">
        <f>IFERROR(XLOOKUP(K82,'Activity Settings'!$M$2:$M$200,'Activity Settings'!$J$2:$J$200),0)</f>
        <v/>
      </c>
      <c r="M82" s="80">
        <f>IFERROR(XLOOKUP(K82,'Activity Settings'!$M$2:$M$200,'Activity Settings'!$L$2:$L$200),"Knapsack")</f>
        <v/>
      </c>
      <c r="N82" s="86">
        <f>IFERROR(XLOOKUP(J82&amp;"|"&amp;M82,Rates!$E$2:$E$13,Rates!$C$2:$C$13),0)</f>
        <v/>
      </c>
      <c r="O82" s="86">
        <f>L82*N82</f>
        <v/>
      </c>
    </row>
    <row r="83">
      <c r="A83" s="79" t="inlineStr">
        <is>
          <t>Scaled Rollout and Adoption</t>
        </is>
      </c>
      <c r="B83" s="79" t="inlineStr">
        <is>
          <t>Cloud authoring setup and testing</t>
        </is>
      </c>
      <c r="C83" s="79" t="inlineStr">
        <is>
          <t>Document validation results</t>
        </is>
      </c>
      <c r="D83" s="79" t="inlineStr">
        <is>
          <t>Cloud Authoring Validation</t>
        </is>
      </c>
      <c r="E83" s="79" t="inlineStr">
        <is>
          <t>Setup and validate authoring in cloud environments.</t>
        </is>
      </c>
      <c r="F83" s="79" t="inlineStr">
        <is>
          <t>Senior Solutions Engineer</t>
        </is>
      </c>
      <c r="G83" s="80" t="inlineStr">
        <is>
          <t>Knapsack</t>
        </is>
      </c>
      <c r="H83" s="80" t="inlineStr">
        <is>
          <t>Engineer</t>
        </is>
      </c>
      <c r="I83" s="80" t="inlineStr">
        <is>
          <t>25–28</t>
        </is>
      </c>
      <c r="J83" s="79">
        <f>IFERROR(XLOOKUP(H83,'Lookups - JourneyDeployment'!$K$3:$K$7,'Lookups - JourneyDeployment'!$L$3:$L$7),"")</f>
        <v/>
      </c>
      <c r="K83" s="80">
        <f>A83&amp;"|"&amp;B83</f>
        <v/>
      </c>
      <c r="L83" s="85">
        <f>IFERROR(XLOOKUP(K83,'Activity Settings'!$M$2:$M$200,'Activity Settings'!$J$2:$J$200),0)</f>
        <v/>
      </c>
      <c r="M83" s="80">
        <f>IFERROR(XLOOKUP(K83,'Activity Settings'!$M$2:$M$200,'Activity Settings'!$L$2:$L$200),"Knapsack")</f>
        <v/>
      </c>
      <c r="N83" s="86">
        <f>IFERROR(XLOOKUP(J83&amp;"|"&amp;M83,Rates!$E$2:$E$13,Rates!$C$2:$C$13),0)</f>
        <v/>
      </c>
      <c r="O83" s="86">
        <f>L83*N83</f>
        <v/>
      </c>
    </row>
    <row r="84">
      <c r="A84" s="79" t="inlineStr">
        <is>
          <t>Scaled Rollout and Adoption</t>
        </is>
      </c>
      <c r="B84" s="79" t="inlineStr">
        <is>
          <t>SSO setup and testing</t>
        </is>
      </c>
      <c r="C84" s="79" t="inlineStr">
        <is>
          <t>Integrate with Adobe’s identity provider</t>
        </is>
      </c>
      <c r="D84" s="79" t="n"/>
      <c r="E84" s="79" t="n"/>
      <c r="F84" s="79" t="inlineStr">
        <is>
          <t>Subject Matter Expert</t>
        </is>
      </c>
      <c r="G84" s="80" t="inlineStr">
        <is>
          <t>Knapsack</t>
        </is>
      </c>
      <c r="H84" s="80" t="inlineStr">
        <is>
          <t>SME</t>
        </is>
      </c>
      <c r="I84" s="80" t="inlineStr">
        <is>
          <t>25–28</t>
        </is>
      </c>
      <c r="J84" s="79">
        <f>IFERROR(XLOOKUP(H84,'Lookups - JourneyDeployment'!$K$3:$K$7,'Lookups - JourneyDeployment'!$L$3:$L$7),"")</f>
        <v/>
      </c>
      <c r="K84" s="80">
        <f>A84&amp;"|"&amp;B84</f>
        <v/>
      </c>
      <c r="L84" s="85">
        <f>IFERROR(XLOOKUP(K84,'Activity Settings'!$M$2:$M$200,'Activity Settings'!$J$2:$J$200),0)</f>
        <v/>
      </c>
      <c r="M84" s="80">
        <f>IFERROR(XLOOKUP(K84,'Activity Settings'!$M$2:$M$200,'Activity Settings'!$L$2:$L$200),"Knapsack")</f>
        <v/>
      </c>
      <c r="N84" s="86">
        <f>IFERROR(XLOOKUP(J84&amp;"|"&amp;M84,Rates!$E$2:$E$13,Rates!$C$2:$C$13),0)</f>
        <v/>
      </c>
      <c r="O84" s="86">
        <f>L84*N84</f>
        <v/>
      </c>
    </row>
    <row r="85">
      <c r="A85" s="79" t="inlineStr">
        <is>
          <t>Scaled Rollout and Adoption</t>
        </is>
      </c>
      <c r="B85" s="79" t="inlineStr">
        <is>
          <t>SSO setup and testing</t>
        </is>
      </c>
      <c r="C85" s="79" t="inlineStr">
        <is>
          <t>Test authentication flow and failover</t>
        </is>
      </c>
      <c r="D85" s="79" t="n"/>
      <c r="E85" s="79" t="n"/>
      <c r="F85" s="79" t="inlineStr">
        <is>
          <t>Subject Matter Expert</t>
        </is>
      </c>
      <c r="G85" s="80" t="inlineStr">
        <is>
          <t>Knapsack</t>
        </is>
      </c>
      <c r="H85" s="80" t="inlineStr">
        <is>
          <t>SME</t>
        </is>
      </c>
      <c r="I85" s="80" t="inlineStr">
        <is>
          <t>25–28</t>
        </is>
      </c>
      <c r="J85" s="79">
        <f>IFERROR(XLOOKUP(H85,'Lookups - JourneyDeployment'!$K$3:$K$7,'Lookups - JourneyDeployment'!$L$3:$L$7),"")</f>
        <v/>
      </c>
      <c r="K85" s="80">
        <f>A85&amp;"|"&amp;B85</f>
        <v/>
      </c>
      <c r="L85" s="85">
        <f>IFERROR(XLOOKUP(K85,'Activity Settings'!$M$2:$M$200,'Activity Settings'!$J$2:$J$200),0)</f>
        <v/>
      </c>
      <c r="M85" s="80">
        <f>IFERROR(XLOOKUP(K85,'Activity Settings'!$M$2:$M$200,'Activity Settings'!$L$2:$L$200),"Knapsack")</f>
        <v/>
      </c>
      <c r="N85" s="86">
        <f>IFERROR(XLOOKUP(J85&amp;"|"&amp;M85,Rates!$E$2:$E$13,Rates!$C$2:$C$13),0)</f>
        <v/>
      </c>
      <c r="O85" s="86">
        <f>L85*N85</f>
        <v/>
      </c>
    </row>
    <row r="86">
      <c r="A86" s="79" t="inlineStr">
        <is>
          <t>Scaled Rollout and Adoption</t>
        </is>
      </c>
      <c r="B86" s="79" t="inlineStr">
        <is>
          <t>SSO setup and testing</t>
        </is>
      </c>
      <c r="C86" s="79" t="inlineStr">
        <is>
          <t>Validate group mapping</t>
        </is>
      </c>
      <c r="D86" s="79" t="n"/>
      <c r="E86" s="79" t="n"/>
      <c r="F86" s="79" t="inlineStr">
        <is>
          <t>Subject Matter Expert</t>
        </is>
      </c>
      <c r="G86" s="80" t="inlineStr">
        <is>
          <t>Knapsack</t>
        </is>
      </c>
      <c r="H86" s="80" t="inlineStr">
        <is>
          <t>SME</t>
        </is>
      </c>
      <c r="I86" s="80" t="inlineStr">
        <is>
          <t>25–28</t>
        </is>
      </c>
      <c r="J86" s="79">
        <f>IFERROR(XLOOKUP(H86,'Lookups - JourneyDeployment'!$K$3:$K$7,'Lookups - JourneyDeployment'!$L$3:$L$7),"")</f>
        <v/>
      </c>
      <c r="K86" s="80">
        <f>A86&amp;"|"&amp;B86</f>
        <v/>
      </c>
      <c r="L86" s="85">
        <f>IFERROR(XLOOKUP(K86,'Activity Settings'!$M$2:$M$200,'Activity Settings'!$J$2:$J$200),0)</f>
        <v/>
      </c>
      <c r="M86" s="80">
        <f>IFERROR(XLOOKUP(K86,'Activity Settings'!$M$2:$M$200,'Activity Settings'!$L$2:$L$200),"Knapsack")</f>
        <v/>
      </c>
      <c r="N86" s="86">
        <f>IFERROR(XLOOKUP(J86&amp;"|"&amp;M86,Rates!$E$2:$E$13,Rates!$C$2:$C$13),0)</f>
        <v/>
      </c>
      <c r="O86" s="86">
        <f>L86*N86</f>
        <v/>
      </c>
    </row>
    <row r="87">
      <c r="A87" s="79" t="inlineStr">
        <is>
          <t>Scaled Rollout and Adoption</t>
        </is>
      </c>
      <c r="B87" s="79" t="inlineStr">
        <is>
          <t>SSO setup and testing</t>
        </is>
      </c>
      <c r="C87" s="79" t="inlineStr">
        <is>
          <t>Document SSO integration results</t>
        </is>
      </c>
      <c r="D87" s="79" t="inlineStr">
        <is>
          <t>SSO Integration Checklist</t>
        </is>
      </c>
      <c r="E87" s="79" t="inlineStr">
        <is>
          <t>Configure and test single sign-on with enterprise identity provider.</t>
        </is>
      </c>
      <c r="F87" s="79" t="inlineStr">
        <is>
          <t>Subject Matter Expert</t>
        </is>
      </c>
      <c r="G87" s="80" t="inlineStr">
        <is>
          <t>Knapsack</t>
        </is>
      </c>
      <c r="H87" s="80" t="inlineStr">
        <is>
          <t>SME</t>
        </is>
      </c>
      <c r="I87" s="80" t="inlineStr">
        <is>
          <t>25–28</t>
        </is>
      </c>
      <c r="J87" s="79">
        <f>IFERROR(XLOOKUP(H87,'Lookups - JourneyDeployment'!$K$3:$K$7,'Lookups - JourneyDeployment'!$L$3:$L$7),"")</f>
        <v/>
      </c>
      <c r="K87" s="80">
        <f>A87&amp;"|"&amp;B87</f>
        <v/>
      </c>
      <c r="L87" s="85">
        <f>IFERROR(XLOOKUP(K87,'Activity Settings'!$M$2:$M$200,'Activity Settings'!$J$2:$J$200),0)</f>
        <v/>
      </c>
      <c r="M87" s="80">
        <f>IFERROR(XLOOKUP(K87,'Activity Settings'!$M$2:$M$200,'Activity Settings'!$L$2:$L$200),"Knapsack")</f>
        <v/>
      </c>
      <c r="N87" s="86">
        <f>IFERROR(XLOOKUP(J87&amp;"|"&amp;M87,Rates!$E$2:$E$13,Rates!$C$2:$C$13),0)</f>
        <v/>
      </c>
      <c r="O87" s="86">
        <f>L87*N87</f>
        <v/>
      </c>
    </row>
    <row r="88">
      <c r="A88" s="79" t="inlineStr">
        <is>
          <t>Scaled Rollout and Adoption</t>
        </is>
      </c>
      <c r="B88" s="79" t="inlineStr">
        <is>
          <t>Training - Eng / UX / Partners</t>
        </is>
      </c>
      <c r="C88" s="79" t="inlineStr">
        <is>
          <t>Develop unified curriculum</t>
        </is>
      </c>
      <c r="D88" s="79" t="n"/>
      <c r="E88" s="79" t="n"/>
      <c r="F88" s="79" t="inlineStr">
        <is>
          <t>Senior Solutions Engineer</t>
        </is>
      </c>
      <c r="G88" s="80" t="inlineStr">
        <is>
          <t>Adobe</t>
        </is>
      </c>
      <c r="H88" s="80" t="inlineStr">
        <is>
          <t>Engineer</t>
        </is>
      </c>
      <c r="I88" s="80" t="inlineStr">
        <is>
          <t>29–32</t>
        </is>
      </c>
      <c r="J88" s="79">
        <f>IFERROR(XLOOKUP(H88,'Lookups - JourneyDeployment'!$K$3:$K$7,'Lookups - JourneyDeployment'!$L$3:$L$7),"")</f>
        <v/>
      </c>
      <c r="K88" s="80">
        <f>A88&amp;"|"&amp;B88</f>
        <v/>
      </c>
      <c r="L88" s="85">
        <f>IFERROR(XLOOKUP(K88,'Activity Settings'!$M$2:$M$200,'Activity Settings'!$J$2:$J$200),0)</f>
        <v/>
      </c>
      <c r="M88" s="80">
        <f>IFERROR(XLOOKUP(K88,'Activity Settings'!$M$2:$M$200,'Activity Settings'!$L$2:$L$200),"Knapsack")</f>
        <v/>
      </c>
      <c r="N88" s="86">
        <f>IFERROR(XLOOKUP(J88&amp;"|"&amp;M88,Rates!$E$2:$E$13,Rates!$C$2:$C$13),0)</f>
        <v/>
      </c>
      <c r="O88" s="86">
        <f>L88*N88</f>
        <v/>
      </c>
    </row>
    <row r="89">
      <c r="A89" s="79" t="inlineStr">
        <is>
          <t>Scaled Rollout and Adoption</t>
        </is>
      </c>
      <c r="B89" s="79" t="inlineStr">
        <is>
          <t>Training - Eng / UX / Partners</t>
        </is>
      </c>
      <c r="C89" s="79" t="inlineStr">
        <is>
          <t>Schedule and deliver training</t>
        </is>
      </c>
      <c r="D89" s="79" t="n"/>
      <c r="E89" s="79" t="n"/>
      <c r="F89" s="79" t="inlineStr">
        <is>
          <t>Senior Solutions Engineer</t>
        </is>
      </c>
      <c r="G89" s="80" t="inlineStr">
        <is>
          <t>Adobe</t>
        </is>
      </c>
      <c r="H89" s="80" t="inlineStr">
        <is>
          <t>Engineer</t>
        </is>
      </c>
      <c r="I89" s="80" t="inlineStr">
        <is>
          <t>29–32</t>
        </is>
      </c>
      <c r="J89" s="79">
        <f>IFERROR(XLOOKUP(H89,'Lookups - JourneyDeployment'!$K$3:$K$7,'Lookups - JourneyDeployment'!$L$3:$L$7),"")</f>
        <v/>
      </c>
      <c r="K89" s="80">
        <f>A89&amp;"|"&amp;B89</f>
        <v/>
      </c>
      <c r="L89" s="85">
        <f>IFERROR(XLOOKUP(K89,'Activity Settings'!$M$2:$M$200,'Activity Settings'!$J$2:$J$200),0)</f>
        <v/>
      </c>
      <c r="M89" s="80">
        <f>IFERROR(XLOOKUP(K89,'Activity Settings'!$M$2:$M$200,'Activity Settings'!$L$2:$L$200),"Knapsack")</f>
        <v/>
      </c>
      <c r="N89" s="86">
        <f>IFERROR(XLOOKUP(J89&amp;"|"&amp;M89,Rates!$E$2:$E$13,Rates!$C$2:$C$13),0)</f>
        <v/>
      </c>
      <c r="O89" s="86">
        <f>L89*N89</f>
        <v/>
      </c>
    </row>
    <row r="90">
      <c r="A90" s="79" t="inlineStr">
        <is>
          <t>Scaled Rollout and Adoption</t>
        </is>
      </c>
      <c r="B90" s="79" t="inlineStr">
        <is>
          <t>Training - Eng / UX / Partners</t>
        </is>
      </c>
      <c r="C90" s="79" t="inlineStr">
        <is>
          <t>Track attendance and feedback</t>
        </is>
      </c>
      <c r="D90" s="79" t="n"/>
      <c r="E90" s="79" t="n"/>
      <c r="F90" s="79" t="inlineStr">
        <is>
          <t>Senior Solutions Engineer</t>
        </is>
      </c>
      <c r="G90" s="80" t="inlineStr">
        <is>
          <t>Adobe</t>
        </is>
      </c>
      <c r="H90" s="80" t="inlineStr">
        <is>
          <t>Engineer</t>
        </is>
      </c>
      <c r="I90" s="80" t="inlineStr">
        <is>
          <t>29–32</t>
        </is>
      </c>
      <c r="J90" s="79">
        <f>IFERROR(XLOOKUP(H90,'Lookups - JourneyDeployment'!$K$3:$K$7,'Lookups - JourneyDeployment'!$L$3:$L$7),"")</f>
        <v/>
      </c>
      <c r="K90" s="80">
        <f>A90&amp;"|"&amp;B90</f>
        <v/>
      </c>
      <c r="L90" s="85">
        <f>IFERROR(XLOOKUP(K90,'Activity Settings'!$M$2:$M$200,'Activity Settings'!$J$2:$J$200),0)</f>
        <v/>
      </c>
      <c r="M90" s="80">
        <f>IFERROR(XLOOKUP(K90,'Activity Settings'!$M$2:$M$200,'Activity Settings'!$L$2:$L$200),"Knapsack")</f>
        <v/>
      </c>
      <c r="N90" s="86">
        <f>IFERROR(XLOOKUP(J90&amp;"|"&amp;M90,Rates!$E$2:$E$13,Rates!$C$2:$C$13),0)</f>
        <v/>
      </c>
      <c r="O90" s="86">
        <f>L90*N90</f>
        <v/>
      </c>
    </row>
    <row r="91">
      <c r="A91" s="79" t="inlineStr">
        <is>
          <t>Scaled Rollout and Adoption</t>
        </is>
      </c>
      <c r="B91" s="79" t="inlineStr">
        <is>
          <t>Training - Eng / UX / Partners</t>
        </is>
      </c>
      <c r="C91" s="79" t="inlineStr">
        <is>
          <t>Refine enablement materials</t>
        </is>
      </c>
      <c r="D91" s="79" t="inlineStr">
        <is>
          <t>Unified Enablement Curriculum</t>
        </is>
      </c>
      <c r="E91" s="79" t="inlineStr">
        <is>
          <t>Integrated training for engineering, UX, and partner audiences.</t>
        </is>
      </c>
      <c r="F91" s="79" t="inlineStr">
        <is>
          <t>Senior Solutions Engineer</t>
        </is>
      </c>
      <c r="G91" s="80" t="inlineStr">
        <is>
          <t>Adobe</t>
        </is>
      </c>
      <c r="H91" s="80" t="inlineStr">
        <is>
          <t>Engineer</t>
        </is>
      </c>
      <c r="I91" s="80" t="inlineStr">
        <is>
          <t>29–32</t>
        </is>
      </c>
      <c r="J91" s="79">
        <f>IFERROR(XLOOKUP(H91,'Lookups - JourneyDeployment'!$K$3:$K$7,'Lookups - JourneyDeployment'!$L$3:$L$7),"")</f>
        <v/>
      </c>
      <c r="K91" s="80">
        <f>A91&amp;"|"&amp;B91</f>
        <v/>
      </c>
      <c r="L91" s="85">
        <f>IFERROR(XLOOKUP(K91,'Activity Settings'!$M$2:$M$200,'Activity Settings'!$J$2:$J$200),0)</f>
        <v/>
      </c>
      <c r="M91" s="80">
        <f>IFERROR(XLOOKUP(K91,'Activity Settings'!$M$2:$M$200,'Activity Settings'!$L$2:$L$200),"Knapsack")</f>
        <v/>
      </c>
      <c r="N91" s="86">
        <f>IFERROR(XLOOKUP(J91&amp;"|"&amp;M91,Rates!$E$2:$E$13,Rates!$C$2:$C$13),0)</f>
        <v/>
      </c>
      <c r="O91" s="86">
        <f>L91*N91</f>
        <v/>
      </c>
    </row>
    <row r="92">
      <c r="A92" s="79" t="inlineStr">
        <is>
          <t>Scaled Rollout and Adoption</t>
        </is>
      </c>
      <c r="B92" s="79" t="inlineStr">
        <is>
          <t>Workflow Diagrams</t>
        </is>
      </c>
      <c r="C92" s="79" t="inlineStr">
        <is>
          <t>Document self-service and contribution workflows</t>
        </is>
      </c>
      <c r="D92" s="79" t="n"/>
      <c r="E92" s="79" t="n"/>
      <c r="F92" s="79" t="inlineStr">
        <is>
          <t>Senior Solutions Engineer</t>
        </is>
      </c>
      <c r="G92" s="80" t="inlineStr">
        <is>
          <t>Knapsack</t>
        </is>
      </c>
      <c r="H92" s="80" t="inlineStr">
        <is>
          <t>Engineer</t>
        </is>
      </c>
      <c r="I92" s="80" t="inlineStr">
        <is>
          <t>21–24</t>
        </is>
      </c>
      <c r="J92" s="79">
        <f>IFERROR(XLOOKUP(H92,'Lookups - JourneyDeployment'!$K$3:$K$7,'Lookups - JourneyDeployment'!$L$3:$L$7),"")</f>
        <v/>
      </c>
      <c r="K92" s="80">
        <f>A92&amp;"|"&amp;B92</f>
        <v/>
      </c>
      <c r="L92" s="85">
        <f>IFERROR(XLOOKUP(K92,'Activity Settings'!$M$2:$M$200,'Activity Settings'!$J$2:$J$200),0)</f>
        <v/>
      </c>
      <c r="M92" s="80">
        <f>IFERROR(XLOOKUP(K92,'Activity Settings'!$M$2:$M$200,'Activity Settings'!$L$2:$L$200),"Knapsack")</f>
        <v/>
      </c>
      <c r="N92" s="86">
        <f>IFERROR(XLOOKUP(J92&amp;"|"&amp;M92,Rates!$E$2:$E$13,Rates!$C$2:$C$13),0)</f>
        <v/>
      </c>
      <c r="O92" s="86">
        <f>L92*N92</f>
        <v/>
      </c>
    </row>
    <row r="93">
      <c r="A93" s="79" t="inlineStr">
        <is>
          <t>Scaled Rollout and Adoption</t>
        </is>
      </c>
      <c r="B93" s="79" t="inlineStr">
        <is>
          <t>Workflow Diagrams</t>
        </is>
      </c>
      <c r="C93" s="79" t="inlineStr">
        <is>
          <t>Create FigJam diagrams</t>
        </is>
      </c>
      <c r="D93" s="79" t="n"/>
      <c r="E93" s="79" t="n"/>
      <c r="F93" s="79" t="inlineStr">
        <is>
          <t>Senior Solutions Engineer</t>
        </is>
      </c>
      <c r="G93" s="80" t="inlineStr">
        <is>
          <t>Knapsack</t>
        </is>
      </c>
      <c r="H93" s="80" t="inlineStr">
        <is>
          <t>Engineer</t>
        </is>
      </c>
      <c r="I93" s="80" t="inlineStr">
        <is>
          <t>21–24</t>
        </is>
      </c>
      <c r="J93" s="79">
        <f>IFERROR(XLOOKUP(H93,'Lookups - JourneyDeployment'!$K$3:$K$7,'Lookups - JourneyDeployment'!$L$3:$L$7),"")</f>
        <v/>
      </c>
      <c r="K93" s="80">
        <f>A93&amp;"|"&amp;B93</f>
        <v/>
      </c>
      <c r="L93" s="85">
        <f>IFERROR(XLOOKUP(K93,'Activity Settings'!$M$2:$M$200,'Activity Settings'!$J$2:$J$200),0)</f>
        <v/>
      </c>
      <c r="M93" s="80">
        <f>IFERROR(XLOOKUP(K93,'Activity Settings'!$M$2:$M$200,'Activity Settings'!$L$2:$L$200),"Knapsack")</f>
        <v/>
      </c>
      <c r="N93" s="86">
        <f>IFERROR(XLOOKUP(J93&amp;"|"&amp;M93,Rates!$E$2:$E$13,Rates!$C$2:$C$13),0)</f>
        <v/>
      </c>
      <c r="O93" s="86">
        <f>L93*N93</f>
        <v/>
      </c>
    </row>
    <row r="94">
      <c r="A94" s="79" t="inlineStr">
        <is>
          <t>Scaled Rollout and Adoption</t>
        </is>
      </c>
      <c r="B94" s="79" t="inlineStr">
        <is>
          <t>Workflow Diagrams</t>
        </is>
      </c>
      <c r="C94" s="79" t="inlineStr">
        <is>
          <t>Review with design ops and engineering</t>
        </is>
      </c>
      <c r="D94" s="79" t="n"/>
      <c r="E94" s="79" t="n"/>
      <c r="F94" s="79" t="inlineStr">
        <is>
          <t>Senior Solutions Engineer</t>
        </is>
      </c>
      <c r="G94" s="80" t="inlineStr">
        <is>
          <t>Knapsack</t>
        </is>
      </c>
      <c r="H94" s="80" t="inlineStr">
        <is>
          <t>Engineer</t>
        </is>
      </c>
      <c r="I94" s="80" t="inlineStr">
        <is>
          <t>21–24</t>
        </is>
      </c>
      <c r="J94" s="79">
        <f>IFERROR(XLOOKUP(H94,'Lookups - JourneyDeployment'!$K$3:$K$7,'Lookups - JourneyDeployment'!$L$3:$L$7),"")</f>
        <v/>
      </c>
      <c r="K94" s="80">
        <f>A94&amp;"|"&amp;B94</f>
        <v/>
      </c>
      <c r="L94" s="85">
        <f>IFERROR(XLOOKUP(K94,'Activity Settings'!$M$2:$M$200,'Activity Settings'!$J$2:$J$200),0)</f>
        <v/>
      </c>
      <c r="M94" s="80">
        <f>IFERROR(XLOOKUP(K94,'Activity Settings'!$M$2:$M$200,'Activity Settings'!$L$2:$L$200),"Knapsack")</f>
        <v/>
      </c>
      <c r="N94" s="86">
        <f>IFERROR(XLOOKUP(J94&amp;"|"&amp;M94,Rates!$E$2:$E$13,Rates!$C$2:$C$13),0)</f>
        <v/>
      </c>
      <c r="O94" s="86">
        <f>L94*N94</f>
        <v/>
      </c>
    </row>
    <row r="95">
      <c r="A95" s="79" t="inlineStr">
        <is>
          <t>Scaled Rollout and Adoption</t>
        </is>
      </c>
      <c r="B95" s="79" t="inlineStr">
        <is>
          <t>Workflow Diagrams</t>
        </is>
      </c>
      <c r="C95" s="79" t="inlineStr">
        <is>
          <t>Publish workflow package</t>
        </is>
      </c>
      <c r="D95" s="79" t="inlineStr">
        <is>
          <t>Workflow Documentation (FigJam, Token Studio, Contribution Workflows)</t>
        </is>
      </c>
      <c r="E95" s="79" t="inlineStr">
        <is>
          <t>Map self-service contribution and implementation workflows.</t>
        </is>
      </c>
      <c r="F95" s="79" t="inlineStr">
        <is>
          <t>Senior Solutions Engineer</t>
        </is>
      </c>
      <c r="G95" s="80" t="inlineStr">
        <is>
          <t>Knapsack</t>
        </is>
      </c>
      <c r="H95" s="80" t="inlineStr">
        <is>
          <t>Engineer</t>
        </is>
      </c>
      <c r="I95" s="80" t="inlineStr">
        <is>
          <t>21–24</t>
        </is>
      </c>
      <c r="J95" s="79">
        <f>IFERROR(XLOOKUP(H95,'Lookups - JourneyDeployment'!$K$3:$K$7,'Lookups - JourneyDeployment'!$L$3:$L$7),"")</f>
        <v/>
      </c>
      <c r="K95" s="80">
        <f>A95&amp;"|"&amp;B95</f>
        <v/>
      </c>
      <c r="L95" s="85">
        <f>IFERROR(XLOOKUP(K95,'Activity Settings'!$M$2:$M$200,'Activity Settings'!$J$2:$J$200),0)</f>
        <v/>
      </c>
      <c r="M95" s="80">
        <f>IFERROR(XLOOKUP(K95,'Activity Settings'!$M$2:$M$200,'Activity Settings'!$L$2:$L$200),"Knapsack")</f>
        <v/>
      </c>
      <c r="N95" s="86">
        <f>IFERROR(XLOOKUP(J95&amp;"|"&amp;M95,Rates!$E$2:$E$13,Rates!$C$2:$C$13),0)</f>
        <v/>
      </c>
      <c r="O95" s="86">
        <f>L95*N95</f>
        <v/>
      </c>
    </row>
    <row r="96">
      <c r="A96" s="79" t="inlineStr">
        <is>
          <t>Scaled Rollout and Adoption</t>
        </is>
      </c>
      <c r="B96" s="79" t="inlineStr">
        <is>
          <t>Content planning and integration</t>
        </is>
      </c>
      <c r="C96" s="79" t="inlineStr">
        <is>
          <t>Map documentation inventory</t>
        </is>
      </c>
      <c r="D96" s="79" t="n"/>
      <c r="E96" s="79" t="n"/>
      <c r="F96" s="79" t="inlineStr">
        <is>
          <t>Senior Solutions Engineer</t>
        </is>
      </c>
      <c r="G96" s="80" t="inlineStr">
        <is>
          <t>Knapsack</t>
        </is>
      </c>
      <c r="H96" s="80" t="inlineStr">
        <is>
          <t>Engineer</t>
        </is>
      </c>
      <c r="I96" s="80" t="inlineStr">
        <is>
          <t>25–28</t>
        </is>
      </c>
      <c r="J96" s="79">
        <f>IFERROR(XLOOKUP(H96,'Lookups - JourneyDeployment'!$K$3:$K$7,'Lookups - JourneyDeployment'!$L$3:$L$7),"")</f>
        <v/>
      </c>
      <c r="K96" s="80">
        <f>A96&amp;"|"&amp;B96</f>
        <v/>
      </c>
      <c r="L96" s="85">
        <f>IFERROR(XLOOKUP(K96,'Activity Settings'!$M$2:$M$200,'Activity Settings'!$J$2:$J$200),0)</f>
        <v/>
      </c>
      <c r="M96" s="80">
        <f>IFERROR(XLOOKUP(K96,'Activity Settings'!$M$2:$M$200,'Activity Settings'!$L$2:$L$200),"Knapsack")</f>
        <v/>
      </c>
      <c r="N96" s="86">
        <f>IFERROR(XLOOKUP(J96&amp;"|"&amp;M96,Rates!$E$2:$E$13,Rates!$C$2:$C$13),0)</f>
        <v/>
      </c>
      <c r="O96" s="86">
        <f>L96*N96</f>
        <v/>
      </c>
    </row>
    <row r="97">
      <c r="A97" s="79" t="inlineStr">
        <is>
          <t>Scaled Rollout and Adoption</t>
        </is>
      </c>
      <c r="B97" s="79" t="inlineStr">
        <is>
          <t>Content planning and integration</t>
        </is>
      </c>
      <c r="C97" s="79" t="inlineStr">
        <is>
          <t>Create cross-platform implementation guides</t>
        </is>
      </c>
      <c r="D97" s="79" t="n"/>
      <c r="E97" s="79" t="n"/>
      <c r="F97" s="79" t="inlineStr">
        <is>
          <t>Senior Solutions Engineer</t>
        </is>
      </c>
      <c r="G97" s="80" t="inlineStr">
        <is>
          <t>Knapsack</t>
        </is>
      </c>
      <c r="H97" s="80" t="inlineStr">
        <is>
          <t>Engineer</t>
        </is>
      </c>
      <c r="I97" s="80" t="inlineStr">
        <is>
          <t>25–28</t>
        </is>
      </c>
      <c r="J97" s="79">
        <f>IFERROR(XLOOKUP(H97,'Lookups - JourneyDeployment'!$K$3:$K$7,'Lookups - JourneyDeployment'!$L$3:$L$7),"")</f>
        <v/>
      </c>
      <c r="K97" s="80">
        <f>A97&amp;"|"&amp;B97</f>
        <v/>
      </c>
      <c r="L97" s="85">
        <f>IFERROR(XLOOKUP(K97,'Activity Settings'!$M$2:$M$200,'Activity Settings'!$J$2:$J$200),0)</f>
        <v/>
      </c>
      <c r="M97" s="80">
        <f>IFERROR(XLOOKUP(K97,'Activity Settings'!$M$2:$M$200,'Activity Settings'!$L$2:$L$200),"Knapsack")</f>
        <v/>
      </c>
      <c r="N97" s="86">
        <f>IFERROR(XLOOKUP(J97&amp;"|"&amp;M97,Rates!$E$2:$E$13,Rates!$C$2:$C$13),0)</f>
        <v/>
      </c>
      <c r="O97" s="86">
        <f>L97*N97</f>
        <v/>
      </c>
    </row>
    <row r="98">
      <c r="A98" s="79" t="inlineStr">
        <is>
          <t>Scaled Rollout and Adoption</t>
        </is>
      </c>
      <c r="B98" s="79" t="inlineStr">
        <is>
          <t>Content planning and integration</t>
        </is>
      </c>
      <c r="C98" s="79" t="inlineStr">
        <is>
          <t>Validate completeness and consistency</t>
        </is>
      </c>
      <c r="D98" s="79" t="n"/>
      <c r="E98" s="79" t="n"/>
      <c r="F98" s="79" t="inlineStr">
        <is>
          <t>Senior Solutions Engineer</t>
        </is>
      </c>
      <c r="G98" s="80" t="inlineStr">
        <is>
          <t>Knapsack</t>
        </is>
      </c>
      <c r="H98" s="80" t="inlineStr">
        <is>
          <t>Engineer</t>
        </is>
      </c>
      <c r="I98" s="80" t="inlineStr">
        <is>
          <t>25–28</t>
        </is>
      </c>
      <c r="J98" s="79">
        <f>IFERROR(XLOOKUP(H98,'Lookups - JourneyDeployment'!$K$3:$K$7,'Lookups - JourneyDeployment'!$L$3:$L$7),"")</f>
        <v/>
      </c>
      <c r="K98" s="80">
        <f>A98&amp;"|"&amp;B98</f>
        <v/>
      </c>
      <c r="L98" s="85">
        <f>IFERROR(XLOOKUP(K98,'Activity Settings'!$M$2:$M$200,'Activity Settings'!$J$2:$J$200),0)</f>
        <v/>
      </c>
      <c r="M98" s="80">
        <f>IFERROR(XLOOKUP(K98,'Activity Settings'!$M$2:$M$200,'Activity Settings'!$L$2:$L$200),"Knapsack")</f>
        <v/>
      </c>
      <c r="N98" s="86">
        <f>IFERROR(XLOOKUP(J98&amp;"|"&amp;M98,Rates!$E$2:$E$13,Rates!$C$2:$C$13),0)</f>
        <v/>
      </c>
      <c r="O98" s="86">
        <f>L98*N98</f>
        <v/>
      </c>
    </row>
    <row r="99">
      <c r="A99" s="79" t="inlineStr">
        <is>
          <t>Scaled Rollout and Adoption</t>
        </is>
      </c>
      <c r="B99" s="79" t="inlineStr">
        <is>
          <t>Content planning and integration</t>
        </is>
      </c>
      <c r="C99" s="79" t="inlineStr">
        <is>
          <t>Publish documentation set</t>
        </is>
      </c>
      <c r="D99" s="79" t="inlineStr">
        <is>
          <t>Multi-platform Implementation Guides</t>
        </is>
      </c>
      <c r="E99" s="79" t="inlineStr">
        <is>
          <t>Documentation for web, React, iOS, Android implementations.</t>
        </is>
      </c>
      <c r="F99" s="79" t="inlineStr">
        <is>
          <t>Senior Solutions Engineer</t>
        </is>
      </c>
      <c r="G99" s="80" t="inlineStr">
        <is>
          <t>Knapsack</t>
        </is>
      </c>
      <c r="H99" s="80" t="inlineStr">
        <is>
          <t>Engineer</t>
        </is>
      </c>
      <c r="I99" s="80" t="inlineStr">
        <is>
          <t>25–28</t>
        </is>
      </c>
      <c r="J99" s="79">
        <f>IFERROR(XLOOKUP(H99,'Lookups - JourneyDeployment'!$K$3:$K$7,'Lookups - JourneyDeployment'!$L$3:$L$7),"")</f>
        <v/>
      </c>
      <c r="K99" s="80">
        <f>A99&amp;"|"&amp;B99</f>
        <v/>
      </c>
      <c r="L99" s="85">
        <f>IFERROR(XLOOKUP(K99,'Activity Settings'!$M$2:$M$200,'Activity Settings'!$J$2:$J$200),0)</f>
        <v/>
      </c>
      <c r="M99" s="80">
        <f>IFERROR(XLOOKUP(K99,'Activity Settings'!$M$2:$M$200,'Activity Settings'!$L$2:$L$200),"Knapsack")</f>
        <v/>
      </c>
      <c r="N99" s="86">
        <f>IFERROR(XLOOKUP(J99&amp;"|"&amp;M99,Rates!$E$2:$E$13,Rates!$C$2:$C$13),0)</f>
        <v/>
      </c>
      <c r="O99" s="86">
        <f>L99*N99</f>
        <v/>
      </c>
    </row>
    <row r="100">
      <c r="A100" s="79" t="inlineStr">
        <is>
          <t>Scaled Rollout and Adoption</t>
        </is>
      </c>
      <c r="B100" s="79" t="inlineStr">
        <is>
          <t>Advanced Training - Partners + Contribution</t>
        </is>
      </c>
      <c r="C100" s="79" t="inlineStr">
        <is>
          <t>Identify advanced partner cohort</t>
        </is>
      </c>
      <c r="D100" s="79" t="n"/>
      <c r="E100" s="79" t="n"/>
      <c r="F100" s="79" t="inlineStr">
        <is>
          <t>Senior Solutions Engineer</t>
        </is>
      </c>
      <c r="G100" s="80" t="inlineStr">
        <is>
          <t>Adobe</t>
        </is>
      </c>
      <c r="H100" s="80" t="inlineStr">
        <is>
          <t>Engineer</t>
        </is>
      </c>
      <c r="I100" s="80" t="inlineStr">
        <is>
          <t>29–32</t>
        </is>
      </c>
      <c r="J100" s="79">
        <f>IFERROR(XLOOKUP(H100,'Lookups - JourneyDeployment'!$K$3:$K$7,'Lookups - JourneyDeployment'!$L$3:$L$7),"")</f>
        <v/>
      </c>
      <c r="K100" s="80">
        <f>A100&amp;"|"&amp;B100</f>
        <v/>
      </c>
      <c r="L100" s="85">
        <f>IFERROR(XLOOKUP(K100,'Activity Settings'!$M$2:$M$200,'Activity Settings'!$J$2:$J$200),0)</f>
        <v/>
      </c>
      <c r="M100" s="80">
        <f>IFERROR(XLOOKUP(K100,'Activity Settings'!$M$2:$M$200,'Activity Settings'!$L$2:$L$200),"Knapsack")</f>
        <v/>
      </c>
      <c r="N100" s="86">
        <f>IFERROR(XLOOKUP(J100&amp;"|"&amp;M100,Rates!$E$2:$E$13,Rates!$C$2:$C$13),0)</f>
        <v/>
      </c>
      <c r="O100" s="86">
        <f>L100*N100</f>
        <v/>
      </c>
    </row>
    <row r="101">
      <c r="A101" s="79" t="inlineStr">
        <is>
          <t>Scaled Rollout and Adoption</t>
        </is>
      </c>
      <c r="B101" s="79" t="inlineStr">
        <is>
          <t>Advanced Training - Partners + Contribution</t>
        </is>
      </c>
      <c r="C101" s="79" t="inlineStr">
        <is>
          <t>Deliver deep-dive workshops</t>
        </is>
      </c>
      <c r="D101" s="79" t="n"/>
      <c r="E101" s="79" t="n"/>
      <c r="F101" s="79" t="inlineStr">
        <is>
          <t>Senior Solutions Engineer</t>
        </is>
      </c>
      <c r="G101" s="80" t="inlineStr">
        <is>
          <t>Adobe</t>
        </is>
      </c>
      <c r="H101" s="80" t="inlineStr">
        <is>
          <t>Engineer</t>
        </is>
      </c>
      <c r="I101" s="80" t="inlineStr">
        <is>
          <t>29–32</t>
        </is>
      </c>
      <c r="J101" s="79">
        <f>IFERROR(XLOOKUP(H101,'Lookups - JourneyDeployment'!$K$3:$K$7,'Lookups - JourneyDeployment'!$L$3:$L$7),"")</f>
        <v/>
      </c>
      <c r="K101" s="80">
        <f>A101&amp;"|"&amp;B101</f>
        <v/>
      </c>
      <c r="L101" s="85">
        <f>IFERROR(XLOOKUP(K101,'Activity Settings'!$M$2:$M$200,'Activity Settings'!$J$2:$J$200),0)</f>
        <v/>
      </c>
      <c r="M101" s="80">
        <f>IFERROR(XLOOKUP(K101,'Activity Settings'!$M$2:$M$200,'Activity Settings'!$L$2:$L$200),"Knapsack")</f>
        <v/>
      </c>
      <c r="N101" s="86">
        <f>IFERROR(XLOOKUP(J101&amp;"|"&amp;M101,Rates!$E$2:$E$13,Rates!$C$2:$C$13),0)</f>
        <v/>
      </c>
      <c r="O101" s="86">
        <f>L101*N101</f>
        <v/>
      </c>
    </row>
    <row r="102">
      <c r="A102" s="79" t="inlineStr">
        <is>
          <t>Scaled Rollout and Adoption</t>
        </is>
      </c>
      <c r="B102" s="79" t="inlineStr">
        <is>
          <t>Advanced Training - Partners + Contribution</t>
        </is>
      </c>
      <c r="C102" s="79" t="inlineStr">
        <is>
          <t>Assess capability maturity</t>
        </is>
      </c>
      <c r="D102" s="79" t="n"/>
      <c r="E102" s="79" t="n"/>
      <c r="F102" s="79" t="inlineStr">
        <is>
          <t>Senior Solutions Engineer</t>
        </is>
      </c>
      <c r="G102" s="80" t="inlineStr">
        <is>
          <t>Adobe</t>
        </is>
      </c>
      <c r="H102" s="80" t="inlineStr">
        <is>
          <t>Engineer</t>
        </is>
      </c>
      <c r="I102" s="80" t="inlineStr">
        <is>
          <t>29–32</t>
        </is>
      </c>
      <c r="J102" s="79">
        <f>IFERROR(XLOOKUP(H102,'Lookups - JourneyDeployment'!$K$3:$K$7,'Lookups - JourneyDeployment'!$L$3:$L$7),"")</f>
        <v/>
      </c>
      <c r="K102" s="80">
        <f>A102&amp;"|"&amp;B102</f>
        <v/>
      </c>
      <c r="L102" s="85">
        <f>IFERROR(XLOOKUP(K102,'Activity Settings'!$M$2:$M$200,'Activity Settings'!$J$2:$J$200),0)</f>
        <v/>
      </c>
      <c r="M102" s="80">
        <f>IFERROR(XLOOKUP(K102,'Activity Settings'!$M$2:$M$200,'Activity Settings'!$L$2:$L$200),"Knapsack")</f>
        <v/>
      </c>
      <c r="N102" s="86">
        <f>IFERROR(XLOOKUP(J102&amp;"|"&amp;M102,Rates!$E$2:$E$13,Rates!$C$2:$C$13),0)</f>
        <v/>
      </c>
      <c r="O102" s="86">
        <f>L102*N102</f>
        <v/>
      </c>
    </row>
    <row r="103">
      <c r="A103" s="79" t="inlineStr">
        <is>
          <t>Scaled Rollout and Adoption</t>
        </is>
      </c>
      <c r="B103" s="79" t="inlineStr">
        <is>
          <t>Advanced Training - Partners + Contribution</t>
        </is>
      </c>
      <c r="C103" s="79" t="inlineStr">
        <is>
          <t>Recognize high-performing contributors</t>
        </is>
      </c>
      <c r="D103" s="79" t="inlineStr">
        <is>
          <t>Advanced Enablement Program</t>
        </is>
      </c>
      <c r="E103" s="79" t="inlineStr">
        <is>
          <t>Deep-dive enablement for partner contributions.</t>
        </is>
      </c>
      <c r="F103" s="79" t="inlineStr">
        <is>
          <t>Senior Solutions Engineer</t>
        </is>
      </c>
      <c r="G103" s="80" t="inlineStr">
        <is>
          <t>Adobe</t>
        </is>
      </c>
      <c r="H103" s="80" t="inlineStr">
        <is>
          <t>Engineer</t>
        </is>
      </c>
      <c r="I103" s="80" t="inlineStr">
        <is>
          <t>29–32</t>
        </is>
      </c>
      <c r="J103" s="79">
        <f>IFERROR(XLOOKUP(H103,'Lookups - JourneyDeployment'!$K$3:$K$7,'Lookups - JourneyDeployment'!$L$3:$L$7),"")</f>
        <v/>
      </c>
      <c r="K103" s="80">
        <f>A103&amp;"|"&amp;B103</f>
        <v/>
      </c>
      <c r="L103" s="85">
        <f>IFERROR(XLOOKUP(K103,'Activity Settings'!$M$2:$M$200,'Activity Settings'!$J$2:$J$200),0)</f>
        <v/>
      </c>
      <c r="M103" s="80">
        <f>IFERROR(XLOOKUP(K103,'Activity Settings'!$M$2:$M$200,'Activity Settings'!$L$2:$L$200),"Knapsack")</f>
        <v/>
      </c>
      <c r="N103" s="86">
        <f>IFERROR(XLOOKUP(J103&amp;"|"&amp;M103,Rates!$E$2:$E$13,Rates!$C$2:$C$13),0)</f>
        <v/>
      </c>
      <c r="O103" s="86">
        <f>L103*N103</f>
        <v/>
      </c>
    </row>
    <row r="104">
      <c r="A104" s="79" t="inlineStr">
        <is>
          <t>Scaled Rollout and Adoption</t>
        </is>
      </c>
      <c r="B104" s="79" t="inlineStr">
        <is>
          <t>Phase Gate Strategic Recommendations + Documentation</t>
        </is>
      </c>
      <c r="C104" s="79" t="inlineStr">
        <is>
          <t>Review milestone progress</t>
        </is>
      </c>
      <c r="D104" s="79" t="n"/>
      <c r="E104" s="79" t="n"/>
      <c r="F104" s="79" t="inlineStr">
        <is>
          <t>Senior Solutions Engineer</t>
        </is>
      </c>
      <c r="G104" s="80" t="inlineStr">
        <is>
          <t>Knapsack</t>
        </is>
      </c>
      <c r="H104" s="80" t="inlineStr">
        <is>
          <t>Engineer</t>
        </is>
      </c>
      <c r="I104" s="80" t="inlineStr">
        <is>
          <t>21–32</t>
        </is>
      </c>
      <c r="J104" s="79">
        <f>IFERROR(XLOOKUP(H104,'Lookups - JourneyDeployment'!$K$3:$K$7,'Lookups - JourneyDeployment'!$L$3:$L$7),"")</f>
        <v/>
      </c>
      <c r="K104" s="80">
        <f>A104&amp;"|"&amp;B104</f>
        <v/>
      </c>
      <c r="L104" s="85">
        <f>IFERROR(XLOOKUP(K104,'Activity Settings'!$M$2:$M$200,'Activity Settings'!$J$2:$J$200),0)</f>
        <v/>
      </c>
      <c r="M104" s="80">
        <f>IFERROR(XLOOKUP(K104,'Activity Settings'!$M$2:$M$200,'Activity Settings'!$L$2:$L$200),"Knapsack")</f>
        <v/>
      </c>
      <c r="N104" s="86">
        <f>IFERROR(XLOOKUP(J104&amp;"|"&amp;M104,Rates!$E$2:$E$13,Rates!$C$2:$C$13),0)</f>
        <v/>
      </c>
      <c r="O104" s="86">
        <f>L104*N104</f>
        <v/>
      </c>
    </row>
    <row r="105">
      <c r="A105" s="79" t="inlineStr">
        <is>
          <t>Scaled Rollout and Adoption</t>
        </is>
      </c>
      <c r="B105" s="79" t="inlineStr">
        <is>
          <t>Phase Gate Strategic Recommendations + Documentation</t>
        </is>
      </c>
      <c r="C105" s="79" t="inlineStr">
        <is>
          <t>Conduct readiness evaluation</t>
        </is>
      </c>
      <c r="D105" s="79" t="n"/>
      <c r="E105" s="79" t="n"/>
      <c r="F105" s="79" t="inlineStr">
        <is>
          <t>Senior Solutions Engineer</t>
        </is>
      </c>
      <c r="G105" s="80" t="inlineStr">
        <is>
          <t>Knapsack</t>
        </is>
      </c>
      <c r="H105" s="80" t="inlineStr">
        <is>
          <t>Engineer</t>
        </is>
      </c>
      <c r="I105" s="80" t="inlineStr">
        <is>
          <t>21–32</t>
        </is>
      </c>
      <c r="J105" s="79">
        <f>IFERROR(XLOOKUP(H105,'Lookups - JourneyDeployment'!$K$3:$K$7,'Lookups - JourneyDeployment'!$L$3:$L$7),"")</f>
        <v/>
      </c>
      <c r="K105" s="80">
        <f>A105&amp;"|"&amp;B105</f>
        <v/>
      </c>
      <c r="L105" s="85">
        <f>IFERROR(XLOOKUP(K105,'Activity Settings'!$M$2:$M$200,'Activity Settings'!$J$2:$J$200),0)</f>
        <v/>
      </c>
      <c r="M105" s="80">
        <f>IFERROR(XLOOKUP(K105,'Activity Settings'!$M$2:$M$200,'Activity Settings'!$L$2:$L$200),"Knapsack")</f>
        <v/>
      </c>
      <c r="N105" s="86">
        <f>IFERROR(XLOOKUP(J105&amp;"|"&amp;M105,Rates!$E$2:$E$13,Rates!$C$2:$C$13),0)</f>
        <v/>
      </c>
      <c r="O105" s="86">
        <f>L105*N105</f>
        <v/>
      </c>
    </row>
    <row r="106">
      <c r="A106" s="79" t="inlineStr">
        <is>
          <t>Scaled Rollout and Adoption</t>
        </is>
      </c>
      <c r="B106" s="79" t="inlineStr">
        <is>
          <t>Phase Gate Strategic Recommendations + Documentation</t>
        </is>
      </c>
      <c r="C106" s="79" t="inlineStr">
        <is>
          <t>Document lessons learned</t>
        </is>
      </c>
      <c r="D106" s="79" t="n"/>
      <c r="E106" s="79" t="n"/>
      <c r="F106" s="79" t="inlineStr">
        <is>
          <t>Senior Solutions Engineer</t>
        </is>
      </c>
      <c r="G106" s="80" t="inlineStr">
        <is>
          <t>Knapsack</t>
        </is>
      </c>
      <c r="H106" s="80" t="inlineStr">
        <is>
          <t>Engineer</t>
        </is>
      </c>
      <c r="I106" s="80" t="inlineStr">
        <is>
          <t>21–32</t>
        </is>
      </c>
      <c r="J106" s="79">
        <f>IFERROR(XLOOKUP(H106,'Lookups - JourneyDeployment'!$K$3:$K$7,'Lookups - JourneyDeployment'!$L$3:$L$7),"")</f>
        <v/>
      </c>
      <c r="K106" s="80">
        <f>A106&amp;"|"&amp;B106</f>
        <v/>
      </c>
      <c r="L106" s="85">
        <f>IFERROR(XLOOKUP(K106,'Activity Settings'!$M$2:$M$200,'Activity Settings'!$J$2:$J$200),0)</f>
        <v/>
      </c>
      <c r="M106" s="80">
        <f>IFERROR(XLOOKUP(K106,'Activity Settings'!$M$2:$M$200,'Activity Settings'!$L$2:$L$200),"Knapsack")</f>
        <v/>
      </c>
      <c r="N106" s="86">
        <f>IFERROR(XLOOKUP(J106&amp;"|"&amp;M106,Rates!$E$2:$E$13,Rates!$C$2:$C$13),0)</f>
        <v/>
      </c>
      <c r="O106" s="86">
        <f>L106*N106</f>
        <v/>
      </c>
    </row>
    <row r="107">
      <c r="A107" s="79" t="inlineStr">
        <is>
          <t>Scaled Rollout and Adoption</t>
        </is>
      </c>
      <c r="B107" s="79" t="inlineStr">
        <is>
          <t>Phase Gate Strategic Recommendations + Documentation</t>
        </is>
      </c>
      <c r="C107" s="79" t="inlineStr">
        <is>
          <t>Prepare scale-up recommendations</t>
        </is>
      </c>
      <c r="D107" s="79" t="inlineStr">
        <is>
          <t>Scaled Rollout Readiness Review</t>
        </is>
      </c>
      <c r="E107" s="79" t="inlineStr">
        <is>
          <t>Formal phase gate review and recommendations.</t>
        </is>
      </c>
      <c r="F107" s="79" t="inlineStr">
        <is>
          <t>Senior Solutions Engineer</t>
        </is>
      </c>
      <c r="G107" s="80" t="inlineStr">
        <is>
          <t>Knapsack</t>
        </is>
      </c>
      <c r="H107" s="80" t="inlineStr">
        <is>
          <t>Engineer</t>
        </is>
      </c>
      <c r="I107" s="80" t="inlineStr">
        <is>
          <t>21–32</t>
        </is>
      </c>
      <c r="J107" s="79">
        <f>IFERROR(XLOOKUP(H107,'Lookups - JourneyDeployment'!$K$3:$K$7,'Lookups - JourneyDeployment'!$L$3:$L$7),"")</f>
        <v/>
      </c>
      <c r="K107" s="80">
        <f>A107&amp;"|"&amp;B107</f>
        <v/>
      </c>
      <c r="L107" s="85">
        <f>IFERROR(XLOOKUP(K107,'Activity Settings'!$M$2:$M$200,'Activity Settings'!$J$2:$J$200),0)</f>
        <v/>
      </c>
      <c r="M107" s="80">
        <f>IFERROR(XLOOKUP(K107,'Activity Settings'!$M$2:$M$200,'Activity Settings'!$L$2:$L$200),"Knapsack")</f>
        <v/>
      </c>
      <c r="N107" s="86">
        <f>IFERROR(XLOOKUP(J107&amp;"|"&amp;M107,Rates!$E$2:$E$13,Rates!$C$2:$C$13),0)</f>
        <v/>
      </c>
      <c r="O107" s="86">
        <f>L107*N107</f>
        <v/>
      </c>
    </row>
    <row r="108">
      <c r="A108" s="79" t="inlineStr">
        <is>
          <t>Scaled Rollout and Adoption</t>
        </is>
      </c>
      <c r="B108" s="79" t="inlineStr">
        <is>
          <t>Pre-Cutover Readiness Review</t>
        </is>
      </c>
      <c r="C108" s="79" t="inlineStr">
        <is>
          <t>Verify technical and operational prerequisites</t>
        </is>
      </c>
      <c r="D108" s="79" t="n"/>
      <c r="E108" s="79" t="n"/>
      <c r="F108" s="79" t="inlineStr">
        <is>
          <t>Senior Solutions Engineer</t>
        </is>
      </c>
      <c r="G108" s="80" t="inlineStr">
        <is>
          <t>Knapsack</t>
        </is>
      </c>
      <c r="H108" s="80" t="inlineStr">
        <is>
          <t>Engineer</t>
        </is>
      </c>
      <c r="I108" s="80" t="inlineStr">
        <is>
          <t>25–28</t>
        </is>
      </c>
      <c r="J108" s="79">
        <f>IFERROR(XLOOKUP(H108,'Lookups - JourneyDeployment'!$K$3:$K$7,'Lookups - JourneyDeployment'!$L$3:$L$7),"")</f>
        <v/>
      </c>
      <c r="K108" s="80">
        <f>A108&amp;"|"&amp;B108</f>
        <v/>
      </c>
      <c r="L108" s="85">
        <f>IFERROR(XLOOKUP(K108,'Activity Settings'!$M$2:$M$200,'Activity Settings'!$J$2:$J$200),0)</f>
        <v/>
      </c>
      <c r="M108" s="80">
        <f>IFERROR(XLOOKUP(K108,'Activity Settings'!$M$2:$M$200,'Activity Settings'!$L$2:$L$200),"Knapsack")</f>
        <v/>
      </c>
      <c r="N108" s="86">
        <f>IFERROR(XLOOKUP(J108&amp;"|"&amp;M108,Rates!$E$2:$E$13,Rates!$C$2:$C$13),0)</f>
        <v/>
      </c>
      <c r="O108" s="86">
        <f>L108*N108</f>
        <v/>
      </c>
    </row>
    <row r="109">
      <c r="A109" s="79" t="inlineStr">
        <is>
          <t>Scaled Rollout and Adoption</t>
        </is>
      </c>
      <c r="B109" s="79" t="inlineStr">
        <is>
          <t>Pre-Cutover Readiness Review</t>
        </is>
      </c>
      <c r="C109" s="79" t="inlineStr">
        <is>
          <t>Conduct dry-run deployment</t>
        </is>
      </c>
      <c r="D109" s="79" t="n"/>
      <c r="E109" s="79" t="n"/>
      <c r="F109" s="79" t="inlineStr">
        <is>
          <t>Senior Solutions Engineer</t>
        </is>
      </c>
      <c r="G109" s="80" t="inlineStr">
        <is>
          <t>Knapsack</t>
        </is>
      </c>
      <c r="H109" s="80" t="inlineStr">
        <is>
          <t>Engineer</t>
        </is>
      </c>
      <c r="I109" s="80" t="inlineStr">
        <is>
          <t>25–28</t>
        </is>
      </c>
      <c r="J109" s="79">
        <f>IFERROR(XLOOKUP(H109,'Lookups - JourneyDeployment'!$K$3:$K$7,'Lookups - JourneyDeployment'!$L$3:$L$7),"")</f>
        <v/>
      </c>
      <c r="K109" s="80">
        <f>A109&amp;"|"&amp;B109</f>
        <v/>
      </c>
      <c r="L109" s="85">
        <f>IFERROR(XLOOKUP(K109,'Activity Settings'!$M$2:$M$200,'Activity Settings'!$J$2:$J$200),0)</f>
        <v/>
      </c>
      <c r="M109" s="80">
        <f>IFERROR(XLOOKUP(K109,'Activity Settings'!$M$2:$M$200,'Activity Settings'!$L$2:$L$200),"Knapsack")</f>
        <v/>
      </c>
      <c r="N109" s="86">
        <f>IFERROR(XLOOKUP(J109&amp;"|"&amp;M109,Rates!$E$2:$E$13,Rates!$C$2:$C$13),0)</f>
        <v/>
      </c>
      <c r="O109" s="86">
        <f>L109*N109</f>
        <v/>
      </c>
    </row>
    <row r="110">
      <c r="A110" s="79" t="inlineStr">
        <is>
          <t>Scaled Rollout and Adoption</t>
        </is>
      </c>
      <c r="B110" s="79" t="inlineStr">
        <is>
          <t>Pre-Cutover Readiness Review</t>
        </is>
      </c>
      <c r="C110" s="79" t="inlineStr">
        <is>
          <t>Validate SSO and environment stability</t>
        </is>
      </c>
      <c r="D110" s="79" t="n"/>
      <c r="E110" s="79" t="n"/>
      <c r="F110" s="79" t="inlineStr">
        <is>
          <t>Senior Solutions Engineer</t>
        </is>
      </c>
      <c r="G110" s="80" t="inlineStr">
        <is>
          <t>Knapsack</t>
        </is>
      </c>
      <c r="H110" s="80" t="inlineStr">
        <is>
          <t>Engineer</t>
        </is>
      </c>
      <c r="I110" s="80" t="inlineStr">
        <is>
          <t>25–28</t>
        </is>
      </c>
      <c r="J110" s="79">
        <f>IFERROR(XLOOKUP(H110,'Lookups - JourneyDeployment'!$K$3:$K$7,'Lookups - JourneyDeployment'!$L$3:$L$7),"")</f>
        <v/>
      </c>
      <c r="K110" s="80">
        <f>A110&amp;"|"&amp;B110</f>
        <v/>
      </c>
      <c r="L110" s="85">
        <f>IFERROR(XLOOKUP(K110,'Activity Settings'!$M$2:$M$200,'Activity Settings'!$J$2:$J$200),0)</f>
        <v/>
      </c>
      <c r="M110" s="80">
        <f>IFERROR(XLOOKUP(K110,'Activity Settings'!$M$2:$M$200,'Activity Settings'!$L$2:$L$200),"Knapsack")</f>
        <v/>
      </c>
      <c r="N110" s="86">
        <f>IFERROR(XLOOKUP(J110&amp;"|"&amp;M110,Rates!$E$2:$E$13,Rates!$C$2:$C$13),0)</f>
        <v/>
      </c>
      <c r="O110" s="86">
        <f>L110*N110</f>
        <v/>
      </c>
    </row>
    <row r="111">
      <c r="A111" s="79" t="inlineStr">
        <is>
          <t>Scaled Rollout and Adoption</t>
        </is>
      </c>
      <c r="B111" s="79" t="inlineStr">
        <is>
          <t>Pre-Cutover Readiness Review</t>
        </is>
      </c>
      <c r="C111" s="79" t="inlineStr">
        <is>
          <t>Approve readiness sign-off</t>
        </is>
      </c>
      <c r="D111" s="79" t="inlineStr">
        <is>
          <t>Cutover Readiness Checklist, Technical Validation Sign-off, Risk Mitigation Plan</t>
        </is>
      </c>
      <c r="E111" s="79" t="inlineStr">
        <is>
          <t>Validate all technical, operational, and training prerequisites; confirm SSO, component rendering, deployment readiness before final rollout.</t>
        </is>
      </c>
      <c r="F111" s="79" t="inlineStr">
        <is>
          <t>Senior Solutions Engineer</t>
        </is>
      </c>
      <c r="G111" s="80" t="inlineStr">
        <is>
          <t>Knapsack</t>
        </is>
      </c>
      <c r="H111" s="80" t="inlineStr">
        <is>
          <t>Engineer</t>
        </is>
      </c>
      <c r="I111" s="80" t="inlineStr">
        <is>
          <t>25–28</t>
        </is>
      </c>
      <c r="J111" s="79">
        <f>IFERROR(XLOOKUP(H111,'Lookups - JourneyDeployment'!$K$3:$K$7,'Lookups - JourneyDeployment'!$L$3:$L$7),"")</f>
        <v/>
      </c>
      <c r="K111" s="80">
        <f>A111&amp;"|"&amp;B111</f>
        <v/>
      </c>
      <c r="L111" s="85">
        <f>IFERROR(XLOOKUP(K111,'Activity Settings'!$M$2:$M$200,'Activity Settings'!$J$2:$J$200),0)</f>
        <v/>
      </c>
      <c r="M111" s="80">
        <f>IFERROR(XLOOKUP(K111,'Activity Settings'!$M$2:$M$200,'Activity Settings'!$L$2:$L$200),"Knapsack")</f>
        <v/>
      </c>
      <c r="N111" s="86">
        <f>IFERROR(XLOOKUP(J111&amp;"|"&amp;M111,Rates!$E$2:$E$13,Rates!$C$2:$C$13),0)</f>
        <v/>
      </c>
      <c r="O111" s="86">
        <f>L111*N111</f>
        <v/>
      </c>
    </row>
    <row r="112">
      <c r="A112" s="79" t="inlineStr">
        <is>
          <t>Scaled Rollout and Adoption</t>
        </is>
      </c>
      <c r="B112" s="79" t="inlineStr">
        <is>
          <t>Data &amp; Configuration Freeze</t>
        </is>
      </c>
      <c r="C112" s="79" t="inlineStr">
        <is>
          <t>Lock repositories and configuration files</t>
        </is>
      </c>
      <c r="D112" s="79" t="n"/>
      <c r="E112" s="79" t="n"/>
      <c r="F112" s="79" t="inlineStr">
        <is>
          <t>Senior Solutions Engineer</t>
        </is>
      </c>
      <c r="G112" s="80" t="inlineStr">
        <is>
          <t>Knapsack</t>
        </is>
      </c>
      <c r="H112" s="80" t="inlineStr">
        <is>
          <t>Engineer</t>
        </is>
      </c>
      <c r="I112" s="80" t="inlineStr">
        <is>
          <t>25–28</t>
        </is>
      </c>
      <c r="J112" s="79">
        <f>IFERROR(XLOOKUP(H112,'Lookups - JourneyDeployment'!$K$3:$K$7,'Lookups - JourneyDeployment'!$L$3:$L$7),"")</f>
        <v/>
      </c>
      <c r="K112" s="80">
        <f>A112&amp;"|"&amp;B112</f>
        <v/>
      </c>
      <c r="L112" s="85">
        <f>IFERROR(XLOOKUP(K112,'Activity Settings'!$M$2:$M$200,'Activity Settings'!$J$2:$J$200),0)</f>
        <v/>
      </c>
      <c r="M112" s="80">
        <f>IFERROR(XLOOKUP(K112,'Activity Settings'!$M$2:$M$200,'Activity Settings'!$L$2:$L$200),"Knapsack")</f>
        <v/>
      </c>
      <c r="N112" s="86">
        <f>IFERROR(XLOOKUP(J112&amp;"|"&amp;M112,Rates!$E$2:$E$13,Rates!$C$2:$C$13),0)</f>
        <v/>
      </c>
      <c r="O112" s="86">
        <f>L112*N112</f>
        <v/>
      </c>
    </row>
    <row r="113">
      <c r="A113" s="79" t="inlineStr">
        <is>
          <t>Scaled Rollout and Adoption</t>
        </is>
      </c>
      <c r="B113" s="79" t="inlineStr">
        <is>
          <t>Data &amp; Configuration Freeze</t>
        </is>
      </c>
      <c r="C113" s="79" t="inlineStr">
        <is>
          <t>Capture environment snapshot</t>
        </is>
      </c>
      <c r="D113" s="79" t="n"/>
      <c r="E113" s="79" t="n"/>
      <c r="F113" s="79" t="inlineStr">
        <is>
          <t>Senior Solutions Engineer</t>
        </is>
      </c>
      <c r="G113" s="80" t="inlineStr">
        <is>
          <t>Knapsack</t>
        </is>
      </c>
      <c r="H113" s="80" t="inlineStr">
        <is>
          <t>Engineer</t>
        </is>
      </c>
      <c r="I113" s="80" t="inlineStr">
        <is>
          <t>25–28</t>
        </is>
      </c>
      <c r="J113" s="79">
        <f>IFERROR(XLOOKUP(H113,'Lookups - JourneyDeployment'!$K$3:$K$7,'Lookups - JourneyDeployment'!$L$3:$L$7),"")</f>
        <v/>
      </c>
      <c r="K113" s="80">
        <f>A113&amp;"|"&amp;B113</f>
        <v/>
      </c>
      <c r="L113" s="85">
        <f>IFERROR(XLOOKUP(K113,'Activity Settings'!$M$2:$M$200,'Activity Settings'!$J$2:$J$200),0)</f>
        <v/>
      </c>
      <c r="M113" s="80">
        <f>IFERROR(XLOOKUP(K113,'Activity Settings'!$M$2:$M$200,'Activity Settings'!$L$2:$L$200),"Knapsack")</f>
        <v/>
      </c>
      <c r="N113" s="86">
        <f>IFERROR(XLOOKUP(J113&amp;"|"&amp;M113,Rates!$E$2:$E$13,Rates!$C$2:$C$13),0)</f>
        <v/>
      </c>
      <c r="O113" s="86">
        <f>L113*N113</f>
        <v/>
      </c>
    </row>
    <row r="114">
      <c r="A114" s="79" t="inlineStr">
        <is>
          <t>Scaled Rollout and Adoption</t>
        </is>
      </c>
      <c r="B114" s="79" t="inlineStr">
        <is>
          <t>Data &amp; Configuration Freeze</t>
        </is>
      </c>
      <c r="C114" s="79" t="inlineStr">
        <is>
          <t>Validate rollback plan</t>
        </is>
      </c>
      <c r="D114" s="79" t="n"/>
      <c r="E114" s="79" t="n"/>
      <c r="F114" s="79" t="inlineStr">
        <is>
          <t>Senior Solutions Engineer</t>
        </is>
      </c>
      <c r="G114" s="80" t="inlineStr">
        <is>
          <t>Knapsack</t>
        </is>
      </c>
      <c r="H114" s="80" t="inlineStr">
        <is>
          <t>Engineer</t>
        </is>
      </c>
      <c r="I114" s="80" t="inlineStr">
        <is>
          <t>25–28</t>
        </is>
      </c>
      <c r="J114" s="79">
        <f>IFERROR(XLOOKUP(H114,'Lookups - JourneyDeployment'!$K$3:$K$7,'Lookups - JourneyDeployment'!$L$3:$L$7),"")</f>
        <v/>
      </c>
      <c r="K114" s="80">
        <f>A114&amp;"|"&amp;B114</f>
        <v/>
      </c>
      <c r="L114" s="85">
        <f>IFERROR(XLOOKUP(K114,'Activity Settings'!$M$2:$M$200,'Activity Settings'!$J$2:$J$200),0)</f>
        <v/>
      </c>
      <c r="M114" s="80">
        <f>IFERROR(XLOOKUP(K114,'Activity Settings'!$M$2:$M$200,'Activity Settings'!$L$2:$L$200),"Knapsack")</f>
        <v/>
      </c>
      <c r="N114" s="86">
        <f>IFERROR(XLOOKUP(J114&amp;"|"&amp;M114,Rates!$E$2:$E$13,Rates!$C$2:$C$13),0)</f>
        <v/>
      </c>
      <c r="O114" s="86">
        <f>L114*N114</f>
        <v/>
      </c>
    </row>
    <row r="115">
      <c r="A115" s="79" t="inlineStr">
        <is>
          <t>Scaled Rollout and Adoption</t>
        </is>
      </c>
      <c r="B115" s="79" t="inlineStr">
        <is>
          <t>Data &amp; Configuration Freeze</t>
        </is>
      </c>
      <c r="C115" s="79" t="inlineStr">
        <is>
          <t>Communicate freeze timeline</t>
        </is>
      </c>
      <c r="D115" s="79" t="inlineStr">
        <is>
          <t>Configuration Freeze Log, Environment Snapshot</t>
        </is>
      </c>
      <c r="E115" s="79" t="inlineStr">
        <is>
          <t>Lock configuration and repositories; capture environment snapshot for rollback if needed before go-live.</t>
        </is>
      </c>
      <c r="F115" s="79" t="inlineStr">
        <is>
          <t>Senior Solutions Engineer</t>
        </is>
      </c>
      <c r="G115" s="80" t="inlineStr">
        <is>
          <t>Knapsack</t>
        </is>
      </c>
      <c r="H115" s="80" t="inlineStr">
        <is>
          <t>Engineer</t>
        </is>
      </c>
      <c r="I115" s="80" t="inlineStr">
        <is>
          <t>25–28</t>
        </is>
      </c>
      <c r="J115" s="79">
        <f>IFERROR(XLOOKUP(H115,'Lookups - JourneyDeployment'!$K$3:$K$7,'Lookups - JourneyDeployment'!$L$3:$L$7),"")</f>
        <v/>
      </c>
      <c r="K115" s="80">
        <f>A115&amp;"|"&amp;B115</f>
        <v/>
      </c>
      <c r="L115" s="85">
        <f>IFERROR(XLOOKUP(K115,'Activity Settings'!$M$2:$M$200,'Activity Settings'!$J$2:$J$200),0)</f>
        <v/>
      </c>
      <c r="M115" s="80">
        <f>IFERROR(XLOOKUP(K115,'Activity Settings'!$M$2:$M$200,'Activity Settings'!$L$2:$L$200),"Knapsack")</f>
        <v/>
      </c>
      <c r="N115" s="86">
        <f>IFERROR(XLOOKUP(J115&amp;"|"&amp;M115,Rates!$E$2:$E$13,Rates!$C$2:$C$13),0)</f>
        <v/>
      </c>
      <c r="O115" s="86">
        <f>L115*N115</f>
        <v/>
      </c>
    </row>
    <row r="116">
      <c r="A116" s="79" t="inlineStr">
        <is>
          <t>Scaled Rollout and Adoption</t>
        </is>
      </c>
      <c r="B116" s="79" t="inlineStr">
        <is>
          <t>Final UAT &amp; Stakeholder Acceptance</t>
        </is>
      </c>
      <c r="C116" s="79" t="inlineStr">
        <is>
          <t>Develop UAT scripts</t>
        </is>
      </c>
      <c r="D116" s="79" t="n"/>
      <c r="E116" s="79" t="n"/>
      <c r="F116" s="79" t="inlineStr">
        <is>
          <t>Senior Solutions Engineer</t>
        </is>
      </c>
      <c r="G116" s="80" t="inlineStr">
        <is>
          <t>Knapsack</t>
        </is>
      </c>
      <c r="H116" s="80" t="inlineStr">
        <is>
          <t>Engineer</t>
        </is>
      </c>
      <c r="I116" s="80" t="inlineStr">
        <is>
          <t>25–28</t>
        </is>
      </c>
      <c r="J116" s="79">
        <f>IFERROR(XLOOKUP(H116,'Lookups - JourneyDeployment'!$K$3:$K$7,'Lookups - JourneyDeployment'!$L$3:$L$7),"")</f>
        <v/>
      </c>
      <c r="K116" s="80">
        <f>A116&amp;"|"&amp;B116</f>
        <v/>
      </c>
      <c r="L116" s="85">
        <f>IFERROR(XLOOKUP(K116,'Activity Settings'!$M$2:$M$200,'Activity Settings'!$J$2:$J$200),0)</f>
        <v/>
      </c>
      <c r="M116" s="80">
        <f>IFERROR(XLOOKUP(K116,'Activity Settings'!$M$2:$M$200,'Activity Settings'!$L$2:$L$200),"Knapsack")</f>
        <v/>
      </c>
      <c r="N116" s="86">
        <f>IFERROR(XLOOKUP(J116&amp;"|"&amp;M116,Rates!$E$2:$E$13,Rates!$C$2:$C$13),0)</f>
        <v/>
      </c>
      <c r="O116" s="86">
        <f>L116*N116</f>
        <v/>
      </c>
    </row>
    <row r="117">
      <c r="A117" s="79" t="inlineStr">
        <is>
          <t>Scaled Rollout and Adoption</t>
        </is>
      </c>
      <c r="B117" s="79" t="inlineStr">
        <is>
          <t>Final UAT &amp; Stakeholder Acceptance</t>
        </is>
      </c>
      <c r="C117" s="79" t="inlineStr">
        <is>
          <t>Facilitate sessions with pilot users</t>
        </is>
      </c>
      <c r="D117" s="79" t="n"/>
      <c r="E117" s="79" t="n"/>
      <c r="F117" s="79" t="inlineStr">
        <is>
          <t>Senior Solutions Engineer</t>
        </is>
      </c>
      <c r="G117" s="80" t="inlineStr">
        <is>
          <t>Knapsack</t>
        </is>
      </c>
      <c r="H117" s="80" t="inlineStr">
        <is>
          <t>Engineer</t>
        </is>
      </c>
      <c r="I117" s="80" t="inlineStr">
        <is>
          <t>25–28</t>
        </is>
      </c>
      <c r="J117" s="79">
        <f>IFERROR(XLOOKUP(H117,'Lookups - JourneyDeployment'!$K$3:$K$7,'Lookups - JourneyDeployment'!$L$3:$L$7),"")</f>
        <v/>
      </c>
      <c r="K117" s="80">
        <f>A117&amp;"|"&amp;B117</f>
        <v/>
      </c>
      <c r="L117" s="85">
        <f>IFERROR(XLOOKUP(K117,'Activity Settings'!$M$2:$M$200,'Activity Settings'!$J$2:$J$200),0)</f>
        <v/>
      </c>
      <c r="M117" s="80">
        <f>IFERROR(XLOOKUP(K117,'Activity Settings'!$M$2:$M$200,'Activity Settings'!$L$2:$L$200),"Knapsack")</f>
        <v/>
      </c>
      <c r="N117" s="86">
        <f>IFERROR(XLOOKUP(J117&amp;"|"&amp;M117,Rates!$E$2:$E$13,Rates!$C$2:$C$13),0)</f>
        <v/>
      </c>
      <c r="O117" s="86">
        <f>L117*N117</f>
        <v/>
      </c>
    </row>
    <row r="118">
      <c r="A118" s="79" t="inlineStr">
        <is>
          <t>Scaled Rollout and Adoption</t>
        </is>
      </c>
      <c r="B118" s="79" t="inlineStr">
        <is>
          <t>Final UAT &amp; Stakeholder Acceptance</t>
        </is>
      </c>
      <c r="C118" s="79" t="inlineStr">
        <is>
          <t>Log and triage issues</t>
        </is>
      </c>
      <c r="D118" s="79" t="n"/>
      <c r="E118" s="79" t="n"/>
      <c r="F118" s="79" t="inlineStr">
        <is>
          <t>Senior Solutions Engineer</t>
        </is>
      </c>
      <c r="G118" s="80" t="inlineStr">
        <is>
          <t>Knapsack</t>
        </is>
      </c>
      <c r="H118" s="80" t="inlineStr">
        <is>
          <t>Engineer</t>
        </is>
      </c>
      <c r="I118" s="80" t="inlineStr">
        <is>
          <t>25–28</t>
        </is>
      </c>
      <c r="J118" s="79">
        <f>IFERROR(XLOOKUP(H118,'Lookups - JourneyDeployment'!$K$3:$K$7,'Lookups - JourneyDeployment'!$L$3:$L$7),"")</f>
        <v/>
      </c>
      <c r="K118" s="80">
        <f>A118&amp;"|"&amp;B118</f>
        <v/>
      </c>
      <c r="L118" s="85">
        <f>IFERROR(XLOOKUP(K118,'Activity Settings'!$M$2:$M$200,'Activity Settings'!$J$2:$J$200),0)</f>
        <v/>
      </c>
      <c r="M118" s="80">
        <f>IFERROR(XLOOKUP(K118,'Activity Settings'!$M$2:$M$200,'Activity Settings'!$L$2:$L$200),"Knapsack")</f>
        <v/>
      </c>
      <c r="N118" s="86">
        <f>IFERROR(XLOOKUP(J118&amp;"|"&amp;M118,Rates!$E$2:$E$13,Rates!$C$2:$C$13),0)</f>
        <v/>
      </c>
      <c r="O118" s="86">
        <f>L118*N118</f>
        <v/>
      </c>
    </row>
    <row r="119">
      <c r="A119" s="79" t="inlineStr">
        <is>
          <t>Scaled Rollout and Adoption</t>
        </is>
      </c>
      <c r="B119" s="79" t="inlineStr">
        <is>
          <t>Final UAT &amp; Stakeholder Acceptance</t>
        </is>
      </c>
      <c r="C119" s="79" t="inlineStr">
        <is>
          <t>Capture sign-off from business owners</t>
        </is>
      </c>
      <c r="D119" s="79" t="inlineStr">
        <is>
          <t>UAT Sign-off Report, Known Issues Log</t>
        </is>
      </c>
      <c r="E119" s="79" t="inlineStr">
        <is>
          <t>Conduct final user acceptance testing with pilot teams; log and triage known issues before launch.</t>
        </is>
      </c>
      <c r="F119" s="79" t="inlineStr">
        <is>
          <t>Senior Solutions Engineer</t>
        </is>
      </c>
      <c r="G119" s="80" t="inlineStr">
        <is>
          <t>Knapsack</t>
        </is>
      </c>
      <c r="H119" s="80" t="inlineStr">
        <is>
          <t>Engineer</t>
        </is>
      </c>
      <c r="I119" s="80" t="inlineStr">
        <is>
          <t>25–28</t>
        </is>
      </c>
      <c r="J119" s="79">
        <f>IFERROR(XLOOKUP(H119,'Lookups - JourneyDeployment'!$K$3:$K$7,'Lookups - JourneyDeployment'!$L$3:$L$7),"")</f>
        <v/>
      </c>
      <c r="K119" s="80">
        <f>A119&amp;"|"&amp;B119</f>
        <v/>
      </c>
      <c r="L119" s="85">
        <f>IFERROR(XLOOKUP(K119,'Activity Settings'!$M$2:$M$200,'Activity Settings'!$J$2:$J$200),0)</f>
        <v/>
      </c>
      <c r="M119" s="80">
        <f>IFERROR(XLOOKUP(K119,'Activity Settings'!$M$2:$M$200,'Activity Settings'!$L$2:$L$200),"Knapsack")</f>
        <v/>
      </c>
      <c r="N119" s="86">
        <f>IFERROR(XLOOKUP(J119&amp;"|"&amp;M119,Rates!$E$2:$E$13,Rates!$C$2:$C$13),0)</f>
        <v/>
      </c>
      <c r="O119" s="86">
        <f>L119*N119</f>
        <v/>
      </c>
    </row>
    <row r="120">
      <c r="A120" s="79" t="inlineStr">
        <is>
          <t>Scaled Rollout and Adoption</t>
        </is>
      </c>
      <c r="B120" s="79" t="inlineStr">
        <is>
          <t>Change Impact Analysis</t>
        </is>
      </c>
      <c r="C120" s="79" t="inlineStr">
        <is>
          <t>Identify impacted teams</t>
        </is>
      </c>
      <c r="D120" s="79" t="n"/>
      <c r="E120" s="79" t="n"/>
      <c r="F120" s="79" t="inlineStr">
        <is>
          <t>CX Partner - Change Management SME</t>
        </is>
      </c>
      <c r="G120" s="80" t="inlineStr">
        <is>
          <t>Knapsack</t>
        </is>
      </c>
      <c r="H120" s="80" t="inlineStr">
        <is>
          <t>CX Partner</t>
        </is>
      </c>
      <c r="I120" s="80" t="inlineStr">
        <is>
          <t>21–24</t>
        </is>
      </c>
      <c r="J120" s="79">
        <f>IFERROR(XLOOKUP(H120,'Lookups - JourneyDeployment'!$K$3:$K$7,'Lookups - JourneyDeployment'!$L$3:$L$7),"")</f>
        <v/>
      </c>
      <c r="K120" s="80">
        <f>A120&amp;"|"&amp;B120</f>
        <v/>
      </c>
      <c r="L120" s="85">
        <f>IFERROR(XLOOKUP(K120,'Activity Settings'!$M$2:$M$200,'Activity Settings'!$J$2:$J$200),0)</f>
        <v/>
      </c>
      <c r="M120" s="80">
        <f>IFERROR(XLOOKUP(K120,'Activity Settings'!$M$2:$M$200,'Activity Settings'!$L$2:$L$200),"Knapsack")</f>
        <v/>
      </c>
      <c r="N120" s="86">
        <f>IFERROR(XLOOKUP(J120&amp;"|"&amp;M120,Rates!$E$2:$E$13,Rates!$C$2:$C$13),0)</f>
        <v/>
      </c>
      <c r="O120" s="86">
        <f>L120*N120</f>
        <v/>
      </c>
    </row>
    <row r="121">
      <c r="A121" s="79" t="inlineStr">
        <is>
          <t>Scaled Rollout and Adoption</t>
        </is>
      </c>
      <c r="B121" s="79" t="inlineStr">
        <is>
          <t>Change Impact Analysis</t>
        </is>
      </c>
      <c r="C121" s="79" t="inlineStr">
        <is>
          <t>Conduct stakeholder interviews</t>
        </is>
      </c>
      <c r="D121" s="79" t="n"/>
      <c r="E121" s="79" t="n"/>
      <c r="F121" s="79" t="inlineStr">
        <is>
          <t>CX Partner - Change Management SME</t>
        </is>
      </c>
      <c r="G121" s="80" t="inlineStr">
        <is>
          <t>Knapsack</t>
        </is>
      </c>
      <c r="H121" s="80" t="inlineStr">
        <is>
          <t>CX Partner</t>
        </is>
      </c>
      <c r="I121" s="80" t="inlineStr">
        <is>
          <t>21–24</t>
        </is>
      </c>
      <c r="J121" s="79">
        <f>IFERROR(XLOOKUP(H121,'Lookups - JourneyDeployment'!$K$3:$K$7,'Lookups - JourneyDeployment'!$L$3:$L$7),"")</f>
        <v/>
      </c>
      <c r="K121" s="80">
        <f>A121&amp;"|"&amp;B121</f>
        <v/>
      </c>
      <c r="L121" s="85">
        <f>IFERROR(XLOOKUP(K121,'Activity Settings'!$M$2:$M$200,'Activity Settings'!$J$2:$J$200),0)</f>
        <v/>
      </c>
      <c r="M121" s="80">
        <f>IFERROR(XLOOKUP(K121,'Activity Settings'!$M$2:$M$200,'Activity Settings'!$L$2:$L$200),"Knapsack")</f>
        <v/>
      </c>
      <c r="N121" s="86">
        <f>IFERROR(XLOOKUP(J121&amp;"|"&amp;M121,Rates!$E$2:$E$13,Rates!$C$2:$C$13),0)</f>
        <v/>
      </c>
      <c r="O121" s="86">
        <f>L121*N121</f>
        <v/>
      </c>
    </row>
    <row r="122">
      <c r="A122" s="79" t="inlineStr">
        <is>
          <t>Scaled Rollout and Adoption</t>
        </is>
      </c>
      <c r="B122" s="79" t="inlineStr">
        <is>
          <t>Change Impact Analysis</t>
        </is>
      </c>
      <c r="C122" s="79" t="inlineStr">
        <is>
          <t>Document change action plans</t>
        </is>
      </c>
      <c r="D122" s="79" t="n"/>
      <c r="E122" s="79" t="n"/>
      <c r="F122" s="79" t="inlineStr">
        <is>
          <t>CX Partner - Change Management SME</t>
        </is>
      </c>
      <c r="G122" s="80" t="inlineStr">
        <is>
          <t>Knapsack</t>
        </is>
      </c>
      <c r="H122" s="80" t="inlineStr">
        <is>
          <t>CX Partner</t>
        </is>
      </c>
      <c r="I122" s="80" t="inlineStr">
        <is>
          <t>21–24</t>
        </is>
      </c>
      <c r="J122" s="79">
        <f>IFERROR(XLOOKUP(H122,'Lookups - JourneyDeployment'!$K$3:$K$7,'Lookups - JourneyDeployment'!$L$3:$L$7),"")</f>
        <v/>
      </c>
      <c r="K122" s="80">
        <f>A122&amp;"|"&amp;B122</f>
        <v/>
      </c>
      <c r="L122" s="85">
        <f>IFERROR(XLOOKUP(K122,'Activity Settings'!$M$2:$M$200,'Activity Settings'!$J$2:$J$200),0)</f>
        <v/>
      </c>
      <c r="M122" s="80">
        <f>IFERROR(XLOOKUP(K122,'Activity Settings'!$M$2:$M$200,'Activity Settings'!$L$2:$L$200),"Knapsack")</f>
        <v/>
      </c>
      <c r="N122" s="86">
        <f>IFERROR(XLOOKUP(J122&amp;"|"&amp;M122,Rates!$E$2:$E$13,Rates!$C$2:$C$13),0)</f>
        <v/>
      </c>
      <c r="O122" s="86">
        <f>L122*N122</f>
        <v/>
      </c>
    </row>
    <row r="123">
      <c r="A123" s="79" t="inlineStr">
        <is>
          <t>Scaled Rollout and Adoption</t>
        </is>
      </c>
      <c r="B123" s="79" t="inlineStr">
        <is>
          <t>Change Impact Analysis</t>
        </is>
      </c>
      <c r="C123" s="79" t="inlineStr">
        <is>
          <t>Share mitigation strategies</t>
        </is>
      </c>
      <c r="D123" s="79" t="inlineStr">
        <is>
          <t>Change Impact Log, Stakeholder Action Plan</t>
        </is>
      </c>
      <c r="E123" s="79" t="inlineStr">
        <is>
          <t>Evaluate and manage business unit impacts during scale-up.</t>
        </is>
      </c>
      <c r="F123" s="79" t="inlineStr">
        <is>
          <t>CX Partner - Change Management SME</t>
        </is>
      </c>
      <c r="G123" s="80" t="inlineStr">
        <is>
          <t>Knapsack</t>
        </is>
      </c>
      <c r="H123" s="80" t="inlineStr">
        <is>
          <t>CX Partner</t>
        </is>
      </c>
      <c r="I123" s="80" t="inlineStr">
        <is>
          <t>21–24</t>
        </is>
      </c>
      <c r="J123" s="79">
        <f>IFERROR(XLOOKUP(H123,'Lookups - JourneyDeployment'!$K$3:$K$7,'Lookups - JourneyDeployment'!$L$3:$L$7),"")</f>
        <v/>
      </c>
      <c r="K123" s="80">
        <f>A123&amp;"|"&amp;B123</f>
        <v/>
      </c>
      <c r="L123" s="85">
        <f>IFERROR(XLOOKUP(K123,'Activity Settings'!$M$2:$M$200,'Activity Settings'!$J$2:$J$200),0)</f>
        <v/>
      </c>
      <c r="M123" s="80">
        <f>IFERROR(XLOOKUP(K123,'Activity Settings'!$M$2:$M$200,'Activity Settings'!$L$2:$L$200),"Knapsack")</f>
        <v/>
      </c>
      <c r="N123" s="86">
        <f>IFERROR(XLOOKUP(J123&amp;"|"&amp;M123,Rates!$E$2:$E$13,Rates!$C$2:$C$13),0)</f>
        <v/>
      </c>
      <c r="O123" s="86">
        <f>L123*N123</f>
        <v/>
      </c>
    </row>
    <row r="124">
      <c r="A124" s="79" t="inlineStr">
        <is>
          <t>Scaled Rollout and Adoption</t>
        </is>
      </c>
      <c r="B124" s="79" t="inlineStr">
        <is>
          <t>Adoption Acceleration Campaign</t>
        </is>
      </c>
      <c r="C124" s="79" t="inlineStr">
        <is>
          <t>Develop success-story series</t>
        </is>
      </c>
      <c r="D124" s="79" t="n"/>
      <c r="E124" s="79" t="n"/>
      <c r="F124" s="79" t="inlineStr">
        <is>
          <t>CX Partner - Change Management SME</t>
        </is>
      </c>
      <c r="G124" s="80" t="inlineStr">
        <is>
          <t>Adobe</t>
        </is>
      </c>
      <c r="H124" s="80" t="inlineStr">
        <is>
          <t>CX Partner</t>
        </is>
      </c>
      <c r="I124" s="80" t="inlineStr">
        <is>
          <t>29–32</t>
        </is>
      </c>
      <c r="J124" s="79">
        <f>IFERROR(XLOOKUP(H124,'Lookups - JourneyDeployment'!$K$3:$K$7,'Lookups - JourneyDeployment'!$L$3:$L$7),"")</f>
        <v/>
      </c>
      <c r="K124" s="80">
        <f>A124&amp;"|"&amp;B124</f>
        <v/>
      </c>
      <c r="L124" s="85">
        <f>IFERROR(XLOOKUP(K124,'Activity Settings'!$M$2:$M$200,'Activity Settings'!$J$2:$J$200),0)</f>
        <v/>
      </c>
      <c r="M124" s="80">
        <f>IFERROR(XLOOKUP(K124,'Activity Settings'!$M$2:$M$200,'Activity Settings'!$L$2:$L$200),"Knapsack")</f>
        <v/>
      </c>
      <c r="N124" s="86">
        <f>IFERROR(XLOOKUP(J124&amp;"|"&amp;M124,Rates!$E$2:$E$13,Rates!$C$2:$C$13),0)</f>
        <v/>
      </c>
      <c r="O124" s="86">
        <f>L124*N124</f>
        <v/>
      </c>
    </row>
    <row r="125">
      <c r="A125" s="79" t="inlineStr">
        <is>
          <t>Scaled Rollout and Adoption</t>
        </is>
      </c>
      <c r="B125" s="79" t="inlineStr">
        <is>
          <t>Adoption Acceleration Campaign</t>
        </is>
      </c>
      <c r="C125" s="79" t="inlineStr">
        <is>
          <t>Publish awareness materials</t>
        </is>
      </c>
      <c r="D125" s="79" t="n"/>
      <c r="E125" s="79" t="n"/>
      <c r="F125" s="79" t="inlineStr">
        <is>
          <t>CX Partner - Change Management SME</t>
        </is>
      </c>
      <c r="G125" s="80" t="inlineStr">
        <is>
          <t>Adobe</t>
        </is>
      </c>
      <c r="H125" s="80" t="inlineStr">
        <is>
          <t>CX Partner</t>
        </is>
      </c>
      <c r="I125" s="80" t="inlineStr">
        <is>
          <t>29–32</t>
        </is>
      </c>
      <c r="J125" s="79">
        <f>IFERROR(XLOOKUP(H125,'Lookups - JourneyDeployment'!$K$3:$K$7,'Lookups - JourneyDeployment'!$L$3:$L$7),"")</f>
        <v/>
      </c>
      <c r="K125" s="80">
        <f>A125&amp;"|"&amp;B125</f>
        <v/>
      </c>
      <c r="L125" s="85">
        <f>IFERROR(XLOOKUP(K125,'Activity Settings'!$M$2:$M$200,'Activity Settings'!$J$2:$J$200),0)</f>
        <v/>
      </c>
      <c r="M125" s="80">
        <f>IFERROR(XLOOKUP(K125,'Activity Settings'!$M$2:$M$200,'Activity Settings'!$L$2:$L$200),"Knapsack")</f>
        <v/>
      </c>
      <c r="N125" s="86">
        <f>IFERROR(XLOOKUP(J125&amp;"|"&amp;M125,Rates!$E$2:$E$13,Rates!$C$2:$C$13),0)</f>
        <v/>
      </c>
      <c r="O125" s="86">
        <f>L125*N125</f>
        <v/>
      </c>
    </row>
    <row r="126">
      <c r="A126" s="79" t="inlineStr">
        <is>
          <t>Scaled Rollout and Adoption</t>
        </is>
      </c>
      <c r="B126" s="79" t="inlineStr">
        <is>
          <t>Adoption Acceleration Campaign</t>
        </is>
      </c>
      <c r="C126" s="79" t="inlineStr">
        <is>
          <t>Monitor engagement analytics</t>
        </is>
      </c>
      <c r="D126" s="79" t="n"/>
      <c r="E126" s="79" t="n"/>
      <c r="F126" s="79" t="inlineStr">
        <is>
          <t>CX Partner - Change Management SME</t>
        </is>
      </c>
      <c r="G126" s="80" t="inlineStr">
        <is>
          <t>Adobe</t>
        </is>
      </c>
      <c r="H126" s="80" t="inlineStr">
        <is>
          <t>CX Partner</t>
        </is>
      </c>
      <c r="I126" s="80" t="inlineStr">
        <is>
          <t>29–32</t>
        </is>
      </c>
      <c r="J126" s="79">
        <f>IFERROR(XLOOKUP(H126,'Lookups - JourneyDeployment'!$K$3:$K$7,'Lookups - JourneyDeployment'!$L$3:$L$7),"")</f>
        <v/>
      </c>
      <c r="K126" s="80">
        <f>A126&amp;"|"&amp;B126</f>
        <v/>
      </c>
      <c r="L126" s="85">
        <f>IFERROR(XLOOKUP(K126,'Activity Settings'!$M$2:$M$200,'Activity Settings'!$J$2:$J$200),0)</f>
        <v/>
      </c>
      <c r="M126" s="80">
        <f>IFERROR(XLOOKUP(K126,'Activity Settings'!$M$2:$M$200,'Activity Settings'!$L$2:$L$200),"Knapsack")</f>
        <v/>
      </c>
      <c r="N126" s="86">
        <f>IFERROR(XLOOKUP(J126&amp;"|"&amp;M126,Rates!$E$2:$E$13,Rates!$C$2:$C$13),0)</f>
        <v/>
      </c>
      <c r="O126" s="86">
        <f>L126*N126</f>
        <v/>
      </c>
    </row>
    <row r="127">
      <c r="A127" s="79" t="inlineStr">
        <is>
          <t>Scaled Rollout and Adoption</t>
        </is>
      </c>
      <c r="B127" s="79" t="inlineStr">
        <is>
          <t>Adoption Acceleration Campaign</t>
        </is>
      </c>
      <c r="C127" s="79" t="inlineStr">
        <is>
          <t>Share outcomes in adoption dashboard</t>
        </is>
      </c>
      <c r="D127" s="79" t="inlineStr">
        <is>
          <t>Awareness Campaign, Success Story Series</t>
        </is>
      </c>
      <c r="E127" s="79" t="inlineStr">
        <is>
          <t>Promote awareness and highlight early success stories to drive adoption.</t>
        </is>
      </c>
      <c r="F127" s="79" t="inlineStr">
        <is>
          <t>CX Partner - Change Management SME</t>
        </is>
      </c>
      <c r="G127" s="80" t="inlineStr">
        <is>
          <t>Adobe</t>
        </is>
      </c>
      <c r="H127" s="80" t="inlineStr">
        <is>
          <t>CX Partner</t>
        </is>
      </c>
      <c r="I127" s="80" t="inlineStr">
        <is>
          <t>29–32</t>
        </is>
      </c>
      <c r="J127" s="79">
        <f>IFERROR(XLOOKUP(H127,'Lookups - JourneyDeployment'!$K$3:$K$7,'Lookups - JourneyDeployment'!$L$3:$L$7),"")</f>
        <v/>
      </c>
      <c r="K127" s="80">
        <f>A127&amp;"|"&amp;B127</f>
        <v/>
      </c>
      <c r="L127" s="85">
        <f>IFERROR(XLOOKUP(K127,'Activity Settings'!$M$2:$M$200,'Activity Settings'!$J$2:$J$200),0)</f>
        <v/>
      </c>
      <c r="M127" s="80">
        <f>IFERROR(XLOOKUP(K127,'Activity Settings'!$M$2:$M$200,'Activity Settings'!$L$2:$L$200),"Knapsack")</f>
        <v/>
      </c>
      <c r="N127" s="86">
        <f>IFERROR(XLOOKUP(J127&amp;"|"&amp;M127,Rates!$E$2:$E$13,Rates!$C$2:$C$13),0)</f>
        <v/>
      </c>
      <c r="O127" s="86">
        <f>L127*N127</f>
        <v/>
      </c>
    </row>
    <row r="128">
      <c r="A128" s="79" t="inlineStr">
        <is>
          <t>Scaled Rollout and Adoption</t>
        </is>
      </c>
      <c r="B128" s="79" t="inlineStr">
        <is>
          <t>Partner Enablement &amp; Recognition</t>
        </is>
      </c>
      <c r="C128" s="79" t="inlineStr">
        <is>
          <t>Define contribution metrics</t>
        </is>
      </c>
      <c r="D128" s="79" t="n"/>
      <c r="E128" s="79" t="n"/>
      <c r="F128" s="79" t="inlineStr">
        <is>
          <t>CX Partner - Change Management SME</t>
        </is>
      </c>
      <c r="G128" s="80" t="inlineStr">
        <is>
          <t>Adobe</t>
        </is>
      </c>
      <c r="H128" s="80" t="inlineStr">
        <is>
          <t>CX Partner</t>
        </is>
      </c>
      <c r="I128" s="80" t="inlineStr">
        <is>
          <t>29–32</t>
        </is>
      </c>
      <c r="J128" s="79">
        <f>IFERROR(XLOOKUP(H128,'Lookups - JourneyDeployment'!$K$3:$K$7,'Lookups - JourneyDeployment'!$L$3:$L$7),"")</f>
        <v/>
      </c>
      <c r="K128" s="80">
        <f>A128&amp;"|"&amp;B128</f>
        <v/>
      </c>
      <c r="L128" s="85">
        <f>IFERROR(XLOOKUP(K128,'Activity Settings'!$M$2:$M$200,'Activity Settings'!$J$2:$J$200),0)</f>
        <v/>
      </c>
      <c r="M128" s="80">
        <f>IFERROR(XLOOKUP(K128,'Activity Settings'!$M$2:$M$200,'Activity Settings'!$L$2:$L$200),"Knapsack")</f>
        <v/>
      </c>
      <c r="N128" s="86">
        <f>IFERROR(XLOOKUP(J128&amp;"|"&amp;M128,Rates!$E$2:$E$13,Rates!$C$2:$C$13),0)</f>
        <v/>
      </c>
      <c r="O128" s="86">
        <f>L128*N128</f>
        <v/>
      </c>
    </row>
    <row r="129">
      <c r="A129" s="79" t="inlineStr">
        <is>
          <t>Scaled Rollout and Adoption</t>
        </is>
      </c>
      <c r="B129" s="79" t="inlineStr">
        <is>
          <t>Partner Enablement &amp; Recognition</t>
        </is>
      </c>
      <c r="C129" s="79" t="inlineStr">
        <is>
          <t>Build leaderboard dashboard</t>
        </is>
      </c>
      <c r="D129" s="79" t="n"/>
      <c r="E129" s="79" t="n"/>
      <c r="F129" s="79" t="inlineStr">
        <is>
          <t>CX Partner - Change Management SME</t>
        </is>
      </c>
      <c r="G129" s="80" t="inlineStr">
        <is>
          <t>Adobe</t>
        </is>
      </c>
      <c r="H129" s="80" t="inlineStr">
        <is>
          <t>CX Partner</t>
        </is>
      </c>
      <c r="I129" s="80" t="inlineStr">
        <is>
          <t>29–32</t>
        </is>
      </c>
      <c r="J129" s="79">
        <f>IFERROR(XLOOKUP(H129,'Lookups - JourneyDeployment'!$K$3:$K$7,'Lookups - JourneyDeployment'!$L$3:$L$7),"")</f>
        <v/>
      </c>
      <c r="K129" s="80">
        <f>A129&amp;"|"&amp;B129</f>
        <v/>
      </c>
      <c r="L129" s="85">
        <f>IFERROR(XLOOKUP(K129,'Activity Settings'!$M$2:$M$200,'Activity Settings'!$J$2:$J$200),0)</f>
        <v/>
      </c>
      <c r="M129" s="80">
        <f>IFERROR(XLOOKUP(K129,'Activity Settings'!$M$2:$M$200,'Activity Settings'!$L$2:$L$200),"Knapsack")</f>
        <v/>
      </c>
      <c r="N129" s="86">
        <f>IFERROR(XLOOKUP(J129&amp;"|"&amp;M129,Rates!$E$2:$E$13,Rates!$C$2:$C$13),0)</f>
        <v/>
      </c>
      <c r="O129" s="86">
        <f>L129*N129</f>
        <v/>
      </c>
    </row>
    <row r="130">
      <c r="A130" s="79" t="inlineStr">
        <is>
          <t>Scaled Rollout and Adoption</t>
        </is>
      </c>
      <c r="B130" s="79" t="inlineStr">
        <is>
          <t>Partner Enablement &amp; Recognition</t>
        </is>
      </c>
      <c r="C130" s="79" t="inlineStr">
        <is>
          <t>Communicate recognition framework</t>
        </is>
      </c>
      <c r="D130" s="79" t="n"/>
      <c r="E130" s="79" t="n"/>
      <c r="F130" s="79" t="inlineStr">
        <is>
          <t>CX Partner - Change Management SME</t>
        </is>
      </c>
      <c r="G130" s="80" t="inlineStr">
        <is>
          <t>Adobe</t>
        </is>
      </c>
      <c r="H130" s="80" t="inlineStr">
        <is>
          <t>CX Partner</t>
        </is>
      </c>
      <c r="I130" s="80" t="inlineStr">
        <is>
          <t>29–32</t>
        </is>
      </c>
      <c r="J130" s="79">
        <f>IFERROR(XLOOKUP(H130,'Lookups - JourneyDeployment'!$K$3:$K$7,'Lookups - JourneyDeployment'!$L$3:$L$7),"")</f>
        <v/>
      </c>
      <c r="K130" s="80">
        <f>A130&amp;"|"&amp;B130</f>
        <v/>
      </c>
      <c r="L130" s="85">
        <f>IFERROR(XLOOKUP(K130,'Activity Settings'!$M$2:$M$200,'Activity Settings'!$J$2:$J$200),0)</f>
        <v/>
      </c>
      <c r="M130" s="80">
        <f>IFERROR(XLOOKUP(K130,'Activity Settings'!$M$2:$M$200,'Activity Settings'!$L$2:$L$200),"Knapsack")</f>
        <v/>
      </c>
      <c r="N130" s="86">
        <f>IFERROR(XLOOKUP(J130&amp;"|"&amp;M130,Rates!$E$2:$E$13,Rates!$C$2:$C$13),0)</f>
        <v/>
      </c>
      <c r="O130" s="86">
        <f>L130*N130</f>
        <v/>
      </c>
    </row>
    <row r="131">
      <c r="A131" s="79" t="inlineStr">
        <is>
          <t>Scaled Rollout and Adoption</t>
        </is>
      </c>
      <c r="B131" s="79" t="inlineStr">
        <is>
          <t>Partner Enablement &amp; Recognition</t>
        </is>
      </c>
      <c r="C131" s="79" t="inlineStr">
        <is>
          <t>Host partner recognition event</t>
        </is>
      </c>
      <c r="D131" s="79" t="inlineStr">
        <is>
          <t>Partner Contribution Leaderboard, Recognition Plan</t>
        </is>
      </c>
      <c r="E131" s="79" t="inlineStr">
        <is>
          <t>Drive engagement through recognition and contribution metrics.</t>
        </is>
      </c>
      <c r="F131" s="79" t="inlineStr">
        <is>
          <t>CX Partner - Change Management SME</t>
        </is>
      </c>
      <c r="G131" s="80" t="inlineStr">
        <is>
          <t>Adobe</t>
        </is>
      </c>
      <c r="H131" s="80" t="inlineStr">
        <is>
          <t>CX Partner</t>
        </is>
      </c>
      <c r="I131" s="80" t="inlineStr">
        <is>
          <t>29–32</t>
        </is>
      </c>
      <c r="J131" s="79">
        <f>IFERROR(XLOOKUP(H131,'Lookups - JourneyDeployment'!$K$3:$K$7,'Lookups - JourneyDeployment'!$L$3:$L$7),"")</f>
        <v/>
      </c>
      <c r="K131" s="80">
        <f>A131&amp;"|"&amp;B131</f>
        <v/>
      </c>
      <c r="L131" s="85">
        <f>IFERROR(XLOOKUP(K131,'Activity Settings'!$M$2:$M$200,'Activity Settings'!$J$2:$J$200),0)</f>
        <v/>
      </c>
      <c r="M131" s="80">
        <f>IFERROR(XLOOKUP(K131,'Activity Settings'!$M$2:$M$200,'Activity Settings'!$L$2:$L$200),"Knapsack")</f>
        <v/>
      </c>
      <c r="N131" s="86">
        <f>IFERROR(XLOOKUP(J131&amp;"|"&amp;M131,Rates!$E$2:$E$13,Rates!$C$2:$C$13),0)</f>
        <v/>
      </c>
      <c r="O131" s="86">
        <f>L131*N131</f>
        <v/>
      </c>
    </row>
    <row r="132">
      <c r="A132" s="79" t="inlineStr">
        <is>
          <t>Optimization and Continued Support</t>
        </is>
      </c>
      <c r="B132" s="79" t="inlineStr">
        <is>
          <t>Transition support</t>
        </is>
      </c>
      <c r="C132" s="79" t="inlineStr">
        <is>
          <t>Conduct lessons-learned session</t>
        </is>
      </c>
      <c r="D132" s="79" t="n"/>
      <c r="E132" s="79" t="n"/>
      <c r="F132" s="79" t="inlineStr">
        <is>
          <t>Senior Solutions Engineer</t>
        </is>
      </c>
      <c r="G132" s="80" t="inlineStr">
        <is>
          <t>Knapsack</t>
        </is>
      </c>
      <c r="H132" s="80" t="inlineStr">
        <is>
          <t>Engineer</t>
        </is>
      </c>
      <c r="I132" s="80" t="inlineStr">
        <is>
          <t>33+</t>
        </is>
      </c>
      <c r="J132" s="79">
        <f>IFERROR(XLOOKUP(H132,'Lookups - JourneyDeployment'!$K$3:$K$7,'Lookups - JourneyDeployment'!$L$3:$L$7),"")</f>
        <v/>
      </c>
      <c r="K132" s="80">
        <f>A132&amp;"|"&amp;B132</f>
        <v/>
      </c>
      <c r="L132" s="85">
        <f>IFERROR(XLOOKUP(K132,'Activity Settings'!$M$2:$M$200,'Activity Settings'!$J$2:$J$200),0)</f>
        <v/>
      </c>
      <c r="M132" s="80">
        <f>IFERROR(XLOOKUP(K132,'Activity Settings'!$M$2:$M$200,'Activity Settings'!$L$2:$L$200),"Knapsack")</f>
        <v/>
      </c>
      <c r="N132" s="86">
        <f>IFERROR(XLOOKUP(J132&amp;"|"&amp;M132,Rates!$E$2:$E$13,Rates!$C$2:$C$13),0)</f>
        <v/>
      </c>
      <c r="O132" s="86">
        <f>L132*N132</f>
        <v/>
      </c>
    </row>
    <row r="133">
      <c r="A133" s="79" t="inlineStr">
        <is>
          <t>Optimization and Continued Support</t>
        </is>
      </c>
      <c r="B133" s="79" t="inlineStr">
        <is>
          <t>Transition support</t>
        </is>
      </c>
      <c r="C133" s="79" t="inlineStr">
        <is>
          <t>Update improvement backlog</t>
        </is>
      </c>
      <c r="D133" s="79" t="n"/>
      <c r="E133" s="79" t="n"/>
      <c r="F133" s="79" t="inlineStr">
        <is>
          <t>Senior Solutions Engineer</t>
        </is>
      </c>
      <c r="G133" s="80" t="inlineStr">
        <is>
          <t>Knapsack</t>
        </is>
      </c>
      <c r="H133" s="80" t="inlineStr">
        <is>
          <t>Engineer</t>
        </is>
      </c>
      <c r="I133" s="80" t="inlineStr">
        <is>
          <t>33+</t>
        </is>
      </c>
      <c r="J133" s="79">
        <f>IFERROR(XLOOKUP(H133,'Lookups - JourneyDeployment'!$K$3:$K$7,'Lookups - JourneyDeployment'!$L$3:$L$7),"")</f>
        <v/>
      </c>
      <c r="K133" s="80">
        <f>A133&amp;"|"&amp;B133</f>
        <v/>
      </c>
      <c r="L133" s="85">
        <f>IFERROR(XLOOKUP(K133,'Activity Settings'!$M$2:$M$200,'Activity Settings'!$J$2:$J$200),0)</f>
        <v/>
      </c>
      <c r="M133" s="80">
        <f>IFERROR(XLOOKUP(K133,'Activity Settings'!$M$2:$M$200,'Activity Settings'!$L$2:$L$200),"Knapsack")</f>
        <v/>
      </c>
      <c r="N133" s="86">
        <f>IFERROR(XLOOKUP(J133&amp;"|"&amp;M133,Rates!$E$2:$E$13,Rates!$C$2:$C$13),0)</f>
        <v/>
      </c>
      <c r="O133" s="86">
        <f>L133*N133</f>
        <v/>
      </c>
    </row>
    <row r="134">
      <c r="A134" s="79" t="inlineStr">
        <is>
          <t>Optimization and Continued Support</t>
        </is>
      </c>
      <c r="B134" s="79" t="inlineStr">
        <is>
          <t>Transition support</t>
        </is>
      </c>
      <c r="C134" s="79" t="inlineStr">
        <is>
          <t>Create continuous improvement plan</t>
        </is>
      </c>
      <c r="D134" s="79" t="n"/>
      <c r="E134" s="79" t="n"/>
      <c r="F134" s="79" t="inlineStr">
        <is>
          <t>Senior Solutions Engineer</t>
        </is>
      </c>
      <c r="G134" s="80" t="inlineStr">
        <is>
          <t>Knapsack</t>
        </is>
      </c>
      <c r="H134" s="80" t="inlineStr">
        <is>
          <t>Engineer</t>
        </is>
      </c>
      <c r="I134" s="80" t="inlineStr">
        <is>
          <t>33+</t>
        </is>
      </c>
      <c r="J134" s="79">
        <f>IFERROR(XLOOKUP(H134,'Lookups - JourneyDeployment'!$K$3:$K$7,'Lookups - JourneyDeployment'!$L$3:$L$7),"")</f>
        <v/>
      </c>
      <c r="K134" s="80">
        <f>A134&amp;"|"&amp;B134</f>
        <v/>
      </c>
      <c r="L134" s="85">
        <f>IFERROR(XLOOKUP(K134,'Activity Settings'!$M$2:$M$200,'Activity Settings'!$J$2:$J$200),0)</f>
        <v/>
      </c>
      <c r="M134" s="80">
        <f>IFERROR(XLOOKUP(K134,'Activity Settings'!$M$2:$M$200,'Activity Settings'!$L$2:$L$200),"Knapsack")</f>
        <v/>
      </c>
      <c r="N134" s="86">
        <f>IFERROR(XLOOKUP(J134&amp;"|"&amp;M134,Rates!$E$2:$E$13,Rates!$C$2:$C$13),0)</f>
        <v/>
      </c>
      <c r="O134" s="86">
        <f>L134*N134</f>
        <v/>
      </c>
    </row>
    <row r="135">
      <c r="A135" s="79" t="inlineStr">
        <is>
          <t>Optimization and Continued Support</t>
        </is>
      </c>
      <c r="B135" s="79" t="inlineStr">
        <is>
          <t>Transition support</t>
        </is>
      </c>
      <c r="C135" s="79" t="inlineStr">
        <is>
          <t>Share analytics summary</t>
        </is>
      </c>
      <c r="D135" s="79" t="inlineStr">
        <is>
          <t>Continuous Improvement Plan</t>
        </is>
      </c>
      <c r="E135" s="79" t="inlineStr">
        <is>
          <t>Continuous improvement plan with analytics and recommendations.</t>
        </is>
      </c>
      <c r="F135" s="79" t="inlineStr">
        <is>
          <t>Senior Solutions Engineer</t>
        </is>
      </c>
      <c r="G135" s="80" t="inlineStr">
        <is>
          <t>Knapsack</t>
        </is>
      </c>
      <c r="H135" s="80" t="inlineStr">
        <is>
          <t>Engineer</t>
        </is>
      </c>
      <c r="I135" s="80" t="inlineStr">
        <is>
          <t>33+</t>
        </is>
      </c>
      <c r="J135" s="79">
        <f>IFERROR(XLOOKUP(H135,'Lookups - JourneyDeployment'!$K$3:$K$7,'Lookups - JourneyDeployment'!$L$3:$L$7),"")</f>
        <v/>
      </c>
      <c r="K135" s="80">
        <f>A135&amp;"|"&amp;B135</f>
        <v/>
      </c>
      <c r="L135" s="85">
        <f>IFERROR(XLOOKUP(K135,'Activity Settings'!$M$2:$M$200,'Activity Settings'!$J$2:$J$200),0)</f>
        <v/>
      </c>
      <c r="M135" s="80">
        <f>IFERROR(XLOOKUP(K135,'Activity Settings'!$M$2:$M$200,'Activity Settings'!$L$2:$L$200),"Knapsack")</f>
        <v/>
      </c>
      <c r="N135" s="86">
        <f>IFERROR(XLOOKUP(J135&amp;"|"&amp;M135,Rates!$E$2:$E$13,Rates!$C$2:$C$13),0)</f>
        <v/>
      </c>
      <c r="O135" s="86">
        <f>L135*N135</f>
        <v/>
      </c>
    </row>
    <row r="136">
      <c r="A136" s="79" t="inlineStr">
        <is>
          <t>Optimization and Continued Support</t>
        </is>
      </c>
      <c r="B136" s="79" t="inlineStr">
        <is>
          <t>Cutover Execution</t>
        </is>
      </c>
      <c r="C136" s="79" t="inlineStr">
        <is>
          <t>Perform production deployment</t>
        </is>
      </c>
      <c r="D136" s="79" t="n"/>
      <c r="E136" s="79" t="n"/>
      <c r="F136" s="79" t="inlineStr">
        <is>
          <t>Senior Solutions Engineer</t>
        </is>
      </c>
      <c r="G136" s="80" t="inlineStr">
        <is>
          <t>Knapsack</t>
        </is>
      </c>
      <c r="H136" s="80" t="inlineStr">
        <is>
          <t>Engineer</t>
        </is>
      </c>
      <c r="I136" s="80" t="inlineStr">
        <is>
          <t>33+</t>
        </is>
      </c>
      <c r="J136" s="79">
        <f>IFERROR(XLOOKUP(H136,'Lookups - JourneyDeployment'!$K$3:$K$7,'Lookups - JourneyDeployment'!$L$3:$L$7),"")</f>
        <v/>
      </c>
      <c r="K136" s="80">
        <f>A136&amp;"|"&amp;B136</f>
        <v/>
      </c>
      <c r="L136" s="85">
        <f>IFERROR(XLOOKUP(K136,'Activity Settings'!$M$2:$M$200,'Activity Settings'!$J$2:$J$200),0)</f>
        <v/>
      </c>
      <c r="M136" s="80">
        <f>IFERROR(XLOOKUP(K136,'Activity Settings'!$M$2:$M$200,'Activity Settings'!$L$2:$L$200),"Knapsack")</f>
        <v/>
      </c>
      <c r="N136" s="86">
        <f>IFERROR(XLOOKUP(J136&amp;"|"&amp;M136,Rates!$E$2:$E$13,Rates!$C$2:$C$13),0)</f>
        <v/>
      </c>
      <c r="O136" s="86">
        <f>L136*N136</f>
        <v/>
      </c>
    </row>
    <row r="137">
      <c r="A137" s="79" t="inlineStr">
        <is>
          <t>Optimization and Continued Support</t>
        </is>
      </c>
      <c r="B137" s="79" t="inlineStr">
        <is>
          <t>Cutover Execution</t>
        </is>
      </c>
      <c r="C137" s="79" t="inlineStr">
        <is>
          <t>Validate access and permissions</t>
        </is>
      </c>
      <c r="D137" s="79" t="n"/>
      <c r="E137" s="79" t="n"/>
      <c r="F137" s="79" t="inlineStr">
        <is>
          <t>Senior Solutions Engineer</t>
        </is>
      </c>
      <c r="G137" s="80" t="inlineStr">
        <is>
          <t>Knapsack</t>
        </is>
      </c>
      <c r="H137" s="80" t="inlineStr">
        <is>
          <t>Engineer</t>
        </is>
      </c>
      <c r="I137" s="80" t="inlineStr">
        <is>
          <t>33+</t>
        </is>
      </c>
      <c r="J137" s="79">
        <f>IFERROR(XLOOKUP(H137,'Lookups - JourneyDeployment'!$K$3:$K$7,'Lookups - JourneyDeployment'!$L$3:$L$7),"")</f>
        <v/>
      </c>
      <c r="K137" s="80">
        <f>A137&amp;"|"&amp;B137</f>
        <v/>
      </c>
      <c r="L137" s="85">
        <f>IFERROR(XLOOKUP(K137,'Activity Settings'!$M$2:$M$200,'Activity Settings'!$J$2:$J$200),0)</f>
        <v/>
      </c>
      <c r="M137" s="80">
        <f>IFERROR(XLOOKUP(K137,'Activity Settings'!$M$2:$M$200,'Activity Settings'!$L$2:$L$200),"Knapsack")</f>
        <v/>
      </c>
      <c r="N137" s="86">
        <f>IFERROR(XLOOKUP(J137&amp;"|"&amp;M137,Rates!$E$2:$E$13,Rates!$C$2:$C$13),0)</f>
        <v/>
      </c>
      <c r="O137" s="86">
        <f>L137*N137</f>
        <v/>
      </c>
    </row>
    <row r="138">
      <c r="A138" s="79" t="inlineStr">
        <is>
          <t>Optimization and Continued Support</t>
        </is>
      </c>
      <c r="B138" s="79" t="inlineStr">
        <is>
          <t>Cutover Execution</t>
        </is>
      </c>
      <c r="C138" s="79" t="inlineStr">
        <is>
          <t>Monitor service health dashboard</t>
        </is>
      </c>
      <c r="D138" s="79" t="n"/>
      <c r="E138" s="79" t="n"/>
      <c r="F138" s="79" t="inlineStr">
        <is>
          <t>Senior Solutions Engineer</t>
        </is>
      </c>
      <c r="G138" s="80" t="inlineStr">
        <is>
          <t>Knapsack</t>
        </is>
      </c>
      <c r="H138" s="80" t="inlineStr">
        <is>
          <t>Engineer</t>
        </is>
      </c>
      <c r="I138" s="80" t="inlineStr">
        <is>
          <t>33+</t>
        </is>
      </c>
      <c r="J138" s="79">
        <f>IFERROR(XLOOKUP(H138,'Lookups - JourneyDeployment'!$K$3:$K$7,'Lookups - JourneyDeployment'!$L$3:$L$7),"")</f>
        <v/>
      </c>
      <c r="K138" s="80">
        <f>A138&amp;"|"&amp;B138</f>
        <v/>
      </c>
      <c r="L138" s="85">
        <f>IFERROR(XLOOKUP(K138,'Activity Settings'!$M$2:$M$200,'Activity Settings'!$J$2:$J$200),0)</f>
        <v/>
      </c>
      <c r="M138" s="80">
        <f>IFERROR(XLOOKUP(K138,'Activity Settings'!$M$2:$M$200,'Activity Settings'!$L$2:$L$200),"Knapsack")</f>
        <v/>
      </c>
      <c r="N138" s="86">
        <f>IFERROR(XLOOKUP(J138&amp;"|"&amp;M138,Rates!$E$2:$E$13,Rates!$C$2:$C$13),0)</f>
        <v/>
      </c>
      <c r="O138" s="86">
        <f>L138*N138</f>
        <v/>
      </c>
    </row>
    <row r="139">
      <c r="A139" s="79" t="inlineStr">
        <is>
          <t>Optimization and Continued Support</t>
        </is>
      </c>
      <c r="B139" s="79" t="inlineStr">
        <is>
          <t>Cutover Execution</t>
        </is>
      </c>
      <c r="C139" s="79" t="inlineStr">
        <is>
          <t>Confirm deployment sign-off</t>
        </is>
      </c>
      <c r="D139" s="79" t="inlineStr">
        <is>
          <t>Deployment Completion Report, Access Validation, Service Health Dashboard</t>
        </is>
      </c>
      <c r="E139" s="79" t="inlineStr">
        <is>
          <t>Execute production deployment; validate access controls, deployment integrity, and service health.</t>
        </is>
      </c>
      <c r="F139" s="79" t="inlineStr">
        <is>
          <t>Senior Solutions Engineer</t>
        </is>
      </c>
      <c r="G139" s="80" t="inlineStr">
        <is>
          <t>Knapsack</t>
        </is>
      </c>
      <c r="H139" s="80" t="inlineStr">
        <is>
          <t>Engineer</t>
        </is>
      </c>
      <c r="I139" s="80" t="inlineStr">
        <is>
          <t>33+</t>
        </is>
      </c>
      <c r="J139" s="79">
        <f>IFERROR(XLOOKUP(H139,'Lookups - JourneyDeployment'!$K$3:$K$7,'Lookups - JourneyDeployment'!$L$3:$L$7),"")</f>
        <v/>
      </c>
      <c r="K139" s="80">
        <f>A139&amp;"|"&amp;B139</f>
        <v/>
      </c>
      <c r="L139" s="85">
        <f>IFERROR(XLOOKUP(K139,'Activity Settings'!$M$2:$M$200,'Activity Settings'!$J$2:$J$200),0)</f>
        <v/>
      </c>
      <c r="M139" s="80">
        <f>IFERROR(XLOOKUP(K139,'Activity Settings'!$M$2:$M$200,'Activity Settings'!$L$2:$L$200),"Knapsack")</f>
        <v/>
      </c>
      <c r="N139" s="86">
        <f>IFERROR(XLOOKUP(J139&amp;"|"&amp;M139,Rates!$E$2:$E$13,Rates!$C$2:$C$13),0)</f>
        <v/>
      </c>
      <c r="O139" s="86">
        <f>L139*N139</f>
        <v/>
      </c>
    </row>
    <row r="140">
      <c r="A140" s="79" t="inlineStr">
        <is>
          <t>Optimization and Continued Support</t>
        </is>
      </c>
      <c r="B140" s="79" t="inlineStr">
        <is>
          <t>Go-Live Communication Launch</t>
        </is>
      </c>
      <c r="C140" s="79" t="inlineStr">
        <is>
          <t>Draft go-live announcement and FAQ</t>
        </is>
      </c>
      <c r="D140" s="79" t="n"/>
      <c r="E140" s="79" t="n"/>
      <c r="F140" s="79" t="inlineStr">
        <is>
          <t>Project Manager</t>
        </is>
      </c>
      <c r="G140" s="80" t="inlineStr">
        <is>
          <t>Adobe</t>
        </is>
      </c>
      <c r="H140" s="80" t="inlineStr">
        <is>
          <t>Project Manager</t>
        </is>
      </c>
      <c r="I140" s="80" t="inlineStr">
        <is>
          <t>33+</t>
        </is>
      </c>
      <c r="J140" s="79">
        <f>IFERROR(XLOOKUP(H140,'Lookups - JourneyDeployment'!$K$3:$K$7,'Lookups - JourneyDeployment'!$L$3:$L$7),"")</f>
        <v/>
      </c>
      <c r="K140" s="80">
        <f>A140&amp;"|"&amp;B140</f>
        <v/>
      </c>
      <c r="L140" s="85">
        <f>IFERROR(XLOOKUP(K140,'Activity Settings'!$M$2:$M$200,'Activity Settings'!$J$2:$J$200),0)</f>
        <v/>
      </c>
      <c r="M140" s="80">
        <f>IFERROR(XLOOKUP(K140,'Activity Settings'!$M$2:$M$200,'Activity Settings'!$L$2:$L$200),"Knapsack")</f>
        <v/>
      </c>
      <c r="N140" s="86">
        <f>IFERROR(XLOOKUP(J140&amp;"|"&amp;M140,Rates!$E$2:$E$13,Rates!$C$2:$C$13),0)</f>
        <v/>
      </c>
      <c r="O140" s="86">
        <f>L140*N140</f>
        <v/>
      </c>
    </row>
    <row r="141">
      <c r="A141" s="79" t="inlineStr">
        <is>
          <t>Optimization and Continued Support</t>
        </is>
      </c>
      <c r="B141" s="79" t="inlineStr">
        <is>
          <t>Go-Live Communication Launch</t>
        </is>
      </c>
      <c r="C141" s="79" t="inlineStr">
        <is>
          <t>Coordinate internal distribution</t>
        </is>
      </c>
      <c r="D141" s="79" t="n"/>
      <c r="E141" s="79" t="n"/>
      <c r="F141" s="79" t="inlineStr">
        <is>
          <t>Project Manager</t>
        </is>
      </c>
      <c r="G141" s="80" t="inlineStr">
        <is>
          <t>Adobe</t>
        </is>
      </c>
      <c r="H141" s="80" t="inlineStr">
        <is>
          <t>Project Manager</t>
        </is>
      </c>
      <c r="I141" s="80" t="inlineStr">
        <is>
          <t>33+</t>
        </is>
      </c>
      <c r="J141" s="79">
        <f>IFERROR(XLOOKUP(H141,'Lookups - JourneyDeployment'!$K$3:$K$7,'Lookups - JourneyDeployment'!$L$3:$L$7),"")</f>
        <v/>
      </c>
      <c r="K141" s="80">
        <f>A141&amp;"|"&amp;B141</f>
        <v/>
      </c>
      <c r="L141" s="85">
        <f>IFERROR(XLOOKUP(K141,'Activity Settings'!$M$2:$M$200,'Activity Settings'!$J$2:$J$200),0)</f>
        <v/>
      </c>
      <c r="M141" s="80">
        <f>IFERROR(XLOOKUP(K141,'Activity Settings'!$M$2:$M$200,'Activity Settings'!$L$2:$L$200),"Knapsack")</f>
        <v/>
      </c>
      <c r="N141" s="86">
        <f>IFERROR(XLOOKUP(J141&amp;"|"&amp;M141,Rates!$E$2:$E$13,Rates!$C$2:$C$13),0)</f>
        <v/>
      </c>
      <c r="O141" s="86">
        <f>L141*N141</f>
        <v/>
      </c>
    </row>
    <row r="142">
      <c r="A142" s="79" t="inlineStr">
        <is>
          <t>Optimization and Continued Support</t>
        </is>
      </c>
      <c r="B142" s="79" t="inlineStr">
        <is>
          <t>Go-Live Communication Launch</t>
        </is>
      </c>
      <c r="C142" s="79" t="inlineStr">
        <is>
          <t>Activate support channels</t>
        </is>
      </c>
      <c r="D142" s="79" t="n"/>
      <c r="E142" s="79" t="n"/>
      <c r="F142" s="79" t="inlineStr">
        <is>
          <t>Project Manager</t>
        </is>
      </c>
      <c r="G142" s="80" t="inlineStr">
        <is>
          <t>Adobe</t>
        </is>
      </c>
      <c r="H142" s="80" t="inlineStr">
        <is>
          <t>Project Manager</t>
        </is>
      </c>
      <c r="I142" s="80" t="inlineStr">
        <is>
          <t>33+</t>
        </is>
      </c>
      <c r="J142" s="79">
        <f>IFERROR(XLOOKUP(H142,'Lookups - JourneyDeployment'!$K$3:$K$7,'Lookups - JourneyDeployment'!$L$3:$L$7),"")</f>
        <v/>
      </c>
      <c r="K142" s="80">
        <f>A142&amp;"|"&amp;B142</f>
        <v/>
      </c>
      <c r="L142" s="85">
        <f>IFERROR(XLOOKUP(K142,'Activity Settings'!$M$2:$M$200,'Activity Settings'!$J$2:$J$200),0)</f>
        <v/>
      </c>
      <c r="M142" s="80">
        <f>IFERROR(XLOOKUP(K142,'Activity Settings'!$M$2:$M$200,'Activity Settings'!$L$2:$L$200),"Knapsack")</f>
        <v/>
      </c>
      <c r="N142" s="86">
        <f>IFERROR(XLOOKUP(J142&amp;"|"&amp;M142,Rates!$E$2:$E$13,Rates!$C$2:$C$13),0)</f>
        <v/>
      </c>
      <c r="O142" s="86">
        <f>L142*N142</f>
        <v/>
      </c>
    </row>
    <row r="143">
      <c r="A143" s="79" t="inlineStr">
        <is>
          <t>Optimization and Continued Support</t>
        </is>
      </c>
      <c r="B143" s="79" t="inlineStr">
        <is>
          <t>Go-Live Communication Launch</t>
        </is>
      </c>
      <c r="C143" s="79" t="inlineStr">
        <is>
          <t>Collect user questions for knowledge base</t>
        </is>
      </c>
      <c r="D143" s="79" t="inlineStr">
        <is>
          <t>Internal Announcement, Go-Live FAQ, Support Channels</t>
        </is>
      </c>
      <c r="E143" s="79" t="inlineStr">
        <is>
          <t>Announce official go-live to stakeholders; provide communication templates and support channels.</t>
        </is>
      </c>
      <c r="F143" s="79" t="inlineStr">
        <is>
          <t>Project Manager</t>
        </is>
      </c>
      <c r="G143" s="80" t="inlineStr">
        <is>
          <t>Adobe</t>
        </is>
      </c>
      <c r="H143" s="80" t="inlineStr">
        <is>
          <t>Project Manager</t>
        </is>
      </c>
      <c r="I143" s="80" t="inlineStr">
        <is>
          <t>33+</t>
        </is>
      </c>
      <c r="J143" s="79">
        <f>IFERROR(XLOOKUP(H143,'Lookups - JourneyDeployment'!$K$3:$K$7,'Lookups - JourneyDeployment'!$L$3:$L$7),"")</f>
        <v/>
      </c>
      <c r="K143" s="80">
        <f>A143&amp;"|"&amp;B143</f>
        <v/>
      </c>
      <c r="L143" s="85">
        <f>IFERROR(XLOOKUP(K143,'Activity Settings'!$M$2:$M$200,'Activity Settings'!$J$2:$J$200),0)</f>
        <v/>
      </c>
      <c r="M143" s="80">
        <f>IFERROR(XLOOKUP(K143,'Activity Settings'!$M$2:$M$200,'Activity Settings'!$L$2:$L$200),"Knapsack")</f>
        <v/>
      </c>
      <c r="N143" s="86">
        <f>IFERROR(XLOOKUP(J143&amp;"|"&amp;M143,Rates!$E$2:$E$13,Rates!$C$2:$C$13),0)</f>
        <v/>
      </c>
      <c r="O143" s="86">
        <f>L143*N143</f>
        <v/>
      </c>
    </row>
    <row r="144">
      <c r="A144" s="79" t="inlineStr">
        <is>
          <t>Optimization and Continued Support</t>
        </is>
      </c>
      <c r="B144" s="79" t="inlineStr">
        <is>
          <t>Hypercare Phase (Post-Go-Live Support)</t>
        </is>
      </c>
      <c r="C144" s="79" t="inlineStr">
        <is>
          <t>Provide high-touch post-launch support</t>
        </is>
      </c>
      <c r="D144" s="79" t="n"/>
      <c r="E144" s="79" t="n"/>
      <c r="F144" s="79" t="inlineStr">
        <is>
          <t>Senior Solutions Engineer</t>
        </is>
      </c>
      <c r="G144" s="80" t="inlineStr">
        <is>
          <t>Knapsack</t>
        </is>
      </c>
      <c r="H144" s="80" t="inlineStr">
        <is>
          <t>Engineer</t>
        </is>
      </c>
      <c r="I144" s="80" t="inlineStr">
        <is>
          <t>33+</t>
        </is>
      </c>
      <c r="J144" s="79">
        <f>IFERROR(XLOOKUP(H144,'Lookups - JourneyDeployment'!$K$3:$K$7,'Lookups - JourneyDeployment'!$L$3:$L$7),"")</f>
        <v/>
      </c>
      <c r="K144" s="80">
        <f>A144&amp;"|"&amp;B144</f>
        <v/>
      </c>
      <c r="L144" s="85">
        <f>IFERROR(XLOOKUP(K144,'Activity Settings'!$M$2:$M$200,'Activity Settings'!$J$2:$J$200),0)</f>
        <v/>
      </c>
      <c r="M144" s="80">
        <f>IFERROR(XLOOKUP(K144,'Activity Settings'!$M$2:$M$200,'Activity Settings'!$L$2:$L$200),"Knapsack")</f>
        <v/>
      </c>
      <c r="N144" s="86">
        <f>IFERROR(XLOOKUP(J144&amp;"|"&amp;M144,Rates!$E$2:$E$13,Rates!$C$2:$C$13),0)</f>
        <v/>
      </c>
      <c r="O144" s="86">
        <f>L144*N144</f>
        <v/>
      </c>
    </row>
    <row r="145">
      <c r="A145" s="79" t="inlineStr">
        <is>
          <t>Optimization and Continued Support</t>
        </is>
      </c>
      <c r="B145" s="79" t="inlineStr">
        <is>
          <t>Hypercare Phase (Post-Go-Live Support)</t>
        </is>
      </c>
      <c r="C145" s="79" t="inlineStr">
        <is>
          <t>Monitor tickets and SLAs</t>
        </is>
      </c>
      <c r="D145" s="79" t="n"/>
      <c r="E145" s="79" t="n"/>
      <c r="F145" s="79" t="inlineStr">
        <is>
          <t>Senior Solutions Engineer</t>
        </is>
      </c>
      <c r="G145" s="80" t="inlineStr">
        <is>
          <t>Knapsack</t>
        </is>
      </c>
      <c r="H145" s="80" t="inlineStr">
        <is>
          <t>Engineer</t>
        </is>
      </c>
      <c r="I145" s="80" t="inlineStr">
        <is>
          <t>33+</t>
        </is>
      </c>
      <c r="J145" s="79">
        <f>IFERROR(XLOOKUP(H145,'Lookups - JourneyDeployment'!$K$3:$K$7,'Lookups - JourneyDeployment'!$L$3:$L$7),"")</f>
        <v/>
      </c>
      <c r="K145" s="80">
        <f>A145&amp;"|"&amp;B145</f>
        <v/>
      </c>
      <c r="L145" s="85">
        <f>IFERROR(XLOOKUP(K145,'Activity Settings'!$M$2:$M$200,'Activity Settings'!$J$2:$J$200),0)</f>
        <v/>
      </c>
      <c r="M145" s="80">
        <f>IFERROR(XLOOKUP(K145,'Activity Settings'!$M$2:$M$200,'Activity Settings'!$L$2:$L$200),"Knapsack")</f>
        <v/>
      </c>
      <c r="N145" s="86">
        <f>IFERROR(XLOOKUP(J145&amp;"|"&amp;M145,Rates!$E$2:$E$13,Rates!$C$2:$C$13),0)</f>
        <v/>
      </c>
      <c r="O145" s="86">
        <f>L145*N145</f>
        <v/>
      </c>
    </row>
    <row r="146">
      <c r="A146" s="79" t="inlineStr">
        <is>
          <t>Optimization and Continued Support</t>
        </is>
      </c>
      <c r="B146" s="79" t="inlineStr">
        <is>
          <t>Hypercare Phase (Post-Go-Live Support)</t>
        </is>
      </c>
      <c r="C146" s="79" t="inlineStr">
        <is>
          <t>Resolve critical issues</t>
        </is>
      </c>
      <c r="D146" s="79" t="n"/>
      <c r="E146" s="79" t="n"/>
      <c r="F146" s="79" t="inlineStr">
        <is>
          <t>Senior Solutions Engineer</t>
        </is>
      </c>
      <c r="G146" s="80" t="inlineStr">
        <is>
          <t>Knapsack</t>
        </is>
      </c>
      <c r="H146" s="80" t="inlineStr">
        <is>
          <t>Engineer</t>
        </is>
      </c>
      <c r="I146" s="80" t="inlineStr">
        <is>
          <t>33+</t>
        </is>
      </c>
      <c r="J146" s="79">
        <f>IFERROR(XLOOKUP(H146,'Lookups - JourneyDeployment'!$K$3:$K$7,'Lookups - JourneyDeployment'!$L$3:$L$7),"")</f>
        <v/>
      </c>
      <c r="K146" s="80">
        <f>A146&amp;"|"&amp;B146</f>
        <v/>
      </c>
      <c r="L146" s="85">
        <f>IFERROR(XLOOKUP(K146,'Activity Settings'!$M$2:$M$200,'Activity Settings'!$J$2:$J$200),0)</f>
        <v/>
      </c>
      <c r="M146" s="80">
        <f>IFERROR(XLOOKUP(K146,'Activity Settings'!$M$2:$M$200,'Activity Settings'!$L$2:$L$200),"Knapsack")</f>
        <v/>
      </c>
      <c r="N146" s="86">
        <f>IFERROR(XLOOKUP(J146&amp;"|"&amp;M146,Rates!$E$2:$E$13,Rates!$C$2:$C$13),0)</f>
        <v/>
      </c>
      <c r="O146" s="86">
        <f>L146*N146</f>
        <v/>
      </c>
    </row>
    <row r="147">
      <c r="A147" s="79" t="inlineStr">
        <is>
          <t>Optimization and Continued Support</t>
        </is>
      </c>
      <c r="B147" s="79" t="inlineStr">
        <is>
          <t>Hypercare Phase (Post-Go-Live Support)</t>
        </is>
      </c>
      <c r="C147" s="79" t="inlineStr">
        <is>
          <t>Deliver weekly hypercare reports</t>
        </is>
      </c>
      <c r="D147" s="79" t="inlineStr">
        <is>
          <t>Hypercare Status Reports, Issue Resolution Tracker</t>
        </is>
      </c>
      <c r="E147" s="79" t="inlineStr">
        <is>
          <t>Provide high-touch support for 30–90 days post go-live, track SLAs, and stabilize the system.</t>
        </is>
      </c>
      <c r="F147" s="79" t="inlineStr">
        <is>
          <t>Senior Solutions Engineer</t>
        </is>
      </c>
      <c r="G147" s="80" t="inlineStr">
        <is>
          <t>Knapsack</t>
        </is>
      </c>
      <c r="H147" s="80" t="inlineStr">
        <is>
          <t>Engineer</t>
        </is>
      </c>
      <c r="I147" s="80" t="inlineStr">
        <is>
          <t>33+</t>
        </is>
      </c>
      <c r="J147" s="79">
        <f>IFERROR(XLOOKUP(H147,'Lookups - JourneyDeployment'!$K$3:$K$7,'Lookups - JourneyDeployment'!$L$3:$L$7),"")</f>
        <v/>
      </c>
      <c r="K147" s="80">
        <f>A147&amp;"|"&amp;B147</f>
        <v/>
      </c>
      <c r="L147" s="85">
        <f>IFERROR(XLOOKUP(K147,'Activity Settings'!$M$2:$M$200,'Activity Settings'!$J$2:$J$200),0)</f>
        <v/>
      </c>
      <c r="M147" s="80">
        <f>IFERROR(XLOOKUP(K147,'Activity Settings'!$M$2:$M$200,'Activity Settings'!$L$2:$L$200),"Knapsack")</f>
        <v/>
      </c>
      <c r="N147" s="86">
        <f>IFERROR(XLOOKUP(J147&amp;"|"&amp;M147,Rates!$E$2:$E$13,Rates!$C$2:$C$13),0)</f>
        <v/>
      </c>
      <c r="O147" s="86">
        <f>L147*N147</f>
        <v/>
      </c>
    </row>
    <row r="148">
      <c r="A148" s="79" t="inlineStr">
        <is>
          <t>Optimization and Continued Support</t>
        </is>
      </c>
      <c r="B148" s="79" t="inlineStr">
        <is>
          <t>Post-Implementation Review</t>
        </is>
      </c>
      <c r="C148" s="79" t="inlineStr">
        <is>
          <t>Analyze KPIs and satisfaction metrics</t>
        </is>
      </c>
      <c r="D148" s="79" t="n"/>
      <c r="E148" s="79" t="n"/>
      <c r="F148" s="79" t="inlineStr">
        <is>
          <t>Project Manager</t>
        </is>
      </c>
      <c r="G148" s="80" t="inlineStr">
        <is>
          <t>Adobe</t>
        </is>
      </c>
      <c r="H148" s="80" t="inlineStr">
        <is>
          <t>Project Manager</t>
        </is>
      </c>
      <c r="I148" s="80" t="inlineStr">
        <is>
          <t>33+</t>
        </is>
      </c>
      <c r="J148" s="79">
        <f>IFERROR(XLOOKUP(H148,'Lookups - JourneyDeployment'!$K$3:$K$7,'Lookups - JourneyDeployment'!$L$3:$L$7),"")</f>
        <v/>
      </c>
      <c r="K148" s="80">
        <f>A148&amp;"|"&amp;B148</f>
        <v/>
      </c>
      <c r="L148" s="85">
        <f>IFERROR(XLOOKUP(K148,'Activity Settings'!$M$2:$M$200,'Activity Settings'!$J$2:$J$200),0)</f>
        <v/>
      </c>
      <c r="M148" s="80">
        <f>IFERROR(XLOOKUP(K148,'Activity Settings'!$M$2:$M$200,'Activity Settings'!$L$2:$L$200),"Knapsack")</f>
        <v/>
      </c>
      <c r="N148" s="86">
        <f>IFERROR(XLOOKUP(J148&amp;"|"&amp;M148,Rates!$E$2:$E$13,Rates!$C$2:$C$13),0)</f>
        <v/>
      </c>
      <c r="O148" s="86">
        <f>L148*N148</f>
        <v/>
      </c>
    </row>
    <row r="149">
      <c r="A149" s="79" t="inlineStr">
        <is>
          <t>Optimization and Continued Support</t>
        </is>
      </c>
      <c r="B149" s="79" t="inlineStr">
        <is>
          <t>Post-Implementation Review</t>
        </is>
      </c>
      <c r="C149" s="79" t="inlineStr">
        <is>
          <t>Conduct stakeholder debrief</t>
        </is>
      </c>
      <c r="D149" s="79" t="n"/>
      <c r="E149" s="79" t="n"/>
      <c r="F149" s="79" t="inlineStr">
        <is>
          <t>Project Manager</t>
        </is>
      </c>
      <c r="G149" s="80" t="inlineStr">
        <is>
          <t>Adobe</t>
        </is>
      </c>
      <c r="H149" s="80" t="inlineStr">
        <is>
          <t>Project Manager</t>
        </is>
      </c>
      <c r="I149" s="80" t="inlineStr">
        <is>
          <t>33+</t>
        </is>
      </c>
      <c r="J149" s="79">
        <f>IFERROR(XLOOKUP(H149,'Lookups - JourneyDeployment'!$K$3:$K$7,'Lookups - JourneyDeployment'!$L$3:$L$7),"")</f>
        <v/>
      </c>
      <c r="K149" s="80">
        <f>A149&amp;"|"&amp;B149</f>
        <v/>
      </c>
      <c r="L149" s="85">
        <f>IFERROR(XLOOKUP(K149,'Activity Settings'!$M$2:$M$200,'Activity Settings'!$J$2:$J$200),0)</f>
        <v/>
      </c>
      <c r="M149" s="80">
        <f>IFERROR(XLOOKUP(K149,'Activity Settings'!$M$2:$M$200,'Activity Settings'!$L$2:$L$200),"Knapsack")</f>
        <v/>
      </c>
      <c r="N149" s="86">
        <f>IFERROR(XLOOKUP(J149&amp;"|"&amp;M149,Rates!$E$2:$E$13,Rates!$C$2:$C$13),0)</f>
        <v/>
      </c>
      <c r="O149" s="86">
        <f>L149*N149</f>
        <v/>
      </c>
    </row>
    <row r="150">
      <c r="A150" s="79" t="inlineStr">
        <is>
          <t>Optimization and Continued Support</t>
        </is>
      </c>
      <c r="B150" s="79" t="inlineStr">
        <is>
          <t>Post-Implementation Review</t>
        </is>
      </c>
      <c r="C150" s="79" t="inlineStr">
        <is>
          <t>Document lessons learned</t>
        </is>
      </c>
      <c r="D150" s="79" t="n"/>
      <c r="E150" s="79" t="n"/>
      <c r="F150" s="79" t="inlineStr">
        <is>
          <t>Project Manager</t>
        </is>
      </c>
      <c r="G150" s="80" t="inlineStr">
        <is>
          <t>Adobe</t>
        </is>
      </c>
      <c r="H150" s="80" t="inlineStr">
        <is>
          <t>Project Manager</t>
        </is>
      </c>
      <c r="I150" s="80" t="inlineStr">
        <is>
          <t>33+</t>
        </is>
      </c>
      <c r="J150" s="79">
        <f>IFERROR(XLOOKUP(H150,'Lookups - JourneyDeployment'!$K$3:$K$7,'Lookups - JourneyDeployment'!$L$3:$L$7),"")</f>
        <v/>
      </c>
      <c r="K150" s="80">
        <f>A150&amp;"|"&amp;B150</f>
        <v/>
      </c>
      <c r="L150" s="85">
        <f>IFERROR(XLOOKUP(K150,'Activity Settings'!$M$2:$M$200,'Activity Settings'!$J$2:$J$200),0)</f>
        <v/>
      </c>
      <c r="M150" s="80">
        <f>IFERROR(XLOOKUP(K150,'Activity Settings'!$M$2:$M$200,'Activity Settings'!$L$2:$L$200),"Knapsack")</f>
        <v/>
      </c>
      <c r="N150" s="86">
        <f>IFERROR(XLOOKUP(J150&amp;"|"&amp;M150,Rates!$E$2:$E$13,Rates!$C$2:$C$13),0)</f>
        <v/>
      </c>
      <c r="O150" s="86">
        <f>L150*N150</f>
        <v/>
      </c>
    </row>
    <row r="151">
      <c r="A151" s="79" t="inlineStr">
        <is>
          <t>Optimization and Continued Support</t>
        </is>
      </c>
      <c r="B151" s="79" t="inlineStr">
        <is>
          <t>Post-Implementation Review</t>
        </is>
      </c>
      <c r="C151" s="79" t="inlineStr">
        <is>
          <t>Prepare optimization backlog</t>
        </is>
      </c>
      <c r="D151" s="79" t="inlineStr">
        <is>
          <t>Lessons Learned Summary, KPI Report, Optimization Backlog</t>
        </is>
      </c>
      <c r="E151" s="79" t="inlineStr">
        <is>
          <t>Evaluate performance, adoption, and partner satisfaction to inform optimization roadmap.</t>
        </is>
      </c>
      <c r="F151" s="79" t="inlineStr">
        <is>
          <t>Project Manager</t>
        </is>
      </c>
      <c r="G151" s="80" t="inlineStr">
        <is>
          <t>Adobe</t>
        </is>
      </c>
      <c r="H151" s="80" t="inlineStr">
        <is>
          <t>Project Manager</t>
        </is>
      </c>
      <c r="I151" s="80" t="inlineStr">
        <is>
          <t>33+</t>
        </is>
      </c>
      <c r="J151" s="79">
        <f>IFERROR(XLOOKUP(H151,'Lookups - JourneyDeployment'!$K$3:$K$7,'Lookups - JourneyDeployment'!$L$3:$L$7),"")</f>
        <v/>
      </c>
      <c r="K151" s="80">
        <f>A151&amp;"|"&amp;B151</f>
        <v/>
      </c>
      <c r="L151" s="85">
        <f>IFERROR(XLOOKUP(K151,'Activity Settings'!$M$2:$M$200,'Activity Settings'!$J$2:$J$200),0)</f>
        <v/>
      </c>
      <c r="M151" s="80">
        <f>IFERROR(XLOOKUP(K151,'Activity Settings'!$M$2:$M$200,'Activity Settings'!$L$2:$L$200),"Knapsack")</f>
        <v/>
      </c>
      <c r="N151" s="86">
        <f>IFERROR(XLOOKUP(J151&amp;"|"&amp;M151,Rates!$E$2:$E$13,Rates!$C$2:$C$13),0)</f>
        <v/>
      </c>
      <c r="O151" s="86">
        <f>L151*N151</f>
        <v/>
      </c>
    </row>
    <row r="152">
      <c r="A152" s="79" t="inlineStr">
        <is>
          <t>Optimization and Continued Support</t>
        </is>
      </c>
      <c r="B152" s="79" t="inlineStr">
        <is>
          <t>Transition to Steady-State Operations</t>
        </is>
      </c>
      <c r="C152" s="79" t="inlineStr">
        <is>
          <t>Facilitate knowledge transfer sessions</t>
        </is>
      </c>
      <c r="D152" s="79" t="n"/>
      <c r="E152" s="79" t="n"/>
      <c r="F152" s="79" t="inlineStr">
        <is>
          <t>Design System Lead</t>
        </is>
      </c>
      <c r="G152" s="80" t="inlineStr">
        <is>
          <t>Adobe</t>
        </is>
      </c>
      <c r="H152" s="80" t="inlineStr">
        <is>
          <t>Design Lead</t>
        </is>
      </c>
      <c r="I152" s="80" t="inlineStr">
        <is>
          <t>33+</t>
        </is>
      </c>
      <c r="J152" s="79">
        <f>IFERROR(XLOOKUP(H152,'Lookups - JourneyDeployment'!$K$3:$K$7,'Lookups - JourneyDeployment'!$L$3:$L$7),"")</f>
        <v/>
      </c>
      <c r="K152" s="80">
        <f>A152&amp;"|"&amp;B152</f>
        <v/>
      </c>
      <c r="L152" s="85">
        <f>IFERROR(XLOOKUP(K152,'Activity Settings'!$M$2:$M$200,'Activity Settings'!$J$2:$J$200),0)</f>
        <v/>
      </c>
      <c r="M152" s="80">
        <f>IFERROR(XLOOKUP(K152,'Activity Settings'!$M$2:$M$200,'Activity Settings'!$L$2:$L$200),"Knapsack")</f>
        <v/>
      </c>
      <c r="N152" s="86">
        <f>IFERROR(XLOOKUP(J152&amp;"|"&amp;M152,Rates!$E$2:$E$13,Rates!$C$2:$C$13),0)</f>
        <v/>
      </c>
      <c r="O152" s="86">
        <f>L152*N152</f>
        <v/>
      </c>
    </row>
    <row r="153">
      <c r="A153" s="79" t="inlineStr">
        <is>
          <t>Optimization and Continued Support</t>
        </is>
      </c>
      <c r="B153" s="79" t="inlineStr">
        <is>
          <t>Transition to Steady-State Operations</t>
        </is>
      </c>
      <c r="C153" s="79" t="inlineStr">
        <is>
          <t>Deliver ownership matrix</t>
        </is>
      </c>
      <c r="D153" s="79" t="n"/>
      <c r="E153" s="79" t="n"/>
      <c r="F153" s="79" t="inlineStr">
        <is>
          <t>Design System Lead</t>
        </is>
      </c>
      <c r="G153" s="80" t="inlineStr">
        <is>
          <t>Adobe</t>
        </is>
      </c>
      <c r="H153" s="80" t="inlineStr">
        <is>
          <t>Design Lead</t>
        </is>
      </c>
      <c r="I153" s="80" t="inlineStr">
        <is>
          <t>33+</t>
        </is>
      </c>
      <c r="J153" s="79">
        <f>IFERROR(XLOOKUP(H153,'Lookups - JourneyDeployment'!$K$3:$K$7,'Lookups - JourneyDeployment'!$L$3:$L$7),"")</f>
        <v/>
      </c>
      <c r="K153" s="80">
        <f>A153&amp;"|"&amp;B153</f>
        <v/>
      </c>
      <c r="L153" s="85">
        <f>IFERROR(XLOOKUP(K153,'Activity Settings'!$M$2:$M$200,'Activity Settings'!$J$2:$J$200),0)</f>
        <v/>
      </c>
      <c r="M153" s="80">
        <f>IFERROR(XLOOKUP(K153,'Activity Settings'!$M$2:$M$200,'Activity Settings'!$L$2:$L$200),"Knapsack")</f>
        <v/>
      </c>
      <c r="N153" s="86">
        <f>IFERROR(XLOOKUP(J153&amp;"|"&amp;M153,Rates!$E$2:$E$13,Rates!$C$2:$C$13),0)</f>
        <v/>
      </c>
      <c r="O153" s="86">
        <f>L153*N153</f>
        <v/>
      </c>
    </row>
    <row r="154">
      <c r="A154" s="79" t="inlineStr">
        <is>
          <t>Optimization and Continued Support</t>
        </is>
      </c>
      <c r="B154" s="79" t="inlineStr">
        <is>
          <t>Transition to Steady-State Operations</t>
        </is>
      </c>
      <c r="C154" s="79" t="inlineStr">
        <is>
          <t>Confirm governance cadence</t>
        </is>
      </c>
      <c r="D154" s="79" t="n"/>
      <c r="E154" s="79" t="n"/>
      <c r="F154" s="79" t="inlineStr">
        <is>
          <t>Design System Lead</t>
        </is>
      </c>
      <c r="G154" s="80" t="inlineStr">
        <is>
          <t>Adobe</t>
        </is>
      </c>
      <c r="H154" s="80" t="inlineStr">
        <is>
          <t>Design Lead</t>
        </is>
      </c>
      <c r="I154" s="80" t="inlineStr">
        <is>
          <t>33+</t>
        </is>
      </c>
      <c r="J154" s="79">
        <f>IFERROR(XLOOKUP(H154,'Lookups - JourneyDeployment'!$K$3:$K$7,'Lookups - JourneyDeployment'!$L$3:$L$7),"")</f>
        <v/>
      </c>
      <c r="K154" s="80">
        <f>A154&amp;"|"&amp;B154</f>
        <v/>
      </c>
      <c r="L154" s="85">
        <f>IFERROR(XLOOKUP(K154,'Activity Settings'!$M$2:$M$200,'Activity Settings'!$J$2:$J$200),0)</f>
        <v/>
      </c>
      <c r="M154" s="80">
        <f>IFERROR(XLOOKUP(K154,'Activity Settings'!$M$2:$M$200,'Activity Settings'!$L$2:$L$200),"Knapsack")</f>
        <v/>
      </c>
      <c r="N154" s="86">
        <f>IFERROR(XLOOKUP(J154&amp;"|"&amp;M154,Rates!$E$2:$E$13,Rates!$C$2:$C$13),0)</f>
        <v/>
      </c>
      <c r="O154" s="86">
        <f>L154*N154</f>
        <v/>
      </c>
    </row>
    <row r="155">
      <c r="A155" s="79" t="inlineStr">
        <is>
          <t>Optimization and Continued Support</t>
        </is>
      </c>
      <c r="B155" s="79" t="inlineStr">
        <is>
          <t>Transition to Steady-State Operations</t>
        </is>
      </c>
      <c r="C155" s="79" t="inlineStr">
        <is>
          <t>Transition documentation to internal owners</t>
        </is>
      </c>
      <c r="D155" s="79" t="inlineStr">
        <is>
          <t>Knowledge Transfer Documentation, Ownership Matrix, Future Roadmap</t>
        </is>
      </c>
      <c r="E155" s="79" t="inlineStr">
        <is>
          <t>Transition ownership to internal design ops and engineering teams; confirm governance cadence.</t>
        </is>
      </c>
      <c r="F155" s="79" t="inlineStr">
        <is>
          <t>Design System Lead</t>
        </is>
      </c>
      <c r="G155" s="80" t="inlineStr">
        <is>
          <t>Adobe</t>
        </is>
      </c>
      <c r="H155" s="80" t="inlineStr">
        <is>
          <t>Design Lead</t>
        </is>
      </c>
      <c r="I155" s="80" t="inlineStr">
        <is>
          <t>33+</t>
        </is>
      </c>
      <c r="J155" s="79">
        <f>IFERROR(XLOOKUP(H155,'Lookups - JourneyDeployment'!$K$3:$K$7,'Lookups - JourneyDeployment'!$L$3:$L$7),"")</f>
        <v/>
      </c>
      <c r="K155" s="80">
        <f>A155&amp;"|"&amp;B155</f>
        <v/>
      </c>
      <c r="L155" s="85">
        <f>IFERROR(XLOOKUP(K155,'Activity Settings'!$M$2:$M$200,'Activity Settings'!$J$2:$J$200),0)</f>
        <v/>
      </c>
      <c r="M155" s="80">
        <f>IFERROR(XLOOKUP(K155,'Activity Settings'!$M$2:$M$200,'Activity Settings'!$L$2:$L$200),"Knapsack")</f>
        <v/>
      </c>
      <c r="N155" s="86">
        <f>IFERROR(XLOOKUP(J155&amp;"|"&amp;M155,Rates!$E$2:$E$13,Rates!$C$2:$C$13),0)</f>
        <v/>
      </c>
      <c r="O155" s="86">
        <f>L155*N155</f>
        <v/>
      </c>
    </row>
    <row r="156">
      <c r="A156" s="79" t="inlineStr">
        <is>
          <t>Optimization and Continued Support</t>
        </is>
      </c>
      <c r="B156" s="79" t="inlineStr">
        <is>
          <t>Continuous Improvement Framework</t>
        </is>
      </c>
      <c r="C156" s="79" t="inlineStr">
        <is>
          <t>Develop sentiment tracking dashboards</t>
        </is>
      </c>
      <c r="D156" s="79" t="n"/>
      <c r="E156" s="79" t="n"/>
      <c r="F156" s="79" t="inlineStr">
        <is>
          <t>CX Partner - Change Management SME</t>
        </is>
      </c>
      <c r="G156" s="80" t="inlineStr">
        <is>
          <t>Adobe</t>
        </is>
      </c>
      <c r="H156" s="80" t="inlineStr">
        <is>
          <t>CX Partner</t>
        </is>
      </c>
      <c r="I156" s="80" t="inlineStr">
        <is>
          <t>33+</t>
        </is>
      </c>
      <c r="J156" s="79">
        <f>IFERROR(XLOOKUP(H156,'Lookups - JourneyDeployment'!$K$3:$K$7,'Lookups - JourneyDeployment'!$L$3:$L$7),"")</f>
        <v/>
      </c>
      <c r="K156" s="80">
        <f>A156&amp;"|"&amp;B156</f>
        <v/>
      </c>
      <c r="L156" s="85">
        <f>IFERROR(XLOOKUP(K156,'Activity Settings'!$M$2:$M$200,'Activity Settings'!$J$2:$J$200),0)</f>
        <v/>
      </c>
      <c r="M156" s="80">
        <f>IFERROR(XLOOKUP(K156,'Activity Settings'!$M$2:$M$200,'Activity Settings'!$L$2:$L$200),"Knapsack")</f>
        <v/>
      </c>
      <c r="N156" s="86">
        <f>IFERROR(XLOOKUP(J156&amp;"|"&amp;M156,Rates!$E$2:$E$13,Rates!$C$2:$C$13),0)</f>
        <v/>
      </c>
      <c r="O156" s="86">
        <f>L156*N156</f>
        <v/>
      </c>
    </row>
    <row r="157">
      <c r="A157" s="79" t="inlineStr">
        <is>
          <t>Optimization and Continued Support</t>
        </is>
      </c>
      <c r="B157" s="79" t="inlineStr">
        <is>
          <t>Continuous Improvement Framework</t>
        </is>
      </c>
      <c r="C157" s="79" t="inlineStr">
        <is>
          <t>Monitor adoption trends</t>
        </is>
      </c>
      <c r="D157" s="79" t="n"/>
      <c r="E157" s="79" t="n"/>
      <c r="F157" s="79" t="inlineStr">
        <is>
          <t>CX Partner - Change Management SME</t>
        </is>
      </c>
      <c r="G157" s="80" t="inlineStr">
        <is>
          <t>Adobe</t>
        </is>
      </c>
      <c r="H157" s="80" t="inlineStr">
        <is>
          <t>CX Partner</t>
        </is>
      </c>
      <c r="I157" s="80" t="inlineStr">
        <is>
          <t>33+</t>
        </is>
      </c>
      <c r="J157" s="79">
        <f>IFERROR(XLOOKUP(H157,'Lookups - JourneyDeployment'!$K$3:$K$7,'Lookups - JourneyDeployment'!$L$3:$L$7),"")</f>
        <v/>
      </c>
      <c r="K157" s="80">
        <f>A157&amp;"|"&amp;B157</f>
        <v/>
      </c>
      <c r="L157" s="85">
        <f>IFERROR(XLOOKUP(K157,'Activity Settings'!$M$2:$M$200,'Activity Settings'!$J$2:$J$200),0)</f>
        <v/>
      </c>
      <c r="M157" s="80">
        <f>IFERROR(XLOOKUP(K157,'Activity Settings'!$M$2:$M$200,'Activity Settings'!$L$2:$L$200),"Knapsack")</f>
        <v/>
      </c>
      <c r="N157" s="86">
        <f>IFERROR(XLOOKUP(J157&amp;"|"&amp;M157,Rates!$E$2:$E$13,Rates!$C$2:$C$13),0)</f>
        <v/>
      </c>
      <c r="O157" s="86">
        <f>L157*N157</f>
        <v/>
      </c>
    </row>
    <row r="158">
      <c r="A158" s="79" t="inlineStr">
        <is>
          <t>Optimization and Continued Support</t>
        </is>
      </c>
      <c r="B158" s="79" t="inlineStr">
        <is>
          <t>Continuous Improvement Framework</t>
        </is>
      </c>
      <c r="C158" s="79" t="inlineStr">
        <is>
          <t>Recommend process improvements</t>
        </is>
      </c>
      <c r="D158" s="79" t="n"/>
      <c r="E158" s="79" t="n"/>
      <c r="F158" s="79" t="inlineStr">
        <is>
          <t>CX Partner - Change Management SME</t>
        </is>
      </c>
      <c r="G158" s="80" t="inlineStr">
        <is>
          <t>Adobe</t>
        </is>
      </c>
      <c r="H158" s="80" t="inlineStr">
        <is>
          <t>CX Partner</t>
        </is>
      </c>
      <c r="I158" s="80" t="inlineStr">
        <is>
          <t>33+</t>
        </is>
      </c>
      <c r="J158" s="79">
        <f>IFERROR(XLOOKUP(H158,'Lookups - JourneyDeployment'!$K$3:$K$7,'Lookups - JourneyDeployment'!$L$3:$L$7),"")</f>
        <v/>
      </c>
      <c r="K158" s="80">
        <f>A158&amp;"|"&amp;B158</f>
        <v/>
      </c>
      <c r="L158" s="85">
        <f>IFERROR(XLOOKUP(K158,'Activity Settings'!$M$2:$M$200,'Activity Settings'!$J$2:$J$200),0)</f>
        <v/>
      </c>
      <c r="M158" s="80">
        <f>IFERROR(XLOOKUP(K158,'Activity Settings'!$M$2:$M$200,'Activity Settings'!$L$2:$L$200),"Knapsack")</f>
        <v/>
      </c>
      <c r="N158" s="86">
        <f>IFERROR(XLOOKUP(J158&amp;"|"&amp;M158,Rates!$E$2:$E$13,Rates!$C$2:$C$13),0)</f>
        <v/>
      </c>
      <c r="O158" s="86">
        <f>L158*N158</f>
        <v/>
      </c>
    </row>
    <row r="159">
      <c r="A159" s="79" t="inlineStr">
        <is>
          <t>Optimization and Continued Support</t>
        </is>
      </c>
      <c r="B159" s="79" t="inlineStr">
        <is>
          <t>Continuous Improvement Framework</t>
        </is>
      </c>
      <c r="C159" s="79" t="inlineStr">
        <is>
          <t>Report quarterly metrics</t>
        </is>
      </c>
      <c r="D159" s="79" t="inlineStr">
        <is>
          <t>Adoption Dashboards, Sentiment Trend Reports</t>
        </is>
      </c>
      <c r="E159" s="79" t="inlineStr">
        <is>
          <t>Maintain engagement and track long-term adoption trends.</t>
        </is>
      </c>
      <c r="F159" s="79" t="inlineStr">
        <is>
          <t>CX Partner - Change Management SME</t>
        </is>
      </c>
      <c r="G159" s="80" t="inlineStr">
        <is>
          <t>Adobe</t>
        </is>
      </c>
      <c r="H159" s="80" t="inlineStr">
        <is>
          <t>CX Partner</t>
        </is>
      </c>
      <c r="I159" s="80" t="inlineStr">
        <is>
          <t>33+</t>
        </is>
      </c>
      <c r="J159" s="79">
        <f>IFERROR(XLOOKUP(H159,'Lookups - JourneyDeployment'!$K$3:$K$7,'Lookups - JourneyDeployment'!$L$3:$L$7),"")</f>
        <v/>
      </c>
      <c r="K159" s="80">
        <f>A159&amp;"|"&amp;B159</f>
        <v/>
      </c>
      <c r="L159" s="85">
        <f>IFERROR(XLOOKUP(K159,'Activity Settings'!$M$2:$M$200,'Activity Settings'!$J$2:$J$200),0)</f>
        <v/>
      </c>
      <c r="M159" s="80">
        <f>IFERROR(XLOOKUP(K159,'Activity Settings'!$M$2:$M$200,'Activity Settings'!$L$2:$L$200),"Knapsack")</f>
        <v/>
      </c>
      <c r="N159" s="86">
        <f>IFERROR(XLOOKUP(J159&amp;"|"&amp;M159,Rates!$E$2:$E$13,Rates!$C$2:$C$13),0)</f>
        <v/>
      </c>
      <c r="O159" s="86">
        <f>L159*N159</f>
        <v/>
      </c>
    </row>
    <row r="160">
      <c r="A160" s="79" t="inlineStr">
        <is>
          <t>Optimization and Continued Support</t>
        </is>
      </c>
      <c r="B160" s="79" t="inlineStr">
        <is>
          <t>Strategic Partnership Review</t>
        </is>
      </c>
      <c r="C160" s="79" t="inlineStr">
        <is>
          <t>Conduct quarterly business reviews</t>
        </is>
      </c>
      <c r="D160" s="79" t="n"/>
      <c r="E160" s="79" t="n"/>
      <c r="F160" s="79" t="inlineStr">
        <is>
          <t>CX Partner - Change Management SME</t>
        </is>
      </c>
      <c r="G160" s="80" t="inlineStr">
        <is>
          <t>Knapsack</t>
        </is>
      </c>
      <c r="H160" s="80" t="inlineStr">
        <is>
          <t>CX Partner</t>
        </is>
      </c>
      <c r="I160" s="80" t="inlineStr">
        <is>
          <t>33+</t>
        </is>
      </c>
      <c r="J160" s="79">
        <f>IFERROR(XLOOKUP(H160,'Lookups - JourneyDeployment'!$K$3:$K$7,'Lookups - JourneyDeployment'!$L$3:$L$7),"")</f>
        <v/>
      </c>
      <c r="K160" s="80">
        <f>A160&amp;"|"&amp;B160</f>
        <v/>
      </c>
      <c r="L160" s="85">
        <f>IFERROR(XLOOKUP(K160,'Activity Settings'!$M$2:$M$200,'Activity Settings'!$J$2:$J$200),0)</f>
        <v/>
      </c>
      <c r="M160" s="80">
        <f>IFERROR(XLOOKUP(K160,'Activity Settings'!$M$2:$M$200,'Activity Settings'!$L$2:$L$200),"Knapsack")</f>
        <v/>
      </c>
      <c r="N160" s="86">
        <f>IFERROR(XLOOKUP(J160&amp;"|"&amp;M160,Rates!$E$2:$E$13,Rates!$C$2:$C$13),0)</f>
        <v/>
      </c>
      <c r="O160" s="86">
        <f>L160*N160</f>
        <v/>
      </c>
    </row>
    <row r="161">
      <c r="A161" s="79" t="inlineStr">
        <is>
          <t>Optimization and Continued Support</t>
        </is>
      </c>
      <c r="B161" s="79" t="inlineStr">
        <is>
          <t>Strategic Partnership Review</t>
        </is>
      </c>
      <c r="C161" s="79" t="inlineStr">
        <is>
          <t>Analyze partnership performance</t>
        </is>
      </c>
      <c r="D161" s="79" t="n"/>
      <c r="E161" s="79" t="n"/>
      <c r="F161" s="79" t="inlineStr">
        <is>
          <t>CX Partner - Change Management SME</t>
        </is>
      </c>
      <c r="G161" s="80" t="inlineStr">
        <is>
          <t>Knapsack</t>
        </is>
      </c>
      <c r="H161" s="80" t="inlineStr">
        <is>
          <t>CX Partner</t>
        </is>
      </c>
      <c r="I161" s="80" t="inlineStr">
        <is>
          <t>33+</t>
        </is>
      </c>
      <c r="J161" s="79">
        <f>IFERROR(XLOOKUP(H161,'Lookups - JourneyDeployment'!$K$3:$K$7,'Lookups - JourneyDeployment'!$L$3:$L$7),"")</f>
        <v/>
      </c>
      <c r="K161" s="80">
        <f>A161&amp;"|"&amp;B161</f>
        <v/>
      </c>
      <c r="L161" s="85">
        <f>IFERROR(XLOOKUP(K161,'Activity Settings'!$M$2:$M$200,'Activity Settings'!$J$2:$J$200),0)</f>
        <v/>
      </c>
      <c r="M161" s="80">
        <f>IFERROR(XLOOKUP(K161,'Activity Settings'!$M$2:$M$200,'Activity Settings'!$L$2:$L$200),"Knapsack")</f>
        <v/>
      </c>
      <c r="N161" s="86">
        <f>IFERROR(XLOOKUP(J161&amp;"|"&amp;M161,Rates!$E$2:$E$13,Rates!$C$2:$C$13),0)</f>
        <v/>
      </c>
      <c r="O161" s="86">
        <f>L161*N161</f>
        <v/>
      </c>
    </row>
    <row r="162">
      <c r="A162" s="79" t="inlineStr">
        <is>
          <t>Optimization and Continued Support</t>
        </is>
      </c>
      <c r="B162" s="79" t="inlineStr">
        <is>
          <t>Strategic Partnership Review</t>
        </is>
      </c>
      <c r="C162" s="79" t="inlineStr">
        <is>
          <t>Identify collaboration opportunities</t>
        </is>
      </c>
      <c r="D162" s="79" t="n"/>
      <c r="E162" s="79" t="n"/>
      <c r="F162" s="79" t="inlineStr">
        <is>
          <t>CX Partner - Change Management SME</t>
        </is>
      </c>
      <c r="G162" s="80" t="inlineStr">
        <is>
          <t>Knapsack</t>
        </is>
      </c>
      <c r="H162" s="80" t="inlineStr">
        <is>
          <t>CX Partner</t>
        </is>
      </c>
      <c r="I162" s="80" t="inlineStr">
        <is>
          <t>33+</t>
        </is>
      </c>
      <c r="J162" s="79">
        <f>IFERROR(XLOOKUP(H162,'Lookups - JourneyDeployment'!$K$3:$K$7,'Lookups - JourneyDeployment'!$L$3:$L$7),"")</f>
        <v/>
      </c>
      <c r="K162" s="80">
        <f>A162&amp;"|"&amp;B162</f>
        <v/>
      </c>
      <c r="L162" s="85">
        <f>IFERROR(XLOOKUP(K162,'Activity Settings'!$M$2:$M$200,'Activity Settings'!$J$2:$J$200),0)</f>
        <v/>
      </c>
      <c r="M162" s="80">
        <f>IFERROR(XLOOKUP(K162,'Activity Settings'!$M$2:$M$200,'Activity Settings'!$L$2:$L$200),"Knapsack")</f>
        <v/>
      </c>
      <c r="N162" s="86">
        <f>IFERROR(XLOOKUP(J162&amp;"|"&amp;M162,Rates!$E$2:$E$13,Rates!$C$2:$C$13),0)</f>
        <v/>
      </c>
      <c r="O162" s="86">
        <f>L162*N162</f>
        <v/>
      </c>
    </row>
    <row r="163">
      <c r="A163" s="79" t="inlineStr">
        <is>
          <t>Optimization and Continued Support</t>
        </is>
      </c>
      <c r="B163" s="79" t="inlineStr">
        <is>
          <t>Strategic Partnership Review</t>
        </is>
      </c>
      <c r="C163" s="79" t="inlineStr">
        <is>
          <t>Update partnership roadmap</t>
        </is>
      </c>
      <c r="D163" s="79" t="inlineStr">
        <is>
          <t>Quarterly Business Review Deck</t>
        </is>
      </c>
      <c r="E163" s="79" t="inlineStr">
        <is>
          <t>Evaluate ongoing partnership alignment and strategic direction.</t>
        </is>
      </c>
      <c r="F163" s="79" t="inlineStr">
        <is>
          <t>CX Partner - Change Management SME</t>
        </is>
      </c>
      <c r="G163" s="80" t="inlineStr">
        <is>
          <t>Knapsack</t>
        </is>
      </c>
      <c r="H163" s="80" t="inlineStr">
        <is>
          <t>CX Partner</t>
        </is>
      </c>
      <c r="I163" s="80" t="inlineStr">
        <is>
          <t>33+</t>
        </is>
      </c>
      <c r="J163" s="79">
        <f>IFERROR(XLOOKUP(H163,'Lookups - JourneyDeployment'!$K$3:$K$7,'Lookups - JourneyDeployment'!$L$3:$L$7),"")</f>
        <v/>
      </c>
      <c r="K163" s="80">
        <f>A163&amp;"|"&amp;B163</f>
        <v/>
      </c>
      <c r="L163" s="85">
        <f>IFERROR(XLOOKUP(K163,'Activity Settings'!$M$2:$M$200,'Activity Settings'!$J$2:$J$200),0)</f>
        <v/>
      </c>
      <c r="M163" s="80">
        <f>IFERROR(XLOOKUP(K163,'Activity Settings'!$M$2:$M$200,'Activity Settings'!$L$2:$L$200),"Knapsack")</f>
        <v/>
      </c>
      <c r="N163" s="86">
        <f>IFERROR(XLOOKUP(J163&amp;"|"&amp;M163,Rates!$E$2:$E$13,Rates!$C$2:$C$13),0)</f>
        <v/>
      </c>
      <c r="O163" s="86">
        <f>L163*N163</f>
        <v/>
      </c>
    </row>
    <row r="164">
      <c r="A164" s="79" t="inlineStr">
        <is>
          <t>Optimization and Continued Support</t>
        </is>
      </c>
      <c r="B164" s="79" t="inlineStr">
        <is>
          <t>Case Study Development</t>
        </is>
      </c>
      <c r="C164" s="79" t="inlineStr">
        <is>
          <t>Collect success metrics and outcomes</t>
        </is>
      </c>
      <c r="D164" s="79" t="n"/>
      <c r="E164" s="79" t="n"/>
      <c r="F164" s="79" t="inlineStr">
        <is>
          <t>CX Partner - Change Management SME</t>
        </is>
      </c>
      <c r="G164" s="80" t="inlineStr">
        <is>
          <t>Adobe</t>
        </is>
      </c>
      <c r="H164" s="80" t="inlineStr">
        <is>
          <t>CX Partner</t>
        </is>
      </c>
      <c r="I164" s="80" t="inlineStr">
        <is>
          <t>33+</t>
        </is>
      </c>
      <c r="J164" s="79">
        <f>IFERROR(XLOOKUP(H164,'Lookups - JourneyDeployment'!$K$3:$K$7,'Lookups - JourneyDeployment'!$L$3:$L$7),"")</f>
        <v/>
      </c>
      <c r="K164" s="80">
        <f>A164&amp;"|"&amp;B164</f>
        <v/>
      </c>
      <c r="L164" s="85">
        <f>IFERROR(XLOOKUP(K164,'Activity Settings'!$M$2:$M$200,'Activity Settings'!$J$2:$J$200),0)</f>
        <v/>
      </c>
      <c r="M164" s="80">
        <f>IFERROR(XLOOKUP(K164,'Activity Settings'!$M$2:$M$200,'Activity Settings'!$L$2:$L$200),"Knapsack")</f>
        <v/>
      </c>
      <c r="N164" s="86">
        <f>IFERROR(XLOOKUP(J164&amp;"|"&amp;M164,Rates!$E$2:$E$13,Rates!$C$2:$C$13),0)</f>
        <v/>
      </c>
      <c r="O164" s="86">
        <f>L164*N164</f>
        <v/>
      </c>
    </row>
    <row r="165">
      <c r="A165" s="79" t="inlineStr">
        <is>
          <t>Optimization and Continued Support</t>
        </is>
      </c>
      <c r="B165" s="79" t="inlineStr">
        <is>
          <t>Case Study Development</t>
        </is>
      </c>
      <c r="C165" s="79" t="inlineStr">
        <is>
          <t>Draft internal case study</t>
        </is>
      </c>
      <c r="D165" s="79" t="n"/>
      <c r="E165" s="79" t="n"/>
      <c r="F165" s="79" t="inlineStr">
        <is>
          <t>CX Partner - Change Management SME</t>
        </is>
      </c>
      <c r="G165" s="80" t="inlineStr">
        <is>
          <t>Adobe</t>
        </is>
      </c>
      <c r="H165" s="80" t="inlineStr">
        <is>
          <t>CX Partner</t>
        </is>
      </c>
      <c r="I165" s="80" t="inlineStr">
        <is>
          <t>33+</t>
        </is>
      </c>
      <c r="J165" s="79">
        <f>IFERROR(XLOOKUP(H165,'Lookups - JourneyDeployment'!$K$3:$K$7,'Lookups - JourneyDeployment'!$L$3:$L$7),"")</f>
        <v/>
      </c>
      <c r="K165" s="80">
        <f>A165&amp;"|"&amp;B165</f>
        <v/>
      </c>
      <c r="L165" s="85">
        <f>IFERROR(XLOOKUP(K165,'Activity Settings'!$M$2:$M$200,'Activity Settings'!$J$2:$J$200),0)</f>
        <v/>
      </c>
      <c r="M165" s="80">
        <f>IFERROR(XLOOKUP(K165,'Activity Settings'!$M$2:$M$200,'Activity Settings'!$L$2:$L$200),"Knapsack")</f>
        <v/>
      </c>
      <c r="N165" s="86">
        <f>IFERROR(XLOOKUP(J165&amp;"|"&amp;M165,Rates!$E$2:$E$13,Rates!$C$2:$C$13),0)</f>
        <v/>
      </c>
      <c r="O165" s="86">
        <f>L165*N165</f>
        <v/>
      </c>
    </row>
    <row r="166">
      <c r="A166" s="79" t="inlineStr">
        <is>
          <t>Optimization and Continued Support</t>
        </is>
      </c>
      <c r="B166" s="79" t="inlineStr">
        <is>
          <t>Case Study Development</t>
        </is>
      </c>
      <c r="C166" s="79" t="inlineStr">
        <is>
          <t>Obtain approvals for publishing</t>
        </is>
      </c>
      <c r="D166" s="79" t="n"/>
      <c r="E166" s="79" t="n"/>
      <c r="F166" s="79" t="inlineStr">
        <is>
          <t>CX Partner - Change Management SME</t>
        </is>
      </c>
      <c r="G166" s="80" t="inlineStr">
        <is>
          <t>Adobe</t>
        </is>
      </c>
      <c r="H166" s="80" t="inlineStr">
        <is>
          <t>CX Partner</t>
        </is>
      </c>
      <c r="I166" s="80" t="inlineStr">
        <is>
          <t>33+</t>
        </is>
      </c>
      <c r="J166" s="79">
        <f>IFERROR(XLOOKUP(H166,'Lookups - JourneyDeployment'!$K$3:$K$7,'Lookups - JourneyDeployment'!$L$3:$L$7),"")</f>
        <v/>
      </c>
      <c r="K166" s="80">
        <f>A166&amp;"|"&amp;B166</f>
        <v/>
      </c>
      <c r="L166" s="85">
        <f>IFERROR(XLOOKUP(K166,'Activity Settings'!$M$2:$M$200,'Activity Settings'!$J$2:$J$200),0)</f>
        <v/>
      </c>
      <c r="M166" s="80">
        <f>IFERROR(XLOOKUP(K166,'Activity Settings'!$M$2:$M$200,'Activity Settings'!$L$2:$L$200),"Knapsack")</f>
        <v/>
      </c>
      <c r="N166" s="86">
        <f>IFERROR(XLOOKUP(J166&amp;"|"&amp;M166,Rates!$E$2:$E$13,Rates!$C$2:$C$13),0)</f>
        <v/>
      </c>
      <c r="O166" s="86">
        <f>L166*N166</f>
        <v/>
      </c>
    </row>
    <row r="167" s="74">
      <c r="A167" s="79" t="inlineStr">
        <is>
          <t>Optimization and Continued Support</t>
        </is>
      </c>
      <c r="B167" s="79" t="inlineStr">
        <is>
          <t>Case Study Development</t>
        </is>
      </c>
      <c r="C167" s="79" t="inlineStr">
        <is>
          <t>Archive case study in program library</t>
        </is>
      </c>
      <c r="D167" s="79" t="inlineStr">
        <is>
          <t>Internal Case Study + Success Metrics</t>
        </is>
      </c>
      <c r="E167" s="79" t="inlineStr">
        <is>
          <t>Document program success and outcomes for future scaling.</t>
        </is>
      </c>
      <c r="F167" s="79" t="inlineStr">
        <is>
          <t>CX Partner - Change Management SME</t>
        </is>
      </c>
      <c r="G167" s="80" t="inlineStr">
        <is>
          <t>Adobe</t>
        </is>
      </c>
      <c r="H167" s="80" t="inlineStr">
        <is>
          <t>CX Partner</t>
        </is>
      </c>
      <c r="I167" s="80" t="inlineStr">
        <is>
          <t>33+</t>
        </is>
      </c>
      <c r="J167" s="79">
        <f>IFERROR(XLOOKUP(H167,'Lookups - JourneyDeployment'!$K$3:$K$7,'Lookups - JourneyDeployment'!$L$3:$L$7),"")</f>
        <v/>
      </c>
      <c r="K167" s="80">
        <f>A167&amp;"|"&amp;B167</f>
        <v/>
      </c>
      <c r="L167" s="85">
        <f>IFERROR(XLOOKUP(K167,'Activity Settings'!$M$2:$M$200,'Activity Settings'!$J$2:$J$200),0)</f>
        <v/>
      </c>
      <c r="M167" s="80">
        <f>IFERROR(XLOOKUP(K167,'Activity Settings'!$M$2:$M$200,'Activity Settings'!$L$2:$L$200),"Knapsack")</f>
        <v/>
      </c>
      <c r="N167" s="86">
        <f>IFERROR(XLOOKUP(J167&amp;"|"&amp;M167,Rates!$E$2:$E$13,Rates!$C$2:$C$13),0)</f>
        <v/>
      </c>
      <c r="O167" s="86">
        <f>L167*N167</f>
        <v/>
      </c>
    </row>
    <row r="168" s="74">
      <c r="A168" s="79" t="inlineStr">
        <is>
          <t>Implementation + Onboarding</t>
        </is>
      </c>
      <c r="B168" s="79" t="inlineStr">
        <is>
          <t>Design System Charter &amp; Reference Architecture</t>
        </is>
      </c>
      <c r="C168" s="79" t="inlineStr">
        <is>
          <t>Define design system scope, tiering (core vs product), and success metrics (JTBD + KPIs)</t>
        </is>
      </c>
      <c r="D168" s="79" t="n"/>
      <c r="E168" s="79" t="n"/>
      <c r="F168" s="79" t="inlineStr">
        <is>
          <t>Knapsack - Program/Delivery PM</t>
        </is>
      </c>
      <c r="G168" s="80" t="inlineStr">
        <is>
          <t>Knapsack</t>
        </is>
      </c>
      <c r="H168" s="80" t="inlineStr">
        <is>
          <t>Project Manager</t>
        </is>
      </c>
      <c r="I168" s="80" t="inlineStr">
        <is>
          <t>2–3</t>
        </is>
      </c>
      <c r="J168" s="79">
        <f>IFERROR(XLOOKUP(H168,'Lookups - JourneyDeployment'!$K$3:$K$7,'Lookups - JourneyDeployment'!$L$3:$L$7),"")</f>
        <v/>
      </c>
      <c r="K168" s="80">
        <f>A168&amp;"|"&amp;B168</f>
        <v/>
      </c>
      <c r="L168" s="85">
        <f>IFERROR(XLOOKUP(K168,'Activity Settings'!$M$2:$M$200,'Activity Settings'!$J$2:$J$200),0)</f>
        <v/>
      </c>
      <c r="M168" s="80">
        <f>IFERROR(XLOOKUP(K168,'Activity Settings'!$M$2:$M$200,'Activity Settings'!$L$2:$L$200),"Knapsack")</f>
        <v/>
      </c>
      <c r="N168" s="86">
        <f>IFERROR(XLOOKUP(J168&amp;"|"&amp;M168,Rates!$E$2:$E$13,Rates!$C$2:$C$13),0)</f>
        <v/>
      </c>
      <c r="O168" s="86">
        <f>L168*N168</f>
        <v/>
      </c>
    </row>
    <row r="169" s="74">
      <c r="A169" s="79" t="inlineStr">
        <is>
          <t>Implementation + Onboarding</t>
        </is>
      </c>
      <c r="B169" s="79" t="inlineStr">
        <is>
          <t>Design System Charter &amp; Reference Architecture</t>
        </is>
      </c>
      <c r="C169" s="79" t="inlineStr">
        <is>
          <t>Align stakeholders on governance model (decision rights, contribution, release ownership)</t>
        </is>
      </c>
      <c r="D169" s="79" t="n"/>
      <c r="E169" s="79" t="n"/>
      <c r="F169" s="79" t="inlineStr">
        <is>
          <t>Knapsack - Program/Delivery PM</t>
        </is>
      </c>
      <c r="G169" s="80" t="inlineStr">
        <is>
          <t>Knapsack</t>
        </is>
      </c>
      <c r="H169" s="80" t="inlineStr">
        <is>
          <t>Project Manager</t>
        </is>
      </c>
      <c r="I169" s="80" t="inlineStr">
        <is>
          <t>2–3</t>
        </is>
      </c>
      <c r="J169" s="79">
        <f>IFERROR(XLOOKUP(H169,'Lookups - JourneyDeployment'!$K$3:$K$7,'Lookups - JourneyDeployment'!$L$3:$L$7),"")</f>
        <v/>
      </c>
      <c r="K169" s="80">
        <f>A169&amp;"|"&amp;B169</f>
        <v/>
      </c>
      <c r="L169" s="85">
        <f>IFERROR(XLOOKUP(K169,'Activity Settings'!$M$2:$M$200,'Activity Settings'!$J$2:$J$200),0)</f>
        <v/>
      </c>
      <c r="M169" s="80">
        <f>IFERROR(XLOOKUP(K169,'Activity Settings'!$M$2:$M$200,'Activity Settings'!$L$2:$L$200),"Knapsack")</f>
        <v/>
      </c>
      <c r="N169" s="86">
        <f>IFERROR(XLOOKUP(J169&amp;"|"&amp;M169,Rates!$E$2:$E$13,Rates!$C$2:$C$13),0)</f>
        <v/>
      </c>
      <c r="O169" s="86">
        <f>L169*N169</f>
        <v/>
      </c>
    </row>
    <row r="170" s="74">
      <c r="A170" s="79" t="inlineStr">
        <is>
          <t>Implementation + Onboarding</t>
        </is>
      </c>
      <c r="B170" s="79" t="inlineStr">
        <is>
          <t>Design System Charter &amp; Reference Architecture</t>
        </is>
      </c>
      <c r="C170" s="79" t="inlineStr">
        <is>
          <t>Draft reference architecture (tokens → packages → docs → integrations) and data flows</t>
        </is>
      </c>
      <c r="D170" s="79" t="n"/>
      <c r="E170" s="79" t="n"/>
      <c r="F170" s="79" t="inlineStr">
        <is>
          <t>Knapsack - Design System / Platform SME</t>
        </is>
      </c>
      <c r="G170" s="80" t="inlineStr">
        <is>
          <t>Knapsack</t>
        </is>
      </c>
      <c r="H170" s="80" t="inlineStr">
        <is>
          <t>SME</t>
        </is>
      </c>
      <c r="I170" s="80" t="inlineStr">
        <is>
          <t>2–3</t>
        </is>
      </c>
      <c r="J170" s="79">
        <f>IFERROR(XLOOKUP(H170,'Lookups - JourneyDeployment'!$K$3:$K$7,'Lookups - JourneyDeployment'!$L$3:$L$7),"")</f>
        <v/>
      </c>
      <c r="K170" s="80">
        <f>A170&amp;"|"&amp;B170</f>
        <v/>
      </c>
      <c r="L170" s="85">
        <f>IFERROR(XLOOKUP(K170,'Activity Settings'!$M$2:$M$200,'Activity Settings'!$J$2:$J$200),0)</f>
        <v/>
      </c>
      <c r="M170" s="80">
        <f>IFERROR(XLOOKUP(K170,'Activity Settings'!$M$2:$M$200,'Activity Settings'!$L$2:$L$200),"Knapsack")</f>
        <v/>
      </c>
      <c r="N170" s="86">
        <f>IFERROR(XLOOKUP(J170&amp;"|"&amp;M170,Rates!$E$2:$E$13,Rates!$C$2:$C$13),0)</f>
        <v/>
      </c>
      <c r="O170" s="86">
        <f>L170*N170</f>
        <v/>
      </c>
    </row>
    <row r="171" s="74">
      <c r="A171" s="79" t="inlineStr">
        <is>
          <t>Implementation + Onboarding</t>
        </is>
      </c>
      <c r="B171" s="79" t="inlineStr">
        <is>
          <t>Design System Charter &amp; Reference Architecture</t>
        </is>
      </c>
      <c r="C171" s="79" t="inlineStr">
        <is>
          <t>Define adoption measurement plan (usage, drift, quality, velocity) and instrumentation points</t>
        </is>
      </c>
      <c r="D171" s="79" t="n"/>
      <c r="E171" s="79" t="n"/>
      <c r="F171" s="79" t="inlineStr">
        <is>
          <t>Knapsack - Design System / Platform SME</t>
        </is>
      </c>
      <c r="G171" s="80" t="inlineStr">
        <is>
          <t>Knapsack</t>
        </is>
      </c>
      <c r="H171" s="80" t="inlineStr">
        <is>
          <t>SME</t>
        </is>
      </c>
      <c r="I171" s="80" t="inlineStr">
        <is>
          <t>2–3</t>
        </is>
      </c>
      <c r="J171" s="79">
        <f>IFERROR(XLOOKUP(H171,'Lookups - JourneyDeployment'!$K$3:$K$7,'Lookups - JourneyDeployment'!$L$3:$L$7),"")</f>
        <v/>
      </c>
      <c r="K171" s="80">
        <f>A171&amp;"|"&amp;B171</f>
        <v/>
      </c>
      <c r="L171" s="85">
        <f>IFERROR(XLOOKUP(K171,'Activity Settings'!$M$2:$M$200,'Activity Settings'!$J$2:$J$200),0)</f>
        <v/>
      </c>
      <c r="M171" s="80">
        <f>IFERROR(XLOOKUP(K171,'Activity Settings'!$M$2:$M$200,'Activity Settings'!$L$2:$L$200),"Knapsack")</f>
        <v/>
      </c>
      <c r="N171" s="86">
        <f>IFERROR(XLOOKUP(J171&amp;"|"&amp;M171,Rates!$E$2:$E$13,Rates!$C$2:$C$13),0)</f>
        <v/>
      </c>
      <c r="O171" s="86">
        <f>L171*N171</f>
        <v/>
      </c>
    </row>
    <row r="172" s="74">
      <c r="A172" s="79" t="inlineStr">
        <is>
          <t>Implementation + Onboarding</t>
        </is>
      </c>
      <c r="B172" s="79" t="inlineStr">
        <is>
          <t>Design System Charter &amp; Reference Architecture</t>
        </is>
      </c>
      <c r="C172" s="79" t="inlineStr">
        <is>
          <t>Finalize charter and publish operating cadence</t>
        </is>
      </c>
      <c r="D172" s="79" t="inlineStr">
        <is>
          <t>Design System Charter + Reference Architecture</t>
        </is>
      </c>
      <c r="E172" s="79" t="inlineStr">
        <is>
          <t>Charter, KPIs, governance, and reference architecture diagram for the design↔code system.</t>
        </is>
      </c>
      <c r="F172" s="79" t="inlineStr">
        <is>
          <t>Knapsack - Program/Delivery PM</t>
        </is>
      </c>
      <c r="G172" s="80" t="inlineStr">
        <is>
          <t>Knapsack</t>
        </is>
      </c>
      <c r="H172" s="80" t="inlineStr">
        <is>
          <t>Project Manager</t>
        </is>
      </c>
      <c r="I172" s="80" t="inlineStr">
        <is>
          <t>2–3</t>
        </is>
      </c>
      <c r="J172" s="79">
        <f>IFERROR(XLOOKUP(H172,'Lookups - JourneyDeployment'!$K$3:$K$7,'Lookups - JourneyDeployment'!$L$3:$L$7),"")</f>
        <v/>
      </c>
      <c r="K172" s="80">
        <f>A172&amp;"|"&amp;B172</f>
        <v/>
      </c>
      <c r="L172" s="85">
        <f>IFERROR(XLOOKUP(K172,'Activity Settings'!$M$2:$M$200,'Activity Settings'!$J$2:$J$200),0)</f>
        <v/>
      </c>
      <c r="M172" s="80">
        <f>IFERROR(XLOOKUP(K172,'Activity Settings'!$M$2:$M$200,'Activity Settings'!$L$2:$L$200),"Knapsack")</f>
        <v/>
      </c>
      <c r="N172" s="86">
        <f>IFERROR(XLOOKUP(J172&amp;"|"&amp;M172,Rates!$E$2:$E$13,Rates!$C$2:$C$13),0)</f>
        <v/>
      </c>
      <c r="O172" s="86">
        <f>L172*N172</f>
        <v/>
      </c>
    </row>
    <row r="173" s="74">
      <c r="A173" s="79" t="inlineStr">
        <is>
          <t>Implementation + Onboarding</t>
        </is>
      </c>
      <c r="B173" s="79" t="inlineStr">
        <is>
          <t>Foundations &amp; Token Taxonomy</t>
        </is>
      </c>
      <c r="C173" s="79" t="inlineStr">
        <is>
          <t>Audit existing foundations (color/type/spacing/elevation/motion/icons) and define target standards</t>
        </is>
      </c>
      <c r="D173" s="79" t="n"/>
      <c r="E173" s="79" t="n"/>
      <c r="F173" s="79" t="inlineStr">
        <is>
          <t>Knapsack - Design System Lead</t>
        </is>
      </c>
      <c r="G173" s="80" t="inlineStr">
        <is>
          <t>Knapsack</t>
        </is>
      </c>
      <c r="H173" s="80" t="inlineStr">
        <is>
          <t>Design Lead</t>
        </is>
      </c>
      <c r="I173" s="80" t="inlineStr">
        <is>
          <t>3–4</t>
        </is>
      </c>
      <c r="J173" s="79">
        <f>IFERROR(XLOOKUP(H173,'Lookups - JourneyDeployment'!$K$3:$K$7,'Lookups - JourneyDeployment'!$L$3:$L$7),"")</f>
        <v/>
      </c>
      <c r="K173" s="80">
        <f>A173&amp;"|"&amp;B173</f>
        <v/>
      </c>
      <c r="L173" s="85">
        <f>IFERROR(XLOOKUP(K173,'Activity Settings'!$M$2:$M$200,'Activity Settings'!$J$2:$J$200),0)</f>
        <v/>
      </c>
      <c r="M173" s="80">
        <f>IFERROR(XLOOKUP(K173,'Activity Settings'!$M$2:$M$200,'Activity Settings'!$L$2:$L$200),"Knapsack")</f>
        <v/>
      </c>
      <c r="N173" s="86">
        <f>IFERROR(XLOOKUP(J173&amp;"|"&amp;M173,Rates!$E$2:$E$13,Rates!$C$2:$C$13),0)</f>
        <v/>
      </c>
      <c r="O173" s="86">
        <f>L173*N173</f>
        <v/>
      </c>
    </row>
    <row r="174" s="74">
      <c r="A174" s="79" t="inlineStr">
        <is>
          <t>Implementation + Onboarding</t>
        </is>
      </c>
      <c r="B174" s="79" t="inlineStr">
        <is>
          <t>Foundations &amp; Token Taxonomy</t>
        </is>
      </c>
      <c r="C174" s="79" t="inlineStr">
        <is>
          <t>Define token taxonomy (global/semantic/component) and naming conventions</t>
        </is>
      </c>
      <c r="D174" s="79" t="n"/>
      <c r="E174" s="79" t="n"/>
      <c r="F174" s="79" t="inlineStr">
        <is>
          <t>Knapsack - Design System Lead</t>
        </is>
      </c>
      <c r="G174" s="80" t="inlineStr">
        <is>
          <t>Knapsack</t>
        </is>
      </c>
      <c r="H174" s="80" t="inlineStr">
        <is>
          <t>Design Lead</t>
        </is>
      </c>
      <c r="I174" s="80" t="inlineStr">
        <is>
          <t>3–4</t>
        </is>
      </c>
      <c r="J174" s="79">
        <f>IFERROR(XLOOKUP(H174,'Lookups - JourneyDeployment'!$K$3:$K$7,'Lookups - JourneyDeployment'!$L$3:$L$7),"")</f>
        <v/>
      </c>
      <c r="K174" s="80">
        <f>A174&amp;"|"&amp;B174</f>
        <v/>
      </c>
      <c r="L174" s="85">
        <f>IFERROR(XLOOKUP(K174,'Activity Settings'!$M$2:$M$200,'Activity Settings'!$J$2:$J$200),0)</f>
        <v/>
      </c>
      <c r="M174" s="80">
        <f>IFERROR(XLOOKUP(K174,'Activity Settings'!$M$2:$M$200,'Activity Settings'!$L$2:$L$200),"Knapsack")</f>
        <v/>
      </c>
      <c r="N174" s="86">
        <f>IFERROR(XLOOKUP(J174&amp;"|"&amp;M174,Rates!$E$2:$E$13,Rates!$C$2:$C$13),0)</f>
        <v/>
      </c>
      <c r="O174" s="86">
        <f>L174*N174</f>
        <v/>
      </c>
    </row>
    <row r="175" s="74">
      <c r="A175" s="79" t="inlineStr">
        <is>
          <t>Implementation + Onboarding</t>
        </is>
      </c>
      <c r="B175" s="79" t="inlineStr">
        <is>
          <t>Foundations &amp; Token Taxonomy</t>
        </is>
      </c>
      <c r="C175" s="79" t="inlineStr">
        <is>
          <t>Define theming model (brand themes, dark mode, high contrast) and constraints</t>
        </is>
      </c>
      <c r="D175" s="79" t="n"/>
      <c r="E175" s="79" t="n"/>
      <c r="F175" s="79" t="inlineStr">
        <is>
          <t>Knapsack - Design System Lead</t>
        </is>
      </c>
      <c r="G175" s="80" t="inlineStr">
        <is>
          <t>Knapsack</t>
        </is>
      </c>
      <c r="H175" s="80" t="inlineStr">
        <is>
          <t>Design Lead</t>
        </is>
      </c>
      <c r="I175" s="80" t="inlineStr">
        <is>
          <t>3–4</t>
        </is>
      </c>
      <c r="J175" s="79">
        <f>IFERROR(XLOOKUP(H175,'Lookups - JourneyDeployment'!$K$3:$K$7,'Lookups - JourneyDeployment'!$L$3:$L$7),"")</f>
        <v/>
      </c>
      <c r="K175" s="80">
        <f>A175&amp;"|"&amp;B175</f>
        <v/>
      </c>
      <c r="L175" s="85">
        <f>IFERROR(XLOOKUP(K175,'Activity Settings'!$M$2:$M$200,'Activity Settings'!$J$2:$J$200),0)</f>
        <v/>
      </c>
      <c r="M175" s="80">
        <f>IFERROR(XLOOKUP(K175,'Activity Settings'!$M$2:$M$200,'Activity Settings'!$L$2:$L$200),"Knapsack")</f>
        <v/>
      </c>
      <c r="N175" s="86">
        <f>IFERROR(XLOOKUP(J175&amp;"|"&amp;M175,Rates!$E$2:$E$13,Rates!$C$2:$C$13),0)</f>
        <v/>
      </c>
      <c r="O175" s="86">
        <f>L175*N175</f>
        <v/>
      </c>
    </row>
    <row r="176" s="74">
      <c r="A176" s="79" t="inlineStr">
        <is>
          <t>Implementation + Onboarding</t>
        </is>
      </c>
      <c r="B176" s="79" t="inlineStr">
        <is>
          <t>Foundations &amp; Token Taxonomy</t>
        </is>
      </c>
      <c r="C176" s="79" t="inlineStr">
        <is>
          <t>Define content and accessibility guidelines for foundations (contrast, typography, motion)</t>
        </is>
      </c>
      <c r="D176" s="79" t="n"/>
      <c r="E176" s="79" t="n"/>
      <c r="F176" s="79" t="inlineStr">
        <is>
          <t>Knapsack - Design System / Platform SME</t>
        </is>
      </c>
      <c r="G176" s="80" t="inlineStr">
        <is>
          <t>Knapsack</t>
        </is>
      </c>
      <c r="H176" s="80" t="inlineStr">
        <is>
          <t>SME</t>
        </is>
      </c>
      <c r="I176" s="80" t="inlineStr">
        <is>
          <t>3–4</t>
        </is>
      </c>
      <c r="J176" s="79">
        <f>IFERROR(XLOOKUP(H176,'Lookups - JourneyDeployment'!$K$3:$K$7,'Lookups - JourneyDeployment'!$L$3:$L$7),"")</f>
        <v/>
      </c>
      <c r="K176" s="80">
        <f>A176&amp;"|"&amp;B176</f>
        <v/>
      </c>
      <c r="L176" s="85">
        <f>IFERROR(XLOOKUP(K176,'Activity Settings'!$M$2:$M$200,'Activity Settings'!$J$2:$J$200),0)</f>
        <v/>
      </c>
      <c r="M176" s="80">
        <f>IFERROR(XLOOKUP(K176,'Activity Settings'!$M$2:$M$200,'Activity Settings'!$L$2:$L$200),"Knapsack")</f>
        <v/>
      </c>
      <c r="N176" s="86">
        <f>IFERROR(XLOOKUP(J176&amp;"|"&amp;M176,Rates!$E$2:$E$13,Rates!$C$2:$C$13),0)</f>
        <v/>
      </c>
      <c r="O176" s="86">
        <f>L176*N176</f>
        <v/>
      </c>
    </row>
    <row r="177" s="74">
      <c r="A177" s="79" t="inlineStr">
        <is>
          <t>Implementation + Onboarding</t>
        </is>
      </c>
      <c r="B177" s="79" t="inlineStr">
        <is>
          <t>Foundations &amp; Token Taxonomy</t>
        </is>
      </c>
      <c r="C177" s="79" t="inlineStr">
        <is>
          <t>Create token governance rules (who can change what, versioning, approvals)</t>
        </is>
      </c>
      <c r="D177" s="79" t="n"/>
      <c r="E177" s="79" t="n"/>
      <c r="F177" s="79" t="inlineStr">
        <is>
          <t>Knapsack - Program/Delivery PM</t>
        </is>
      </c>
      <c r="G177" s="80" t="inlineStr">
        <is>
          <t>Knapsack</t>
        </is>
      </c>
      <c r="H177" s="80" t="inlineStr">
        <is>
          <t>Project Manager</t>
        </is>
      </c>
      <c r="I177" s="80" t="inlineStr">
        <is>
          <t>3–4</t>
        </is>
      </c>
      <c r="J177" s="79">
        <f>IFERROR(XLOOKUP(H177,'Lookups - JourneyDeployment'!$K$3:$K$7,'Lookups - JourneyDeployment'!$L$3:$L$7),"")</f>
        <v/>
      </c>
      <c r="K177" s="80">
        <f>A177&amp;"|"&amp;B177</f>
        <v/>
      </c>
      <c r="L177" s="85">
        <f>IFERROR(XLOOKUP(K177,'Activity Settings'!$M$2:$M$200,'Activity Settings'!$J$2:$J$200),0)</f>
        <v/>
      </c>
      <c r="M177" s="80">
        <f>IFERROR(XLOOKUP(K177,'Activity Settings'!$M$2:$M$200,'Activity Settings'!$L$2:$L$200),"Knapsack")</f>
        <v/>
      </c>
      <c r="N177" s="86">
        <f>IFERROR(XLOOKUP(J177&amp;"|"&amp;M177,Rates!$E$2:$E$13,Rates!$C$2:$C$13),0)</f>
        <v/>
      </c>
      <c r="O177" s="86">
        <f>L177*N177</f>
        <v/>
      </c>
    </row>
    <row r="178" s="74">
      <c r="A178" s="79" t="inlineStr">
        <is>
          <t>Implementation + Onboarding</t>
        </is>
      </c>
      <c r="B178" s="79" t="inlineStr">
        <is>
          <t>Foundations &amp; Token Taxonomy</t>
        </is>
      </c>
      <c r="C178" s="79" t="inlineStr">
        <is>
          <t>Publish foundations + token spec in design + docs</t>
        </is>
      </c>
      <c r="D178" s="79" t="inlineStr">
        <is>
          <t>Foundations + Token Specification</t>
        </is>
      </c>
      <c r="E178" s="79" t="inlineStr">
        <is>
          <t>Foundations standards and token taxonomy/naming/theming/governance guidance.</t>
        </is>
      </c>
      <c r="F178" s="79" t="inlineStr">
        <is>
          <t>Knapsack - Design System Lead</t>
        </is>
      </c>
      <c r="G178" s="80" t="inlineStr">
        <is>
          <t>Knapsack</t>
        </is>
      </c>
      <c r="H178" s="80" t="inlineStr">
        <is>
          <t>Design Lead</t>
        </is>
      </c>
      <c r="I178" s="80" t="inlineStr">
        <is>
          <t>3–4</t>
        </is>
      </c>
      <c r="J178" s="79">
        <f>IFERROR(XLOOKUP(H178,'Lookups - JourneyDeployment'!$K$3:$K$7,'Lookups - JourneyDeployment'!$L$3:$L$7),"")</f>
        <v/>
      </c>
      <c r="K178" s="80">
        <f>A178&amp;"|"&amp;B178</f>
        <v/>
      </c>
      <c r="L178" s="85">
        <f>IFERROR(XLOOKUP(K178,'Activity Settings'!$M$2:$M$200,'Activity Settings'!$J$2:$J$200),0)</f>
        <v/>
      </c>
      <c r="M178" s="80">
        <f>IFERROR(XLOOKUP(K178,'Activity Settings'!$M$2:$M$200,'Activity Settings'!$L$2:$L$200),"Knapsack")</f>
        <v/>
      </c>
      <c r="N178" s="86">
        <f>IFERROR(XLOOKUP(J178&amp;"|"&amp;M178,Rates!$E$2:$E$13,Rates!$C$2:$C$13),0)</f>
        <v/>
      </c>
      <c r="O178" s="86">
        <f>L178*N178</f>
        <v/>
      </c>
    </row>
    <row r="179" s="74">
      <c r="A179" s="79" t="inlineStr">
        <is>
          <t>Implementation + Onboarding</t>
        </is>
      </c>
      <c r="B179" s="79" t="inlineStr">
        <is>
          <t>Token Pipeline Build &amp; Theming Strategy</t>
        </is>
      </c>
      <c r="C179" s="79" t="inlineStr">
        <is>
          <t>Select/confirm token tooling and define source of truth (design vs repo) rules</t>
        </is>
      </c>
      <c r="D179" s="79" t="n"/>
      <c r="E179" s="79" t="n"/>
      <c r="F179" s="79" t="inlineStr">
        <is>
          <t>Knapsack - Design System / Platform SME</t>
        </is>
      </c>
      <c r="G179" s="80" t="inlineStr">
        <is>
          <t>Knapsack</t>
        </is>
      </c>
      <c r="H179" s="80" t="inlineStr">
        <is>
          <t>SME</t>
        </is>
      </c>
      <c r="I179" s="80" t="inlineStr">
        <is>
          <t>4–6</t>
        </is>
      </c>
      <c r="J179" s="79">
        <f>IFERROR(XLOOKUP(H179,'Lookups - JourneyDeployment'!$K$3:$K$7,'Lookups - JourneyDeployment'!$L$3:$L$7),"")</f>
        <v/>
      </c>
      <c r="K179" s="80">
        <f>A179&amp;"|"&amp;B179</f>
        <v/>
      </c>
      <c r="L179" s="85">
        <f>IFERROR(XLOOKUP(K179,'Activity Settings'!$M$2:$M$200,'Activity Settings'!$J$2:$J$200),0)</f>
        <v/>
      </c>
      <c r="M179" s="80">
        <f>IFERROR(XLOOKUP(K179,'Activity Settings'!$M$2:$M$200,'Activity Settings'!$L$2:$L$200),"Knapsack")</f>
        <v/>
      </c>
      <c r="N179" s="86">
        <f>IFERROR(XLOOKUP(J179&amp;"|"&amp;M179,Rates!$E$2:$E$13,Rates!$C$2:$C$13),0)</f>
        <v/>
      </c>
      <c r="O179" s="86">
        <f>L179*N179</f>
        <v/>
      </c>
    </row>
    <row r="180" s="74">
      <c r="A180" s="79" t="inlineStr">
        <is>
          <t>Implementation + Onboarding</t>
        </is>
      </c>
      <c r="B180" s="79" t="inlineStr">
        <is>
          <t>Token Pipeline Build &amp; Theming Strategy</t>
        </is>
      </c>
      <c r="C180" s="79" t="inlineStr">
        <is>
          <t>Implement token export/build pipeline (validation, transforms, outputs)</t>
        </is>
      </c>
      <c r="D180" s="79" t="n"/>
      <c r="E180" s="79" t="n"/>
      <c r="F180" s="79" t="inlineStr">
        <is>
          <t>Knapsack - Design Systems Engineer</t>
        </is>
      </c>
      <c r="G180" s="80" t="inlineStr">
        <is>
          <t>Knapsack</t>
        </is>
      </c>
      <c r="H180" s="80" t="inlineStr">
        <is>
          <t>Engineer</t>
        </is>
      </c>
      <c r="I180" s="80" t="inlineStr">
        <is>
          <t>4–6</t>
        </is>
      </c>
      <c r="J180" s="79">
        <f>IFERROR(XLOOKUP(H180,'Lookups - JourneyDeployment'!$K$3:$K$7,'Lookups - JourneyDeployment'!$L$3:$L$7),"")</f>
        <v/>
      </c>
      <c r="K180" s="80">
        <f>A180&amp;"|"&amp;B180</f>
        <v/>
      </c>
      <c r="L180" s="85">
        <f>IFERROR(XLOOKUP(K180,'Activity Settings'!$M$2:$M$200,'Activity Settings'!$J$2:$J$200),0)</f>
        <v/>
      </c>
      <c r="M180" s="80">
        <f>IFERROR(XLOOKUP(K180,'Activity Settings'!$M$2:$M$200,'Activity Settings'!$L$2:$L$200),"Knapsack")</f>
        <v/>
      </c>
      <c r="N180" s="86">
        <f>IFERROR(XLOOKUP(J180&amp;"|"&amp;M180,Rates!$E$2:$E$13,Rates!$C$2:$C$13),0)</f>
        <v/>
      </c>
      <c r="O180" s="86">
        <f>L180*N180</f>
        <v/>
      </c>
    </row>
    <row r="181" s="74">
      <c r="A181" s="79" t="inlineStr">
        <is>
          <t>Implementation + Onboarding</t>
        </is>
      </c>
      <c r="B181" s="79" t="inlineStr">
        <is>
          <t>Token Pipeline Build &amp; Theming Strategy</t>
        </is>
      </c>
      <c r="C181" s="79" t="inlineStr">
        <is>
          <t>Generate platform outputs (web JSON/CSS vars; add others if needed) and verify integrity</t>
        </is>
      </c>
      <c r="D181" s="79" t="n"/>
      <c r="E181" s="79" t="n"/>
      <c r="F181" s="79" t="inlineStr">
        <is>
          <t>Knapsack - Design Systems Engineer</t>
        </is>
      </c>
      <c r="G181" s="80" t="inlineStr">
        <is>
          <t>Knapsack</t>
        </is>
      </c>
      <c r="H181" s="80" t="inlineStr">
        <is>
          <t>Engineer</t>
        </is>
      </c>
      <c r="I181" s="80" t="inlineStr">
        <is>
          <t>4–6</t>
        </is>
      </c>
      <c r="J181" s="79">
        <f>IFERROR(XLOOKUP(H181,'Lookups - JourneyDeployment'!$K$3:$K$7,'Lookups - JourneyDeployment'!$L$3:$L$7),"")</f>
        <v/>
      </c>
      <c r="K181" s="80">
        <f>A181&amp;"|"&amp;B181</f>
        <v/>
      </c>
      <c r="L181" s="85">
        <f>IFERROR(XLOOKUP(K181,'Activity Settings'!$M$2:$M$200,'Activity Settings'!$J$2:$J$200),0)</f>
        <v/>
      </c>
      <c r="M181" s="80">
        <f>IFERROR(XLOOKUP(K181,'Activity Settings'!$M$2:$M$200,'Activity Settings'!$L$2:$L$200),"Knapsack")</f>
        <v/>
      </c>
      <c r="N181" s="86">
        <f>IFERROR(XLOOKUP(J181&amp;"|"&amp;M181,Rates!$E$2:$E$13,Rates!$C$2:$C$13),0)</f>
        <v/>
      </c>
      <c r="O181" s="86">
        <f>L181*N181</f>
        <v/>
      </c>
    </row>
    <row r="182" s="74">
      <c r="A182" s="79" t="inlineStr">
        <is>
          <t>Implementation + Onboarding</t>
        </is>
      </c>
      <c r="B182" s="79" t="inlineStr">
        <is>
          <t>Token Pipeline Build &amp; Theming Strategy</t>
        </is>
      </c>
      <c r="C182" s="79" t="inlineStr">
        <is>
          <t>Implement theme packaging and switching strategy (e.g., multiple brands / modes)</t>
        </is>
      </c>
      <c r="D182" s="79" t="n"/>
      <c r="E182" s="79" t="n"/>
      <c r="F182" s="79" t="inlineStr">
        <is>
          <t>Knapsack - Design Systems Engineer</t>
        </is>
      </c>
      <c r="G182" s="80" t="inlineStr">
        <is>
          <t>Knapsack</t>
        </is>
      </c>
      <c r="H182" s="80" t="inlineStr">
        <is>
          <t>Engineer</t>
        </is>
      </c>
      <c r="I182" s="80" t="inlineStr">
        <is>
          <t>4–6</t>
        </is>
      </c>
      <c r="J182" s="79">
        <f>IFERROR(XLOOKUP(H182,'Lookups - JourneyDeployment'!$K$3:$K$7,'Lookups - JourneyDeployment'!$L$3:$L$7),"")</f>
        <v/>
      </c>
      <c r="K182" s="80">
        <f>A182&amp;"|"&amp;B182</f>
        <v/>
      </c>
      <c r="L182" s="85">
        <f>IFERROR(XLOOKUP(K182,'Activity Settings'!$M$2:$M$200,'Activity Settings'!$J$2:$J$200),0)</f>
        <v/>
      </c>
      <c r="M182" s="80">
        <f>IFERROR(XLOOKUP(K182,'Activity Settings'!$M$2:$M$200,'Activity Settings'!$L$2:$L$200),"Knapsack")</f>
        <v/>
      </c>
      <c r="N182" s="86">
        <f>IFERROR(XLOOKUP(J182&amp;"|"&amp;M182,Rates!$E$2:$E$13,Rates!$C$2:$C$13),0)</f>
        <v/>
      </c>
      <c r="O182" s="86">
        <f>L182*N182</f>
        <v/>
      </c>
    </row>
    <row r="183" s="74">
      <c r="A183" s="79" t="inlineStr">
        <is>
          <t>Implementation + Onboarding</t>
        </is>
      </c>
      <c r="B183" s="79" t="inlineStr">
        <is>
          <t>Token Pipeline Build &amp; Theming Strategy</t>
        </is>
      </c>
      <c r="C183" s="79" t="inlineStr">
        <is>
          <t>Set up CI checks for token schema validation and breaking-change detection</t>
        </is>
      </c>
      <c r="D183" s="79" t="n"/>
      <c r="E183" s="79" t="n"/>
      <c r="F183" s="79" t="inlineStr">
        <is>
          <t>Knapsack - Design Systems Engineer</t>
        </is>
      </c>
      <c r="G183" s="80" t="inlineStr">
        <is>
          <t>Knapsack</t>
        </is>
      </c>
      <c r="H183" s="80" t="inlineStr">
        <is>
          <t>Engineer</t>
        </is>
      </c>
      <c r="I183" s="80" t="inlineStr">
        <is>
          <t>4–6</t>
        </is>
      </c>
      <c r="J183" s="79">
        <f>IFERROR(XLOOKUP(H183,'Lookups - JourneyDeployment'!$K$3:$K$7,'Lookups - JourneyDeployment'!$L$3:$L$7),"")</f>
        <v/>
      </c>
      <c r="K183" s="80">
        <f>A183&amp;"|"&amp;B183</f>
        <v/>
      </c>
      <c r="L183" s="85">
        <f>IFERROR(XLOOKUP(K183,'Activity Settings'!$M$2:$M$200,'Activity Settings'!$J$2:$J$200),0)</f>
        <v/>
      </c>
      <c r="M183" s="80">
        <f>IFERROR(XLOOKUP(K183,'Activity Settings'!$M$2:$M$200,'Activity Settings'!$L$2:$L$200),"Knapsack")</f>
        <v/>
      </c>
      <c r="N183" s="86">
        <f>IFERROR(XLOOKUP(J183&amp;"|"&amp;M183,Rates!$E$2:$E$13,Rates!$C$2:$C$13),0)</f>
        <v/>
      </c>
      <c r="O183" s="86">
        <f>L183*N183</f>
        <v/>
      </c>
    </row>
    <row r="184" s="74">
      <c r="A184" s="79" t="inlineStr">
        <is>
          <t>Implementation + Onboarding</t>
        </is>
      </c>
      <c r="B184" s="79" t="inlineStr">
        <is>
          <t>Token Pipeline Build &amp; Theming Strategy</t>
        </is>
      </c>
      <c r="C184" s="79" t="inlineStr">
        <is>
          <t>Document token contribution + release workflow</t>
        </is>
      </c>
      <c r="D184" s="79" t="inlineStr">
        <is>
          <t>Token Pipeline + Theme Artifacts</t>
        </is>
      </c>
      <c r="E184" s="79" t="inlineStr">
        <is>
          <t>Automated token build outputs, theming strategy, CI validation, and contribution workflow.</t>
        </is>
      </c>
      <c r="F184" s="79" t="inlineStr">
        <is>
          <t>Knapsack - Design System / Platform SME</t>
        </is>
      </c>
      <c r="G184" s="80" t="inlineStr">
        <is>
          <t>Knapsack</t>
        </is>
      </c>
      <c r="H184" s="80" t="inlineStr">
        <is>
          <t>SME</t>
        </is>
      </c>
      <c r="I184" s="80" t="inlineStr">
        <is>
          <t>4–6</t>
        </is>
      </c>
      <c r="J184" s="79">
        <f>IFERROR(XLOOKUP(H184,'Lookups - JourneyDeployment'!$K$3:$K$7,'Lookups - JourneyDeployment'!$L$3:$L$7),"")</f>
        <v/>
      </c>
      <c r="K184" s="80">
        <f>A184&amp;"|"&amp;B184</f>
        <v/>
      </c>
      <c r="L184" s="85">
        <f>IFERROR(XLOOKUP(K184,'Activity Settings'!$M$2:$M$200,'Activity Settings'!$J$2:$J$200),0)</f>
        <v/>
      </c>
      <c r="M184" s="80">
        <f>IFERROR(XLOOKUP(K184,'Activity Settings'!$M$2:$M$200,'Activity Settings'!$L$2:$L$200),"Knapsack")</f>
        <v/>
      </c>
      <c r="N184" s="86">
        <f>IFERROR(XLOOKUP(J184&amp;"|"&amp;M184,Rates!$E$2:$E$13,Rates!$C$2:$C$13),0)</f>
        <v/>
      </c>
      <c r="O184" s="86">
        <f>L184*N184</f>
        <v/>
      </c>
    </row>
    <row r="185" s="74">
      <c r="A185" s="79" t="inlineStr">
        <is>
          <t>Implementation + Onboarding</t>
        </is>
      </c>
      <c r="B185" s="79" t="inlineStr">
        <is>
          <t>Component Inventory &amp; Prioritization</t>
        </is>
      </c>
      <c r="C185" s="79" t="inlineStr">
        <is>
          <t>Inventory existing components and map to user journeys / product surfaces</t>
        </is>
      </c>
      <c r="D185" s="79" t="n"/>
      <c r="E185" s="79" t="n"/>
      <c r="F185" s="79" t="inlineStr">
        <is>
          <t>Knapsack - Design System Lead</t>
        </is>
      </c>
      <c r="G185" s="80" t="inlineStr">
        <is>
          <t>Knapsack</t>
        </is>
      </c>
      <c r="H185" s="80" t="inlineStr">
        <is>
          <t>Design Lead</t>
        </is>
      </c>
      <c r="I185" s="80" t="inlineStr">
        <is>
          <t>2–3</t>
        </is>
      </c>
      <c r="J185" s="79">
        <f>IFERROR(XLOOKUP(H185,'Lookups - JourneyDeployment'!$K$3:$K$7,'Lookups - JourneyDeployment'!$L$3:$L$7),"")</f>
        <v/>
      </c>
      <c r="K185" s="80">
        <f>A185&amp;"|"&amp;B185</f>
        <v/>
      </c>
      <c r="L185" s="85">
        <f>IFERROR(XLOOKUP(K185,'Activity Settings'!$M$2:$M$200,'Activity Settings'!$J$2:$J$200),0)</f>
        <v/>
      </c>
      <c r="M185" s="80">
        <f>IFERROR(XLOOKUP(K185,'Activity Settings'!$M$2:$M$200,'Activity Settings'!$L$2:$L$200),"Knapsack")</f>
        <v/>
      </c>
      <c r="N185" s="86">
        <f>IFERROR(XLOOKUP(J185&amp;"|"&amp;M185,Rates!$E$2:$E$13,Rates!$C$2:$C$13),0)</f>
        <v/>
      </c>
      <c r="O185" s="86">
        <f>L185*N185</f>
        <v/>
      </c>
    </row>
    <row r="186" s="74">
      <c r="A186" s="79" t="inlineStr">
        <is>
          <t>Implementation + Onboarding</t>
        </is>
      </c>
      <c r="B186" s="79" t="inlineStr">
        <is>
          <t>Component Inventory &amp; Prioritization</t>
        </is>
      </c>
      <c r="C186" s="79" t="inlineStr">
        <is>
          <t>Define component maturity levels and acceptance criteria (spec completeness, a11y, tests)</t>
        </is>
      </c>
      <c r="D186" s="79" t="n"/>
      <c r="E186" s="79" t="n"/>
      <c r="F186" s="79" t="inlineStr">
        <is>
          <t>Knapsack - Design System / Platform SME</t>
        </is>
      </c>
      <c r="G186" s="80" t="inlineStr">
        <is>
          <t>Knapsack</t>
        </is>
      </c>
      <c r="H186" s="80" t="inlineStr">
        <is>
          <t>SME</t>
        </is>
      </c>
      <c r="I186" s="80" t="inlineStr">
        <is>
          <t>2–3</t>
        </is>
      </c>
      <c r="J186" s="79">
        <f>IFERROR(XLOOKUP(H186,'Lookups - JourneyDeployment'!$K$3:$K$7,'Lookups - JourneyDeployment'!$L$3:$L$7),"")</f>
        <v/>
      </c>
      <c r="K186" s="80">
        <f>A186&amp;"|"&amp;B186</f>
        <v/>
      </c>
      <c r="L186" s="85">
        <f>IFERROR(XLOOKUP(K186,'Activity Settings'!$M$2:$M$200,'Activity Settings'!$J$2:$J$200),0)</f>
        <v/>
      </c>
      <c r="M186" s="80">
        <f>IFERROR(XLOOKUP(K186,'Activity Settings'!$M$2:$M$200,'Activity Settings'!$L$2:$L$200),"Knapsack")</f>
        <v/>
      </c>
      <c r="N186" s="86">
        <f>IFERROR(XLOOKUP(J186&amp;"|"&amp;M186,Rates!$E$2:$E$13,Rates!$C$2:$C$13),0)</f>
        <v/>
      </c>
      <c r="O186" s="86">
        <f>L186*N186</f>
        <v/>
      </c>
    </row>
    <row r="187" s="74">
      <c r="A187" s="79" t="inlineStr">
        <is>
          <t>Implementation + Onboarding</t>
        </is>
      </c>
      <c r="B187" s="79" t="inlineStr">
        <is>
          <t>Component Inventory &amp; Prioritization</t>
        </is>
      </c>
      <c r="C187" s="79" t="inlineStr">
        <is>
          <t>Prioritize MVP component set and create backlog with sequencing</t>
        </is>
      </c>
      <c r="D187" s="79" t="n"/>
      <c r="E187" s="79" t="n"/>
      <c r="F187" s="79" t="inlineStr">
        <is>
          <t>Knapsack - Program/Delivery PM</t>
        </is>
      </c>
      <c r="G187" s="80" t="inlineStr">
        <is>
          <t>Knapsack</t>
        </is>
      </c>
      <c r="H187" s="80" t="inlineStr">
        <is>
          <t>Project Manager</t>
        </is>
      </c>
      <c r="I187" s="80" t="inlineStr">
        <is>
          <t>2–3</t>
        </is>
      </c>
      <c r="J187" s="79">
        <f>IFERROR(XLOOKUP(H187,'Lookups - JourneyDeployment'!$K$3:$K$7,'Lookups - JourneyDeployment'!$L$3:$L$7),"")</f>
        <v/>
      </c>
      <c r="K187" s="80">
        <f>A187&amp;"|"&amp;B187</f>
        <v/>
      </c>
      <c r="L187" s="85">
        <f>IFERROR(XLOOKUP(K187,'Activity Settings'!$M$2:$M$200,'Activity Settings'!$J$2:$J$200),0)</f>
        <v/>
      </c>
      <c r="M187" s="80">
        <f>IFERROR(XLOOKUP(K187,'Activity Settings'!$M$2:$M$200,'Activity Settings'!$L$2:$L$200),"Knapsack")</f>
        <v/>
      </c>
      <c r="N187" s="86">
        <f>IFERROR(XLOOKUP(J187&amp;"|"&amp;M187,Rates!$E$2:$E$13,Rates!$C$2:$C$13),0)</f>
        <v/>
      </c>
      <c r="O187" s="86">
        <f>L187*N187</f>
        <v/>
      </c>
    </row>
    <row r="188" s="74">
      <c r="A188" s="79" t="inlineStr">
        <is>
          <t>Implementation + Onboarding</t>
        </is>
      </c>
      <c r="B188" s="79" t="inlineStr">
        <is>
          <t>Component Inventory &amp; Prioritization</t>
        </is>
      </c>
      <c r="C188" s="79" t="inlineStr">
        <is>
          <t>Define component spec template (anatomy, states, content rules, accessibility, tokens)</t>
        </is>
      </c>
      <c r="D188" s="79" t="n"/>
      <c r="E188" s="79" t="n"/>
      <c r="F188" s="79" t="inlineStr">
        <is>
          <t>Knapsack - Design System Lead</t>
        </is>
      </c>
      <c r="G188" s="80" t="inlineStr">
        <is>
          <t>Knapsack</t>
        </is>
      </c>
      <c r="H188" s="80" t="inlineStr">
        <is>
          <t>Design Lead</t>
        </is>
      </c>
      <c r="I188" s="80" t="inlineStr">
        <is>
          <t>2–3</t>
        </is>
      </c>
      <c r="J188" s="79">
        <f>IFERROR(XLOOKUP(H188,'Lookups - JourneyDeployment'!$K$3:$K$7,'Lookups - JourneyDeployment'!$L$3:$L$7),"")</f>
        <v/>
      </c>
      <c r="K188" s="80">
        <f>A188&amp;"|"&amp;B188</f>
        <v/>
      </c>
      <c r="L188" s="85">
        <f>IFERROR(XLOOKUP(K188,'Activity Settings'!$M$2:$M$200,'Activity Settings'!$J$2:$J$200),0)</f>
        <v/>
      </c>
      <c r="M188" s="80">
        <f>IFERROR(XLOOKUP(K188,'Activity Settings'!$M$2:$M$200,'Activity Settings'!$L$2:$L$200),"Knapsack")</f>
        <v/>
      </c>
      <c r="N188" s="86">
        <f>IFERROR(XLOOKUP(J188&amp;"|"&amp;M188,Rates!$E$2:$E$13,Rates!$C$2:$C$13),0)</f>
        <v/>
      </c>
      <c r="O188" s="86">
        <f>L188*N188</f>
        <v/>
      </c>
    </row>
    <row r="189" s="74">
      <c r="A189" s="79" t="inlineStr">
        <is>
          <t>Implementation + Onboarding</t>
        </is>
      </c>
      <c r="B189" s="79" t="inlineStr">
        <is>
          <t>Component Inventory &amp; Prioritization</t>
        </is>
      </c>
      <c r="C189" s="79" t="inlineStr">
        <is>
          <t>Publish component roadmap and MVP scope</t>
        </is>
      </c>
      <c r="D189" s="79" t="inlineStr">
        <is>
          <t>Component Inventory + MVP Roadmap</t>
        </is>
      </c>
      <c r="E189" s="79" t="inlineStr">
        <is>
          <t>Inventory, prioritization matrix, MVP scope, and backlog sequencing.</t>
        </is>
      </c>
      <c r="F189" s="79" t="inlineStr">
        <is>
          <t>Knapsack - Program/Delivery PM</t>
        </is>
      </c>
      <c r="G189" s="80" t="inlineStr">
        <is>
          <t>Knapsack</t>
        </is>
      </c>
      <c r="H189" s="80" t="inlineStr">
        <is>
          <t>Project Manager</t>
        </is>
      </c>
      <c r="I189" s="80" t="inlineStr">
        <is>
          <t>2–3</t>
        </is>
      </c>
      <c r="J189" s="79">
        <f>IFERROR(XLOOKUP(H189,'Lookups - JourneyDeployment'!$K$3:$K$7,'Lookups - JourneyDeployment'!$L$3:$L$7),"")</f>
        <v/>
      </c>
      <c r="K189" s="80">
        <f>A189&amp;"|"&amp;B189</f>
        <v/>
      </c>
      <c r="L189" s="85">
        <f>IFERROR(XLOOKUP(K189,'Activity Settings'!$M$2:$M$200,'Activity Settings'!$J$2:$J$200),0)</f>
        <v/>
      </c>
      <c r="M189" s="80">
        <f>IFERROR(XLOOKUP(K189,'Activity Settings'!$M$2:$M$200,'Activity Settings'!$L$2:$L$200),"Knapsack")</f>
        <v/>
      </c>
      <c r="N189" s="86">
        <f>IFERROR(XLOOKUP(J189&amp;"|"&amp;M189,Rates!$E$2:$E$13,Rates!$C$2:$C$13),0)</f>
        <v/>
      </c>
      <c r="O189" s="86">
        <f>L189*N189</f>
        <v/>
      </c>
    </row>
    <row r="190" s="74">
      <c r="A190" s="79" t="inlineStr">
        <is>
          <t>Implementation + Onboarding</t>
        </is>
      </c>
      <c r="B190" s="79" t="inlineStr">
        <is>
          <t>Component API Standards &amp; Templates</t>
        </is>
      </c>
      <c r="C190" s="79" t="inlineStr">
        <is>
          <t>Define component API patterns (props, composition, slots, variants) and naming conventions</t>
        </is>
      </c>
      <c r="D190" s="79" t="n"/>
      <c r="E190" s="79" t="n"/>
      <c r="F190" s="79" t="inlineStr">
        <is>
          <t>Knapsack - Design Systems Engineer</t>
        </is>
      </c>
      <c r="G190" s="80" t="inlineStr">
        <is>
          <t>Knapsack</t>
        </is>
      </c>
      <c r="H190" s="80" t="inlineStr">
        <is>
          <t>Engineer</t>
        </is>
      </c>
      <c r="I190" s="80" t="inlineStr">
        <is>
          <t>3–4</t>
        </is>
      </c>
      <c r="J190" s="79">
        <f>IFERROR(XLOOKUP(H190,'Lookups - JourneyDeployment'!$K$3:$K$7,'Lookups - JourneyDeployment'!$L$3:$L$7),"")</f>
        <v/>
      </c>
      <c r="K190" s="80">
        <f>A190&amp;"|"&amp;B190</f>
        <v/>
      </c>
      <c r="L190" s="85">
        <f>IFERROR(XLOOKUP(K190,'Activity Settings'!$M$2:$M$200,'Activity Settings'!$J$2:$J$200),0)</f>
        <v/>
      </c>
      <c r="M190" s="80">
        <f>IFERROR(XLOOKUP(K190,'Activity Settings'!$M$2:$M$200,'Activity Settings'!$L$2:$L$200),"Knapsack")</f>
        <v/>
      </c>
      <c r="N190" s="86">
        <f>IFERROR(XLOOKUP(J190&amp;"|"&amp;M190,Rates!$E$2:$E$13,Rates!$C$2:$C$13),0)</f>
        <v/>
      </c>
      <c r="O190" s="86">
        <f>L190*N190</f>
        <v/>
      </c>
    </row>
    <row r="191" s="74">
      <c r="A191" s="79" t="inlineStr">
        <is>
          <t>Implementation + Onboarding</t>
        </is>
      </c>
      <c r="B191" s="79" t="inlineStr">
        <is>
          <t>Component API Standards &amp; Templates</t>
        </is>
      </c>
      <c r="C191" s="79" t="inlineStr">
        <is>
          <t>Define accessibility patterns per component type (keyboard, focus, ARIA, semantics)</t>
        </is>
      </c>
      <c r="D191" s="79" t="n"/>
      <c r="E191" s="79" t="n"/>
      <c r="F191" s="79" t="inlineStr">
        <is>
          <t>Knapsack - Design System / Platform SME</t>
        </is>
      </c>
      <c r="G191" s="80" t="inlineStr">
        <is>
          <t>Knapsack</t>
        </is>
      </c>
      <c r="H191" s="80" t="inlineStr">
        <is>
          <t>SME</t>
        </is>
      </c>
      <c r="I191" s="80" t="inlineStr">
        <is>
          <t>3–4</t>
        </is>
      </c>
      <c r="J191" s="79">
        <f>IFERROR(XLOOKUP(H191,'Lookups - JourneyDeployment'!$K$3:$K$7,'Lookups - JourneyDeployment'!$L$3:$L$7),"")</f>
        <v/>
      </c>
      <c r="K191" s="80">
        <f>A191&amp;"|"&amp;B191</f>
        <v/>
      </c>
      <c r="L191" s="85">
        <f>IFERROR(XLOOKUP(K191,'Activity Settings'!$M$2:$M$200,'Activity Settings'!$J$2:$J$200),0)</f>
        <v/>
      </c>
      <c r="M191" s="80">
        <f>IFERROR(XLOOKUP(K191,'Activity Settings'!$M$2:$M$200,'Activity Settings'!$L$2:$L$200),"Knapsack")</f>
        <v/>
      </c>
      <c r="N191" s="86">
        <f>IFERROR(XLOOKUP(J191&amp;"|"&amp;M191,Rates!$E$2:$E$13,Rates!$C$2:$C$13),0)</f>
        <v/>
      </c>
      <c r="O191" s="86">
        <f>L191*N191</f>
        <v/>
      </c>
    </row>
    <row r="192" s="74">
      <c r="A192" s="79" t="inlineStr">
        <is>
          <t>Implementation + Onboarding</t>
        </is>
      </c>
      <c r="B192" s="79" t="inlineStr">
        <is>
          <t>Component API Standards &amp; Templates</t>
        </is>
      </c>
      <c r="C192" s="79" t="inlineStr">
        <is>
          <t>Create starter templates for component implementation and tests</t>
        </is>
      </c>
      <c r="D192" s="79" t="n"/>
      <c r="E192" s="79" t="n"/>
      <c r="F192" s="79" t="inlineStr">
        <is>
          <t>Knapsack - Design Systems Engineer</t>
        </is>
      </c>
      <c r="G192" s="80" t="inlineStr">
        <is>
          <t>Knapsack</t>
        </is>
      </c>
      <c r="H192" s="80" t="inlineStr">
        <is>
          <t>Engineer</t>
        </is>
      </c>
      <c r="I192" s="80" t="inlineStr">
        <is>
          <t>3–4</t>
        </is>
      </c>
      <c r="J192" s="79">
        <f>IFERROR(XLOOKUP(H192,'Lookups - JourneyDeployment'!$K$3:$K$7,'Lookups - JourneyDeployment'!$L$3:$L$7),"")</f>
        <v/>
      </c>
      <c r="K192" s="80">
        <f>A192&amp;"|"&amp;B192</f>
        <v/>
      </c>
      <c r="L192" s="85">
        <f>IFERROR(XLOOKUP(K192,'Activity Settings'!$M$2:$M$200,'Activity Settings'!$J$2:$J$200),0)</f>
        <v/>
      </c>
      <c r="M192" s="80">
        <f>IFERROR(XLOOKUP(K192,'Activity Settings'!$M$2:$M$200,'Activity Settings'!$L$2:$L$200),"Knapsack")</f>
        <v/>
      </c>
      <c r="N192" s="86">
        <f>IFERROR(XLOOKUP(J192&amp;"|"&amp;M192,Rates!$E$2:$E$13,Rates!$C$2:$C$13),0)</f>
        <v/>
      </c>
      <c r="O192" s="86">
        <f>L192*N192</f>
        <v/>
      </c>
    </row>
    <row r="193" s="74">
      <c r="A193" s="79" t="inlineStr">
        <is>
          <t>Implementation + Onboarding</t>
        </is>
      </c>
      <c r="B193" s="79" t="inlineStr">
        <is>
          <t>Component API Standards &amp; Templates</t>
        </is>
      </c>
      <c r="C193" s="79" t="inlineStr">
        <is>
          <t>Define contribution workflow (RFC, review gates, required artifacts)</t>
        </is>
      </c>
      <c r="D193" s="79" t="n"/>
      <c r="E193" s="79" t="n"/>
      <c r="F193" s="79" t="inlineStr">
        <is>
          <t>Knapsack - Program/Delivery PM</t>
        </is>
      </c>
      <c r="G193" s="80" t="inlineStr">
        <is>
          <t>Knapsack</t>
        </is>
      </c>
      <c r="H193" s="80" t="inlineStr">
        <is>
          <t>Project Manager</t>
        </is>
      </c>
      <c r="I193" s="80" t="inlineStr">
        <is>
          <t>3–4</t>
        </is>
      </c>
      <c r="J193" s="79">
        <f>IFERROR(XLOOKUP(H193,'Lookups - JourneyDeployment'!$K$3:$K$7,'Lookups - JourneyDeployment'!$L$3:$L$7),"")</f>
        <v/>
      </c>
      <c r="K193" s="80">
        <f>A193&amp;"|"&amp;B193</f>
        <v/>
      </c>
      <c r="L193" s="85">
        <f>IFERROR(XLOOKUP(K193,'Activity Settings'!$M$2:$M$200,'Activity Settings'!$J$2:$J$200),0)</f>
        <v/>
      </c>
      <c r="M193" s="80">
        <f>IFERROR(XLOOKUP(K193,'Activity Settings'!$M$2:$M$200,'Activity Settings'!$L$2:$L$200),"Knapsack")</f>
        <v/>
      </c>
      <c r="N193" s="86">
        <f>IFERROR(XLOOKUP(J193&amp;"|"&amp;M193,Rates!$E$2:$E$13,Rates!$C$2:$C$13),0)</f>
        <v/>
      </c>
      <c r="O193" s="86">
        <f>L193*N193</f>
        <v/>
      </c>
    </row>
    <row r="194" s="74">
      <c r="A194" s="79" t="inlineStr">
        <is>
          <t>Implementation + Onboarding</t>
        </is>
      </c>
      <c r="B194" s="79" t="inlineStr">
        <is>
          <t>Component API Standards &amp; Templates</t>
        </is>
      </c>
      <c r="C194" s="79" t="inlineStr">
        <is>
          <t>Publish standards in docs and align with code owners</t>
        </is>
      </c>
      <c r="D194" s="79" t="inlineStr">
        <is>
          <t>Component Standards + Contribution Model</t>
        </is>
      </c>
      <c r="E194" s="79" t="inlineStr">
        <is>
          <t>Component API standards, a11y patterns, templates, and contribution/review workflow.</t>
        </is>
      </c>
      <c r="F194" s="79" t="inlineStr">
        <is>
          <t>Knapsack - Design Systems Engineer</t>
        </is>
      </c>
      <c r="G194" s="80" t="inlineStr">
        <is>
          <t>Knapsack</t>
        </is>
      </c>
      <c r="H194" s="80" t="inlineStr">
        <is>
          <t>Engineer</t>
        </is>
      </c>
      <c r="I194" s="80" t="inlineStr">
        <is>
          <t>3–4</t>
        </is>
      </c>
      <c r="J194" s="79">
        <f>IFERROR(XLOOKUP(H194,'Lookups - JourneyDeployment'!$K$3:$K$7,'Lookups - JourneyDeployment'!$L$3:$L$7),"")</f>
        <v/>
      </c>
      <c r="K194" s="80">
        <f>A194&amp;"|"&amp;B194</f>
        <v/>
      </c>
      <c r="L194" s="85">
        <f>IFERROR(XLOOKUP(K194,'Activity Settings'!$M$2:$M$200,'Activity Settings'!$J$2:$J$200),0)</f>
        <v/>
      </c>
      <c r="M194" s="80">
        <f>IFERROR(XLOOKUP(K194,'Activity Settings'!$M$2:$M$200,'Activity Settings'!$L$2:$L$200),"Knapsack")</f>
        <v/>
      </c>
      <c r="N194" s="86">
        <f>IFERROR(XLOOKUP(J194&amp;"|"&amp;M194,Rates!$E$2:$E$13,Rates!$C$2:$C$13),0)</f>
        <v/>
      </c>
      <c r="O194" s="86">
        <f>L194*N194</f>
        <v/>
      </c>
    </row>
    <row r="195" s="74">
      <c r="A195" s="79" t="inlineStr">
        <is>
          <t>Implementation + Onboarding</t>
        </is>
      </c>
      <c r="B195" s="79" t="inlineStr">
        <is>
          <t>Code Connect Strategy &amp; Configuration</t>
        </is>
      </c>
      <c r="C195" s="79" t="inlineStr">
        <is>
          <t>Define Code Connect coverage targets and connected-component definition (source of truth)</t>
        </is>
      </c>
      <c r="D195" s="79" t="n"/>
      <c r="E195" s="79" t="n"/>
      <c r="F195" s="79" t="inlineStr">
        <is>
          <t>Knapsack - Design System / Platform SME</t>
        </is>
      </c>
      <c r="G195" s="80" t="inlineStr">
        <is>
          <t>Knapsack</t>
        </is>
      </c>
      <c r="H195" s="80" t="inlineStr">
        <is>
          <t>SME</t>
        </is>
      </c>
      <c r="I195" s="80" t="inlineStr">
        <is>
          <t>2–4</t>
        </is>
      </c>
      <c r="J195" s="79">
        <f>IFERROR(XLOOKUP(H195,'Lookups - JourneyDeployment'!$K$3:$K$7,'Lookups - JourneyDeployment'!$L$3:$L$7),"")</f>
        <v/>
      </c>
      <c r="K195" s="80">
        <f>A195&amp;"|"&amp;B195</f>
        <v/>
      </c>
      <c r="L195" s="85">
        <f>IFERROR(XLOOKUP(K195,'Activity Settings'!$M$2:$M$200,'Activity Settings'!$J$2:$J$200),0)</f>
        <v/>
      </c>
      <c r="M195" s="80">
        <f>IFERROR(XLOOKUP(K195,'Activity Settings'!$M$2:$M$200,'Activity Settings'!$L$2:$L$200),"Knapsack")</f>
        <v/>
      </c>
      <c r="N195" s="86">
        <f>IFERROR(XLOOKUP(J195&amp;"|"&amp;M195,Rates!$E$2:$E$13,Rates!$C$2:$C$13),0)</f>
        <v/>
      </c>
      <c r="O195" s="86">
        <f>L195*N195</f>
        <v/>
      </c>
    </row>
    <row r="196" s="74">
      <c r="A196" s="79" t="inlineStr">
        <is>
          <t>Implementation + Onboarding</t>
        </is>
      </c>
      <c r="B196" s="79" t="inlineStr">
        <is>
          <t>Code Connect Strategy &amp; Configuration</t>
        </is>
      </c>
      <c r="C196" s="79" t="inlineStr">
        <is>
          <t>Set up Code Connect configuration and repo/package references</t>
        </is>
      </c>
      <c r="D196" s="79" t="n"/>
      <c r="E196" s="79" t="n"/>
      <c r="F196" s="79" t="inlineStr">
        <is>
          <t>Knapsack - Design Systems Engineer</t>
        </is>
      </c>
      <c r="G196" s="80" t="inlineStr">
        <is>
          <t>Knapsack</t>
        </is>
      </c>
      <c r="H196" s="80" t="inlineStr">
        <is>
          <t>Engineer</t>
        </is>
      </c>
      <c r="I196" s="80" t="inlineStr">
        <is>
          <t>2–4</t>
        </is>
      </c>
      <c r="J196" s="79">
        <f>IFERROR(XLOOKUP(H196,'Lookups - JourneyDeployment'!$K$3:$K$7,'Lookups - JourneyDeployment'!$L$3:$L$7),"")</f>
        <v/>
      </c>
      <c r="K196" s="80">
        <f>A196&amp;"|"&amp;B196</f>
        <v/>
      </c>
      <c r="L196" s="85">
        <f>IFERROR(XLOOKUP(K196,'Activity Settings'!$M$2:$M$200,'Activity Settings'!$J$2:$J$200),0)</f>
        <v/>
      </c>
      <c r="M196" s="80">
        <f>IFERROR(XLOOKUP(K196,'Activity Settings'!$M$2:$M$200,'Activity Settings'!$L$2:$L$200),"Knapsack")</f>
        <v/>
      </c>
      <c r="N196" s="86">
        <f>IFERROR(XLOOKUP(J196&amp;"|"&amp;M196,Rates!$E$2:$E$13,Rates!$C$2:$C$13),0)</f>
        <v/>
      </c>
      <c r="O196" s="86">
        <f>L196*N196</f>
        <v/>
      </c>
    </row>
    <row r="197" s="74">
      <c r="A197" s="79" t="inlineStr">
        <is>
          <t>Implementation + Onboarding</t>
        </is>
      </c>
      <c r="B197" s="79" t="inlineStr">
        <is>
          <t>Code Connect Strategy &amp; Configuration</t>
        </is>
      </c>
      <c r="C197" s="79" t="inlineStr">
        <is>
          <t>Define mapping conventions (component IDs, variants/states, props) and ownership model</t>
        </is>
      </c>
      <c r="D197" s="79" t="n"/>
      <c r="E197" s="79" t="n"/>
      <c r="F197" s="79" t="inlineStr">
        <is>
          <t>Knapsack - Design System / Platform SME</t>
        </is>
      </c>
      <c r="G197" s="80" t="inlineStr">
        <is>
          <t>Knapsack</t>
        </is>
      </c>
      <c r="H197" s="80" t="inlineStr">
        <is>
          <t>SME</t>
        </is>
      </c>
      <c r="I197" s="80" t="inlineStr">
        <is>
          <t>2–4</t>
        </is>
      </c>
      <c r="J197" s="79">
        <f>IFERROR(XLOOKUP(H197,'Lookups - JourneyDeployment'!$K$3:$K$7,'Lookups - JourneyDeployment'!$L$3:$L$7),"")</f>
        <v/>
      </c>
      <c r="K197" s="80">
        <f>A197&amp;"|"&amp;B197</f>
        <v/>
      </c>
      <c r="L197" s="85">
        <f>IFERROR(XLOOKUP(K197,'Activity Settings'!$M$2:$M$200,'Activity Settings'!$J$2:$J$200),0)</f>
        <v/>
      </c>
      <c r="M197" s="80">
        <f>IFERROR(XLOOKUP(K197,'Activity Settings'!$M$2:$M$200,'Activity Settings'!$L$2:$L$200),"Knapsack")</f>
        <v/>
      </c>
      <c r="N197" s="86">
        <f>IFERROR(XLOOKUP(J197&amp;"|"&amp;M197,Rates!$E$2:$E$13,Rates!$C$2:$C$13),0)</f>
        <v/>
      </c>
      <c r="O197" s="86">
        <f>L197*N197</f>
        <v/>
      </c>
    </row>
    <row r="198" s="74">
      <c r="A198" s="79" t="inlineStr">
        <is>
          <t>Implementation + Onboarding</t>
        </is>
      </c>
      <c r="B198" s="79" t="inlineStr">
        <is>
          <t>Code Connect Strategy &amp; Configuration</t>
        </is>
      </c>
      <c r="C198" s="79" t="inlineStr">
        <is>
          <t>Implement initial mappings for MVP components and verify accuracy</t>
        </is>
      </c>
      <c r="D198" s="79" t="n"/>
      <c r="E198" s="79" t="n"/>
      <c r="F198" s="79" t="inlineStr">
        <is>
          <t>Knapsack - Design Systems Engineer</t>
        </is>
      </c>
      <c r="G198" s="80" t="inlineStr">
        <is>
          <t>Knapsack</t>
        </is>
      </c>
      <c r="H198" s="80" t="inlineStr">
        <is>
          <t>Engineer</t>
        </is>
      </c>
      <c r="I198" s="80" t="inlineStr">
        <is>
          <t>2–4</t>
        </is>
      </c>
      <c r="J198" s="79">
        <f>IFERROR(XLOOKUP(H198,'Lookups - JourneyDeployment'!$K$3:$K$7,'Lookups - JourneyDeployment'!$L$3:$L$7),"")</f>
        <v/>
      </c>
      <c r="K198" s="80">
        <f>A198&amp;"|"&amp;B198</f>
        <v/>
      </c>
      <c r="L198" s="85">
        <f>IFERROR(XLOOKUP(K198,'Activity Settings'!$M$2:$M$200,'Activity Settings'!$J$2:$J$200),0)</f>
        <v/>
      </c>
      <c r="M198" s="80">
        <f>IFERROR(XLOOKUP(K198,'Activity Settings'!$M$2:$M$200,'Activity Settings'!$L$2:$L$200),"Knapsack")</f>
        <v/>
      </c>
      <c r="N198" s="86">
        <f>IFERROR(XLOOKUP(J198&amp;"|"&amp;M198,Rates!$E$2:$E$13,Rates!$C$2:$C$13),0)</f>
        <v/>
      </c>
      <c r="O198" s="86">
        <f>L198*N198</f>
        <v/>
      </c>
    </row>
    <row r="199" s="74">
      <c r="A199" s="79" t="inlineStr">
        <is>
          <t>Implementation + Onboarding</t>
        </is>
      </c>
      <c r="B199" s="79" t="inlineStr">
        <is>
          <t>Code Connect Strategy &amp; Configuration</t>
        </is>
      </c>
      <c r="C199" s="79" t="inlineStr">
        <is>
          <t>Define drift detection + remediation workflow (design↔code mismatch)</t>
        </is>
      </c>
      <c r="D199" s="79" t="n"/>
      <c r="E199" s="79" t="n"/>
      <c r="F199" s="79" t="inlineStr">
        <is>
          <t>Knapsack - Program/Delivery PM</t>
        </is>
      </c>
      <c r="G199" s="80" t="inlineStr">
        <is>
          <t>Knapsack</t>
        </is>
      </c>
      <c r="H199" s="80" t="inlineStr">
        <is>
          <t>Project Manager</t>
        </is>
      </c>
      <c r="I199" s="80" t="inlineStr">
        <is>
          <t>2–4</t>
        </is>
      </c>
      <c r="J199" s="79">
        <f>IFERROR(XLOOKUP(H199,'Lookups - JourneyDeployment'!$K$3:$K$7,'Lookups - JourneyDeployment'!$L$3:$L$7),"")</f>
        <v/>
      </c>
      <c r="K199" s="80">
        <f>A199&amp;"|"&amp;B199</f>
        <v/>
      </c>
      <c r="L199" s="85">
        <f>IFERROR(XLOOKUP(K199,'Activity Settings'!$M$2:$M$200,'Activity Settings'!$J$2:$J$200),0)</f>
        <v/>
      </c>
      <c r="M199" s="80">
        <f>IFERROR(XLOOKUP(K199,'Activity Settings'!$M$2:$M$200,'Activity Settings'!$L$2:$L$200),"Knapsack")</f>
        <v/>
      </c>
      <c r="N199" s="86">
        <f>IFERROR(XLOOKUP(J199&amp;"|"&amp;M199,Rates!$E$2:$E$13,Rates!$C$2:$C$13),0)</f>
        <v/>
      </c>
      <c r="O199" s="86">
        <f>L199*N199</f>
        <v/>
      </c>
    </row>
    <row r="200" s="74">
      <c r="A200" s="79" t="inlineStr">
        <is>
          <t>Implementation + Onboarding</t>
        </is>
      </c>
      <c r="B200" s="79" t="inlineStr">
        <is>
          <t>Code Connect Strategy &amp; Configuration</t>
        </is>
      </c>
      <c r="C200" s="79" t="inlineStr">
        <is>
          <t>Publish Code Connect playbook and governance</t>
        </is>
      </c>
      <c r="D200" s="79" t="inlineStr">
        <is>
          <t>Code Connect Setup + Drift Governance</t>
        </is>
      </c>
      <c r="E200" s="79" t="inlineStr">
        <is>
          <t>Connected component strategy, configuration, mapping conventions, and drift SOP.</t>
        </is>
      </c>
      <c r="F200" s="79" t="inlineStr">
        <is>
          <t>Knapsack - Design System / Platform SME</t>
        </is>
      </c>
      <c r="G200" s="80" t="inlineStr">
        <is>
          <t>Knapsack</t>
        </is>
      </c>
      <c r="H200" s="80" t="inlineStr">
        <is>
          <t>SME</t>
        </is>
      </c>
      <c r="I200" s="80" t="inlineStr">
        <is>
          <t>2–4</t>
        </is>
      </c>
      <c r="J200" s="79">
        <f>IFERROR(XLOOKUP(H200,'Lookups - JourneyDeployment'!$K$3:$K$7,'Lookups - JourneyDeployment'!$L$3:$L$7),"")</f>
        <v/>
      </c>
      <c r="K200" s="80">
        <f>A200&amp;"|"&amp;B200</f>
        <v/>
      </c>
      <c r="L200" s="85">
        <f>IFERROR(XLOOKUP(K200,'Activity Settings'!$M$2:$M$200,'Activity Settings'!$J$2:$J$200),0)</f>
        <v/>
      </c>
      <c r="M200" s="80">
        <f>IFERROR(XLOOKUP(K200,'Activity Settings'!$M$2:$M$200,'Activity Settings'!$L$2:$L$200),"Knapsack")</f>
        <v/>
      </c>
      <c r="N200" s="86">
        <f>IFERROR(XLOOKUP(J200&amp;"|"&amp;M200,Rates!$E$2:$E$13,Rates!$C$2:$C$13),0)</f>
        <v/>
      </c>
      <c r="O200" s="86">
        <f>L200*N200</f>
        <v/>
      </c>
    </row>
    <row r="201" s="74">
      <c r="A201" s="79" t="inlineStr">
        <is>
          <t>Implementation + Onboarding</t>
        </is>
      </c>
      <c r="B201" s="79" t="inlineStr">
        <is>
          <t>Documentation IA &amp; Templates (Design System Docs)</t>
        </is>
      </c>
      <c r="C201" s="79" t="inlineStr">
        <is>
          <t>Define docs information architecture (Foundations, Tokens, Components, Patterns, Content, A11y)</t>
        </is>
      </c>
      <c r="D201" s="79" t="n"/>
      <c r="E201" s="79" t="n"/>
      <c r="F201" s="79" t="inlineStr">
        <is>
          <t>Knapsack - Design System / Platform SME</t>
        </is>
      </c>
      <c r="G201" s="80" t="inlineStr">
        <is>
          <t>Knapsack</t>
        </is>
      </c>
      <c r="H201" s="80" t="inlineStr">
        <is>
          <t>SME</t>
        </is>
      </c>
      <c r="I201" s="80" t="inlineStr">
        <is>
          <t>2–3</t>
        </is>
      </c>
      <c r="J201" s="79">
        <f>IFERROR(XLOOKUP(H201,'Lookups - JourneyDeployment'!$K$3:$K$7,'Lookups - JourneyDeployment'!$L$3:$L$7),"")</f>
        <v/>
      </c>
      <c r="K201" s="80">
        <f>A201&amp;"|"&amp;B201</f>
        <v/>
      </c>
      <c r="L201" s="85">
        <f>IFERROR(XLOOKUP(K201,'Activity Settings'!$M$2:$M$200,'Activity Settings'!$J$2:$J$200),0)</f>
        <v/>
      </c>
      <c r="M201" s="80">
        <f>IFERROR(XLOOKUP(K201,'Activity Settings'!$M$2:$M$200,'Activity Settings'!$L$2:$L$200),"Knapsack")</f>
        <v/>
      </c>
      <c r="N201" s="86">
        <f>IFERROR(XLOOKUP(J201&amp;"|"&amp;M201,Rates!$E$2:$E$13,Rates!$C$2:$C$13),0)</f>
        <v/>
      </c>
      <c r="O201" s="86">
        <f>L201*N201</f>
        <v/>
      </c>
    </row>
    <row r="202" s="74">
      <c r="A202" s="79" t="inlineStr">
        <is>
          <t>Implementation + Onboarding</t>
        </is>
      </c>
      <c r="B202" s="79" t="inlineStr">
        <is>
          <t>Documentation IA &amp; Templates (Design System Docs)</t>
        </is>
      </c>
      <c r="C202" s="79" t="inlineStr">
        <is>
          <t>Create docs templates (component pages, token pages, pattern pages, migration guides)</t>
        </is>
      </c>
      <c r="D202" s="79" t="n"/>
      <c r="E202" s="79" t="n"/>
      <c r="F202" s="79" t="inlineStr">
        <is>
          <t>Knapsack - Design System / Platform SME</t>
        </is>
      </c>
      <c r="G202" s="80" t="inlineStr">
        <is>
          <t>Knapsack</t>
        </is>
      </c>
      <c r="H202" s="80" t="inlineStr">
        <is>
          <t>SME</t>
        </is>
      </c>
      <c r="I202" s="80" t="inlineStr">
        <is>
          <t>2–3</t>
        </is>
      </c>
      <c r="J202" s="79">
        <f>IFERROR(XLOOKUP(H202,'Lookups - JourneyDeployment'!$K$3:$K$7,'Lookups - JourneyDeployment'!$L$3:$L$7),"")</f>
        <v/>
      </c>
      <c r="K202" s="80">
        <f>A202&amp;"|"&amp;B202</f>
        <v/>
      </c>
      <c r="L202" s="85">
        <f>IFERROR(XLOOKUP(K202,'Activity Settings'!$M$2:$M$200,'Activity Settings'!$J$2:$J$200),0)</f>
        <v/>
      </c>
      <c r="M202" s="80">
        <f>IFERROR(XLOOKUP(K202,'Activity Settings'!$M$2:$M$200,'Activity Settings'!$L$2:$L$200),"Knapsack")</f>
        <v/>
      </c>
      <c r="N202" s="86">
        <f>IFERROR(XLOOKUP(J202&amp;"|"&amp;M202,Rates!$E$2:$E$13,Rates!$C$2:$C$13),0)</f>
        <v/>
      </c>
      <c r="O202" s="86">
        <f>L202*N202</f>
        <v/>
      </c>
    </row>
    <row r="203" s="74">
      <c r="A203" s="79" t="inlineStr">
        <is>
          <t>Implementation + Onboarding</t>
        </is>
      </c>
      <c r="B203" s="79" t="inlineStr">
        <is>
          <t>Documentation IA &amp; Templates (Design System Docs)</t>
        </is>
      </c>
      <c r="C203" s="79" t="inlineStr">
        <is>
          <t>Set up docs site scaffold and navigation (or align existing docs site)</t>
        </is>
      </c>
      <c r="D203" s="79" t="n"/>
      <c r="E203" s="79" t="n"/>
      <c r="F203" s="79" t="inlineStr">
        <is>
          <t>Knapsack - Design Systems Engineer</t>
        </is>
      </c>
      <c r="G203" s="80" t="inlineStr">
        <is>
          <t>Knapsack</t>
        </is>
      </c>
      <c r="H203" s="80" t="inlineStr">
        <is>
          <t>Engineer</t>
        </is>
      </c>
      <c r="I203" s="80" t="inlineStr">
        <is>
          <t>2–3</t>
        </is>
      </c>
      <c r="J203" s="79">
        <f>IFERROR(XLOOKUP(H203,'Lookups - JourneyDeployment'!$K$3:$K$7,'Lookups - JourneyDeployment'!$L$3:$L$7),"")</f>
        <v/>
      </c>
      <c r="K203" s="80">
        <f>A203&amp;"|"&amp;B203</f>
        <v/>
      </c>
      <c r="L203" s="85">
        <f>IFERROR(XLOOKUP(K203,'Activity Settings'!$M$2:$M$200,'Activity Settings'!$J$2:$J$200),0)</f>
        <v/>
      </c>
      <c r="M203" s="80">
        <f>IFERROR(XLOOKUP(K203,'Activity Settings'!$M$2:$M$200,'Activity Settings'!$L$2:$L$200),"Knapsack")</f>
        <v/>
      </c>
      <c r="N203" s="86">
        <f>IFERROR(XLOOKUP(J203&amp;"|"&amp;M203,Rates!$E$2:$E$13,Rates!$C$2:$C$13),0)</f>
        <v/>
      </c>
      <c r="O203" s="86">
        <f>L203*N203</f>
        <v/>
      </c>
    </row>
    <row r="204" s="74">
      <c r="A204" s="79" t="inlineStr">
        <is>
          <t>Implementation + Onboarding</t>
        </is>
      </c>
      <c r="B204" s="79" t="inlineStr">
        <is>
          <t>Documentation IA &amp; Templates (Design System Docs)</t>
        </is>
      </c>
      <c r="C204" s="79" t="inlineStr">
        <is>
          <t>Create “Getting Started” guides for designers, engineers, and partners</t>
        </is>
      </c>
      <c r="D204" s="79" t="n"/>
      <c r="E204" s="79" t="n"/>
      <c r="F204" s="79" t="inlineStr">
        <is>
          <t>Knapsack - Design System / Platform SME</t>
        </is>
      </c>
      <c r="G204" s="80" t="inlineStr">
        <is>
          <t>Knapsack</t>
        </is>
      </c>
      <c r="H204" s="80" t="inlineStr">
        <is>
          <t>SME</t>
        </is>
      </c>
      <c r="I204" s="80" t="inlineStr">
        <is>
          <t>2–3</t>
        </is>
      </c>
      <c r="J204" s="79">
        <f>IFERROR(XLOOKUP(H204,'Lookups - JourneyDeployment'!$K$3:$K$7,'Lookups - JourneyDeployment'!$L$3:$L$7),"")</f>
        <v/>
      </c>
      <c r="K204" s="80">
        <f>A204&amp;"|"&amp;B204</f>
        <v/>
      </c>
      <c r="L204" s="85">
        <f>IFERROR(XLOOKUP(K204,'Activity Settings'!$M$2:$M$200,'Activity Settings'!$J$2:$J$200),0)</f>
        <v/>
      </c>
      <c r="M204" s="80">
        <f>IFERROR(XLOOKUP(K204,'Activity Settings'!$M$2:$M$200,'Activity Settings'!$L$2:$L$200),"Knapsack")</f>
        <v/>
      </c>
      <c r="N204" s="86">
        <f>IFERROR(XLOOKUP(J204&amp;"|"&amp;M204,Rates!$E$2:$E$13,Rates!$C$2:$C$13),0)</f>
        <v/>
      </c>
      <c r="O204" s="86">
        <f>L204*N204</f>
        <v/>
      </c>
    </row>
    <row r="205" s="74">
      <c r="A205" s="79" t="inlineStr">
        <is>
          <t>Implementation + Onboarding</t>
        </is>
      </c>
      <c r="B205" s="79" t="inlineStr">
        <is>
          <t>Documentation IA &amp; Templates (Design System Docs)</t>
        </is>
      </c>
      <c r="C205" s="79" t="inlineStr">
        <is>
          <t>Publish initial docs structure and ownership/freshness rules</t>
        </is>
      </c>
      <c r="D205" s="79" t="inlineStr">
        <is>
          <t>Design System Documentation IA + Templates</t>
        </is>
      </c>
      <c r="E205" s="79" t="inlineStr">
        <is>
          <t>Docs structure, page templates, and ownership/freshness model for living documentation.</t>
        </is>
      </c>
      <c r="F205" s="79" t="inlineStr">
        <is>
          <t>Knapsack - Program/Delivery PM</t>
        </is>
      </c>
      <c r="G205" s="80" t="inlineStr">
        <is>
          <t>Knapsack</t>
        </is>
      </c>
      <c r="H205" s="80" t="inlineStr">
        <is>
          <t>Project Manager</t>
        </is>
      </c>
      <c r="I205" s="80" t="inlineStr">
        <is>
          <t>2–3</t>
        </is>
      </c>
      <c r="J205" s="79">
        <f>IFERROR(XLOOKUP(H205,'Lookups - JourneyDeployment'!$K$3:$K$7,'Lookups - JourneyDeployment'!$L$3:$L$7),"")</f>
        <v/>
      </c>
      <c r="K205" s="80">
        <f>A205&amp;"|"&amp;B205</f>
        <v/>
      </c>
      <c r="L205" s="85">
        <f>IFERROR(XLOOKUP(K205,'Activity Settings'!$M$2:$M$200,'Activity Settings'!$J$2:$J$200),0)</f>
        <v/>
      </c>
      <c r="M205" s="80">
        <f>IFERROR(XLOOKUP(K205,'Activity Settings'!$M$2:$M$200,'Activity Settings'!$L$2:$L$200),"Knapsack")</f>
        <v/>
      </c>
      <c r="N205" s="86">
        <f>IFERROR(XLOOKUP(J205&amp;"|"&amp;M205,Rates!$E$2:$E$13,Rates!$C$2:$C$13),0)</f>
        <v/>
      </c>
      <c r="O205" s="86">
        <f>L205*N205</f>
        <v/>
      </c>
    </row>
    <row r="206" s="74">
      <c r="A206" s="79" t="inlineStr">
        <is>
          <t>Implementation + Onboarding</t>
        </is>
      </c>
      <c r="B206" s="79" t="inlineStr">
        <is>
          <t>Quality Gates Setup (A11y, Visual, Performance, Security)</t>
        </is>
      </c>
      <c r="C206" s="79" t="inlineStr">
        <is>
          <t>Define quality gate policy (release criteria for components/tokens/docs)</t>
        </is>
      </c>
      <c r="D206" s="79" t="n"/>
      <c r="E206" s="79" t="n"/>
      <c r="F206" s="79" t="inlineStr">
        <is>
          <t>Knapsack - Design System / Platform SME</t>
        </is>
      </c>
      <c r="G206" s="80" t="inlineStr">
        <is>
          <t>Knapsack</t>
        </is>
      </c>
      <c r="H206" s="80" t="inlineStr">
        <is>
          <t>SME</t>
        </is>
      </c>
      <c r="I206" s="80" t="inlineStr">
        <is>
          <t>3–5</t>
        </is>
      </c>
      <c r="J206" s="79">
        <f>IFERROR(XLOOKUP(H206,'Lookups - JourneyDeployment'!$K$3:$K$7,'Lookups - JourneyDeployment'!$L$3:$L$7),"")</f>
        <v/>
      </c>
      <c r="K206" s="80">
        <f>A206&amp;"|"&amp;B206</f>
        <v/>
      </c>
      <c r="L206" s="85">
        <f>IFERROR(XLOOKUP(K206,'Activity Settings'!$M$2:$M$200,'Activity Settings'!$J$2:$J$200),0)</f>
        <v/>
      </c>
      <c r="M206" s="80">
        <f>IFERROR(XLOOKUP(K206,'Activity Settings'!$M$2:$M$200,'Activity Settings'!$L$2:$L$200),"Knapsack")</f>
        <v/>
      </c>
      <c r="N206" s="86">
        <f>IFERROR(XLOOKUP(J206&amp;"|"&amp;M206,Rates!$E$2:$E$13,Rates!$C$2:$C$13),0)</f>
        <v/>
      </c>
      <c r="O206" s="86">
        <f>L206*N206</f>
        <v/>
      </c>
    </row>
    <row r="207" s="74">
      <c r="A207" s="79" t="inlineStr">
        <is>
          <t>Implementation + Onboarding</t>
        </is>
      </c>
      <c r="B207" s="79" t="inlineStr">
        <is>
          <t>Quality Gates Setup (A11y, Visual, Performance, Security)</t>
        </is>
      </c>
      <c r="C207" s="79" t="inlineStr">
        <is>
          <t>Set up accessibility automation (linting, test utilities, checks) and manual audit process</t>
        </is>
      </c>
      <c r="D207" s="79" t="n"/>
      <c r="E207" s="79" t="n"/>
      <c r="F207" s="79" t="inlineStr">
        <is>
          <t>Knapsack - Design Systems Engineer</t>
        </is>
      </c>
      <c r="G207" s="80" t="inlineStr">
        <is>
          <t>Knapsack</t>
        </is>
      </c>
      <c r="H207" s="80" t="inlineStr">
        <is>
          <t>Engineer</t>
        </is>
      </c>
      <c r="I207" s="80" t="inlineStr">
        <is>
          <t>3–5</t>
        </is>
      </c>
      <c r="J207" s="79">
        <f>IFERROR(XLOOKUP(H207,'Lookups - JourneyDeployment'!$K$3:$K$7,'Lookups - JourneyDeployment'!$L$3:$L$7),"")</f>
        <v/>
      </c>
      <c r="K207" s="80">
        <f>A207&amp;"|"&amp;B207</f>
        <v/>
      </c>
      <c r="L207" s="85">
        <f>IFERROR(XLOOKUP(K207,'Activity Settings'!$M$2:$M$200,'Activity Settings'!$J$2:$J$200),0)</f>
        <v/>
      </c>
      <c r="M207" s="80">
        <f>IFERROR(XLOOKUP(K207,'Activity Settings'!$M$2:$M$200,'Activity Settings'!$L$2:$L$200),"Knapsack")</f>
        <v/>
      </c>
      <c r="N207" s="86">
        <f>IFERROR(XLOOKUP(J207&amp;"|"&amp;M207,Rates!$E$2:$E$13,Rates!$C$2:$C$13),0)</f>
        <v/>
      </c>
      <c r="O207" s="86">
        <f>L207*N207</f>
        <v/>
      </c>
    </row>
    <row r="208" s="74">
      <c r="A208" s="79" t="inlineStr">
        <is>
          <t>Implementation + Onboarding</t>
        </is>
      </c>
      <c r="B208" s="79" t="inlineStr">
        <is>
          <t>Quality Gates Setup (A11y, Visual, Performance, Security)</t>
        </is>
      </c>
      <c r="C208" s="79" t="inlineStr">
        <is>
          <t>Set up visual regression testing and baseline snapshot workflow</t>
        </is>
      </c>
      <c r="D208" s="79" t="n"/>
      <c r="E208" s="79" t="n"/>
      <c r="F208" s="79" t="inlineStr">
        <is>
          <t>Knapsack - Design Systems Engineer</t>
        </is>
      </c>
      <c r="G208" s="80" t="inlineStr">
        <is>
          <t>Knapsack</t>
        </is>
      </c>
      <c r="H208" s="80" t="inlineStr">
        <is>
          <t>Engineer</t>
        </is>
      </c>
      <c r="I208" s="80" t="inlineStr">
        <is>
          <t>3–5</t>
        </is>
      </c>
      <c r="J208" s="79">
        <f>IFERROR(XLOOKUP(H208,'Lookups - JourneyDeployment'!$K$3:$K$7,'Lookups - JourneyDeployment'!$L$3:$L$7),"")</f>
        <v/>
      </c>
      <c r="K208" s="80">
        <f>A208&amp;"|"&amp;B208</f>
        <v/>
      </c>
      <c r="L208" s="85">
        <f>IFERROR(XLOOKUP(K208,'Activity Settings'!$M$2:$M$200,'Activity Settings'!$J$2:$J$200),0)</f>
        <v/>
      </c>
      <c r="M208" s="80">
        <f>IFERROR(XLOOKUP(K208,'Activity Settings'!$M$2:$M$200,'Activity Settings'!$L$2:$L$200),"Knapsack")</f>
        <v/>
      </c>
      <c r="N208" s="86">
        <f>IFERROR(XLOOKUP(J208&amp;"|"&amp;M208,Rates!$E$2:$E$13,Rates!$C$2:$C$13),0)</f>
        <v/>
      </c>
      <c r="O208" s="86">
        <f>L208*N208</f>
        <v/>
      </c>
    </row>
    <row r="209" s="74">
      <c r="A209" s="79" t="inlineStr">
        <is>
          <t>Implementation + Onboarding</t>
        </is>
      </c>
      <c r="B209" s="79" t="inlineStr">
        <is>
          <t>Quality Gates Setup (A11y, Visual, Performance, Security)</t>
        </is>
      </c>
      <c r="C209" s="79" t="inlineStr">
        <is>
          <t>Define performance budgets for components and measurement approach</t>
        </is>
      </c>
      <c r="D209" s="79" t="n"/>
      <c r="E209" s="79" t="n"/>
      <c r="F209" s="79" t="inlineStr">
        <is>
          <t>Knapsack - Design Systems Engineer</t>
        </is>
      </c>
      <c r="G209" s="80" t="inlineStr">
        <is>
          <t>Knapsack</t>
        </is>
      </c>
      <c r="H209" s="80" t="inlineStr">
        <is>
          <t>Engineer</t>
        </is>
      </c>
      <c r="I209" s="80" t="inlineStr">
        <is>
          <t>3–5</t>
        </is>
      </c>
      <c r="J209" s="79">
        <f>IFERROR(XLOOKUP(H209,'Lookups - JourneyDeployment'!$K$3:$K$7,'Lookups - JourneyDeployment'!$L$3:$L$7),"")</f>
        <v/>
      </c>
      <c r="K209" s="80">
        <f>A209&amp;"|"&amp;B209</f>
        <v/>
      </c>
      <c r="L209" s="85">
        <f>IFERROR(XLOOKUP(K209,'Activity Settings'!$M$2:$M$200,'Activity Settings'!$J$2:$J$200),0)</f>
        <v/>
      </c>
      <c r="M209" s="80">
        <f>IFERROR(XLOOKUP(K209,'Activity Settings'!$M$2:$M$200,'Activity Settings'!$L$2:$L$200),"Knapsack")</f>
        <v/>
      </c>
      <c r="N209" s="86">
        <f>IFERROR(XLOOKUP(J209&amp;"|"&amp;M209,Rates!$E$2:$E$13,Rates!$C$2:$C$13),0)</f>
        <v/>
      </c>
      <c r="O209" s="86">
        <f>L209*N209</f>
        <v/>
      </c>
    </row>
    <row r="210" s="74">
      <c r="A210" s="79" t="inlineStr">
        <is>
          <t>Implementation + Onboarding</t>
        </is>
      </c>
      <c r="B210" s="79" t="inlineStr">
        <is>
          <t>Quality Gates Setup (A11y, Visual, Performance, Security)</t>
        </is>
      </c>
      <c r="C210" s="79" t="inlineStr">
        <is>
          <t>Review secure publishing pipeline (dependency policy, provenance/signing if applicable)</t>
        </is>
      </c>
      <c r="D210" s="79" t="n"/>
      <c r="E210" s="79" t="n"/>
      <c r="F210" s="79" t="inlineStr">
        <is>
          <t>Knapsack - Design System / Platform SME</t>
        </is>
      </c>
      <c r="G210" s="80" t="inlineStr">
        <is>
          <t>Knapsack</t>
        </is>
      </c>
      <c r="H210" s="80" t="inlineStr">
        <is>
          <t>SME</t>
        </is>
      </c>
      <c r="I210" s="80" t="inlineStr">
        <is>
          <t>3–5</t>
        </is>
      </c>
      <c r="J210" s="79">
        <f>IFERROR(XLOOKUP(H210,'Lookups - JourneyDeployment'!$K$3:$K$7,'Lookups - JourneyDeployment'!$L$3:$L$7),"")</f>
        <v/>
      </c>
      <c r="K210" s="80">
        <f>A210&amp;"|"&amp;B210</f>
        <v/>
      </c>
      <c r="L210" s="85">
        <f>IFERROR(XLOOKUP(K210,'Activity Settings'!$M$2:$M$200,'Activity Settings'!$J$2:$J$200),0)</f>
        <v/>
      </c>
      <c r="M210" s="80">
        <f>IFERROR(XLOOKUP(K210,'Activity Settings'!$M$2:$M$200,'Activity Settings'!$L$2:$L$200),"Knapsack")</f>
        <v/>
      </c>
      <c r="N210" s="86">
        <f>IFERROR(XLOOKUP(J210&amp;"|"&amp;M210,Rates!$E$2:$E$13,Rates!$C$2:$C$13),0)</f>
        <v/>
      </c>
      <c r="O210" s="86">
        <f>L210*N210</f>
        <v/>
      </c>
    </row>
    <row r="211" s="74">
      <c r="A211" s="79" t="inlineStr">
        <is>
          <t>Implementation + Onboarding</t>
        </is>
      </c>
      <c r="B211" s="79" t="inlineStr">
        <is>
          <t>Quality Gates Setup (A11y, Visual, Performance, Security)</t>
        </is>
      </c>
      <c r="C211" s="79" t="inlineStr">
        <is>
          <t>Publish QA checklist and integrate gates into CI/CD</t>
        </is>
      </c>
      <c r="D211" s="79" t="inlineStr">
        <is>
          <t>Quality Gates + Automation Framework</t>
        </is>
      </c>
      <c r="E211" s="79" t="inlineStr">
        <is>
          <t>Automated quality checks (a11y/visual/perf/security) and release gating policy.</t>
        </is>
      </c>
      <c r="F211" s="79" t="inlineStr">
        <is>
          <t>Knapsack - Design Systems Engineer</t>
        </is>
      </c>
      <c r="G211" s="80" t="inlineStr">
        <is>
          <t>Knapsack</t>
        </is>
      </c>
      <c r="H211" s="80" t="inlineStr">
        <is>
          <t>Engineer</t>
        </is>
      </c>
      <c r="I211" s="80" t="inlineStr">
        <is>
          <t>3–5</t>
        </is>
      </c>
      <c r="J211" s="79">
        <f>IFERROR(XLOOKUP(H211,'Lookups - JourneyDeployment'!$K$3:$K$7,'Lookups - JourneyDeployment'!$L$3:$L$7),"")</f>
        <v/>
      </c>
      <c r="K211" s="80">
        <f>A211&amp;"|"&amp;B211</f>
        <v/>
      </c>
      <c r="L211" s="85">
        <f>IFERROR(XLOOKUP(K211,'Activity Settings'!$M$2:$M$200,'Activity Settings'!$J$2:$J$200),0)</f>
        <v/>
      </c>
      <c r="M211" s="80">
        <f>IFERROR(XLOOKUP(K211,'Activity Settings'!$M$2:$M$200,'Activity Settings'!$L$2:$L$200),"Knapsack")</f>
        <v/>
      </c>
      <c r="N211" s="86">
        <f>IFERROR(XLOOKUP(J211&amp;"|"&amp;M211,Rates!$E$2:$E$13,Rates!$C$2:$C$13),0)</f>
        <v/>
      </c>
      <c r="O211" s="86">
        <f>L211*N211</f>
        <v/>
      </c>
    </row>
    <row r="212" s="74">
      <c r="A212" s="79" t="inlineStr">
        <is>
          <t>Implementation + Onboarding</t>
        </is>
      </c>
      <c r="B212" s="79" t="inlineStr">
        <is>
          <t>Release Engineering &amp; Package Strategy</t>
        </is>
      </c>
      <c r="C212" s="79" t="inlineStr">
        <is>
          <t>Define repo strategy (mono/polyrepo) and package boundaries</t>
        </is>
      </c>
      <c r="D212" s="79" t="n"/>
      <c r="E212" s="79" t="n"/>
      <c r="F212" s="79" t="inlineStr">
        <is>
          <t>Knapsack - Design Systems Engineer</t>
        </is>
      </c>
      <c r="G212" s="80" t="inlineStr">
        <is>
          <t>Knapsack</t>
        </is>
      </c>
      <c r="H212" s="80" t="inlineStr">
        <is>
          <t>Engineer</t>
        </is>
      </c>
      <c r="I212" s="80" t="inlineStr">
        <is>
          <t>3–5</t>
        </is>
      </c>
      <c r="J212" s="79">
        <f>IFERROR(XLOOKUP(H212,'Lookups - JourneyDeployment'!$K$3:$K$7,'Lookups - JourneyDeployment'!$L$3:$L$7),"")</f>
        <v/>
      </c>
      <c r="K212" s="80">
        <f>A212&amp;"|"&amp;B212</f>
        <v/>
      </c>
      <c r="L212" s="85">
        <f>IFERROR(XLOOKUP(K212,'Activity Settings'!$M$2:$M$200,'Activity Settings'!$J$2:$J$200),0)</f>
        <v/>
      </c>
      <c r="M212" s="80">
        <f>IFERROR(XLOOKUP(K212,'Activity Settings'!$M$2:$M$200,'Activity Settings'!$L$2:$L$200),"Knapsack")</f>
        <v/>
      </c>
      <c r="N212" s="86">
        <f>IFERROR(XLOOKUP(J212&amp;"|"&amp;M212,Rates!$E$2:$E$13,Rates!$C$2:$C$13),0)</f>
        <v/>
      </c>
      <c r="O212" s="86">
        <f>L212*N212</f>
        <v/>
      </c>
    </row>
    <row r="213" s="74">
      <c r="A213" s="79" t="inlineStr">
        <is>
          <t>Implementation + Onboarding</t>
        </is>
      </c>
      <c r="B213" s="79" t="inlineStr">
        <is>
          <t>Release Engineering &amp; Package Strategy</t>
        </is>
      </c>
      <c r="C213" s="79" t="inlineStr">
        <is>
          <t>Define semantic versioning, changelog, and release notes standards</t>
        </is>
      </c>
      <c r="D213" s="79" t="n"/>
      <c r="E213" s="79" t="n"/>
      <c r="F213" s="79" t="inlineStr">
        <is>
          <t>Knapsack - Program/Delivery PM</t>
        </is>
      </c>
      <c r="G213" s="80" t="inlineStr">
        <is>
          <t>Knapsack</t>
        </is>
      </c>
      <c r="H213" s="80" t="inlineStr">
        <is>
          <t>Project Manager</t>
        </is>
      </c>
      <c r="I213" s="80" t="inlineStr">
        <is>
          <t>3–5</t>
        </is>
      </c>
      <c r="J213" s="79">
        <f>IFERROR(XLOOKUP(H213,'Lookups - JourneyDeployment'!$K$3:$K$7,'Lookups - JourneyDeployment'!$L$3:$L$7),"")</f>
        <v/>
      </c>
      <c r="K213" s="80">
        <f>A213&amp;"|"&amp;B213</f>
        <v/>
      </c>
      <c r="L213" s="85">
        <f>IFERROR(XLOOKUP(K213,'Activity Settings'!$M$2:$M$200,'Activity Settings'!$J$2:$J$200),0)</f>
        <v/>
      </c>
      <c r="M213" s="80">
        <f>IFERROR(XLOOKUP(K213,'Activity Settings'!$M$2:$M$200,'Activity Settings'!$L$2:$L$200),"Knapsack")</f>
        <v/>
      </c>
      <c r="N213" s="86">
        <f>IFERROR(XLOOKUP(J213&amp;"|"&amp;M213,Rates!$E$2:$E$13,Rates!$C$2:$C$13),0)</f>
        <v/>
      </c>
      <c r="O213" s="86">
        <f>L213*N213</f>
        <v/>
      </c>
    </row>
    <row r="214" s="74">
      <c r="A214" s="79" t="inlineStr">
        <is>
          <t>Implementation + Onboarding</t>
        </is>
      </c>
      <c r="B214" s="79" t="inlineStr">
        <is>
          <t>Release Engineering &amp; Package Strategy</t>
        </is>
      </c>
      <c r="C214" s="79" t="inlineStr">
        <is>
          <t>Implement CI/CD for build/test/publish packages and deploy docs</t>
        </is>
      </c>
      <c r="D214" s="79" t="n"/>
      <c r="E214" s="79" t="n"/>
      <c r="F214" s="79" t="inlineStr">
        <is>
          <t>Knapsack - Design Systems Engineer</t>
        </is>
      </c>
      <c r="G214" s="80" t="inlineStr">
        <is>
          <t>Knapsack</t>
        </is>
      </c>
      <c r="H214" s="80" t="inlineStr">
        <is>
          <t>Engineer</t>
        </is>
      </c>
      <c r="I214" s="80" t="inlineStr">
        <is>
          <t>3–5</t>
        </is>
      </c>
      <c r="J214" s="79">
        <f>IFERROR(XLOOKUP(H214,'Lookups - JourneyDeployment'!$K$3:$K$7,'Lookups - JourneyDeployment'!$L$3:$L$7),"")</f>
        <v/>
      </c>
      <c r="K214" s="80">
        <f>A214&amp;"|"&amp;B214</f>
        <v/>
      </c>
      <c r="L214" s="85">
        <f>IFERROR(XLOOKUP(K214,'Activity Settings'!$M$2:$M$200,'Activity Settings'!$J$2:$J$200),0)</f>
        <v/>
      </c>
      <c r="M214" s="80">
        <f>IFERROR(XLOOKUP(K214,'Activity Settings'!$M$2:$M$200,'Activity Settings'!$L$2:$L$200),"Knapsack")</f>
        <v/>
      </c>
      <c r="N214" s="86">
        <f>IFERROR(XLOOKUP(J214&amp;"|"&amp;M214,Rates!$E$2:$E$13,Rates!$C$2:$C$13),0)</f>
        <v/>
      </c>
      <c r="O214" s="86">
        <f>L214*N214</f>
        <v/>
      </c>
    </row>
    <row r="215" s="74">
      <c r="A215" s="79" t="inlineStr">
        <is>
          <t>Implementation + Onboarding</t>
        </is>
      </c>
      <c r="B215" s="79" t="inlineStr">
        <is>
          <t>Release Engineering &amp; Package Strategy</t>
        </is>
      </c>
      <c r="C215" s="79" t="inlineStr">
        <is>
          <t>Set up compatibility testing (breaking changes, supported versions matrix)</t>
        </is>
      </c>
      <c r="D215" s="79" t="n"/>
      <c r="E215" s="79" t="n"/>
      <c r="F215" s="79" t="inlineStr">
        <is>
          <t>Knapsack - Design Systems Engineer</t>
        </is>
      </c>
      <c r="G215" s="80" t="inlineStr">
        <is>
          <t>Knapsack</t>
        </is>
      </c>
      <c r="H215" s="80" t="inlineStr">
        <is>
          <t>Engineer</t>
        </is>
      </c>
      <c r="I215" s="80" t="inlineStr">
        <is>
          <t>3–5</t>
        </is>
      </c>
      <c r="J215" s="79">
        <f>IFERROR(XLOOKUP(H215,'Lookups - JourneyDeployment'!$K$3:$K$7,'Lookups - JourneyDeployment'!$L$3:$L$7),"")</f>
        <v/>
      </c>
      <c r="K215" s="80">
        <f>A215&amp;"|"&amp;B215</f>
        <v/>
      </c>
      <c r="L215" s="85">
        <f>IFERROR(XLOOKUP(K215,'Activity Settings'!$M$2:$M$200,'Activity Settings'!$J$2:$J$200),0)</f>
        <v/>
      </c>
      <c r="M215" s="80">
        <f>IFERROR(XLOOKUP(K215,'Activity Settings'!$M$2:$M$200,'Activity Settings'!$L$2:$L$200),"Knapsack")</f>
        <v/>
      </c>
      <c r="N215" s="86">
        <f>IFERROR(XLOOKUP(J215&amp;"|"&amp;M215,Rates!$E$2:$E$13,Rates!$C$2:$C$13),0)</f>
        <v/>
      </c>
      <c r="O215" s="86">
        <f>L215*N215</f>
        <v/>
      </c>
    </row>
    <row r="216" s="74">
      <c r="A216" s="79" t="inlineStr">
        <is>
          <t>Implementation + Onboarding</t>
        </is>
      </c>
      <c r="B216" s="79" t="inlineStr">
        <is>
          <t>Release Engineering &amp; Package Strategy</t>
        </is>
      </c>
      <c r="C216" s="79" t="inlineStr">
        <is>
          <t>Define deprecation and migration policy (sunset timelines, migration guides)</t>
        </is>
      </c>
      <c r="D216" s="79" t="n"/>
      <c r="E216" s="79" t="n"/>
      <c r="F216" s="79" t="inlineStr">
        <is>
          <t>Knapsack - Design System / Platform SME</t>
        </is>
      </c>
      <c r="G216" s="80" t="inlineStr">
        <is>
          <t>Knapsack</t>
        </is>
      </c>
      <c r="H216" s="80" t="inlineStr">
        <is>
          <t>SME</t>
        </is>
      </c>
      <c r="I216" s="80" t="inlineStr">
        <is>
          <t>3–5</t>
        </is>
      </c>
      <c r="J216" s="79">
        <f>IFERROR(XLOOKUP(H216,'Lookups - JourneyDeployment'!$K$3:$K$7,'Lookups - JourneyDeployment'!$L$3:$L$7),"")</f>
        <v/>
      </c>
      <c r="K216" s="80">
        <f>A216&amp;"|"&amp;B216</f>
        <v/>
      </c>
      <c r="L216" s="85">
        <f>IFERROR(XLOOKUP(K216,'Activity Settings'!$M$2:$M$200,'Activity Settings'!$J$2:$J$200),0)</f>
        <v/>
      </c>
      <c r="M216" s="80">
        <f>IFERROR(XLOOKUP(K216,'Activity Settings'!$M$2:$M$200,'Activity Settings'!$L$2:$L$200),"Knapsack")</f>
        <v/>
      </c>
      <c r="N216" s="86">
        <f>IFERROR(XLOOKUP(J216&amp;"|"&amp;M216,Rates!$E$2:$E$13,Rates!$C$2:$C$13),0)</f>
        <v/>
      </c>
      <c r="O216" s="86">
        <f>L216*N216</f>
        <v/>
      </c>
    </row>
    <row r="217" s="74">
      <c r="A217" s="79" t="inlineStr">
        <is>
          <t>Implementation + Onboarding</t>
        </is>
      </c>
      <c r="B217" s="79" t="inlineStr">
        <is>
          <t>Release Engineering &amp; Package Strategy</t>
        </is>
      </c>
      <c r="C217" s="79" t="inlineStr">
        <is>
          <t>Publish release playbook and ownership</t>
        </is>
      </c>
      <c r="D217" s="79" t="inlineStr">
        <is>
          <t>Release Playbook + CI/CD Pipelines</t>
        </is>
      </c>
      <c r="E217" s="79" t="inlineStr">
        <is>
          <t>Package strategy, semver/release standards, CI/CD pipelines, and compatibility policy.</t>
        </is>
      </c>
      <c r="F217" s="79" t="inlineStr">
        <is>
          <t>Knapsack - Program/Delivery PM</t>
        </is>
      </c>
      <c r="G217" s="80" t="inlineStr">
        <is>
          <t>Knapsack</t>
        </is>
      </c>
      <c r="H217" s="80" t="inlineStr">
        <is>
          <t>Project Manager</t>
        </is>
      </c>
      <c r="I217" s="80" t="inlineStr">
        <is>
          <t>3–5</t>
        </is>
      </c>
      <c r="J217" s="79">
        <f>IFERROR(XLOOKUP(H217,'Lookups - JourneyDeployment'!$K$3:$K$7,'Lookups - JourneyDeployment'!$L$3:$L$7),"")</f>
        <v/>
      </c>
      <c r="K217" s="80">
        <f>A217&amp;"|"&amp;B217</f>
        <v/>
      </c>
      <c r="L217" s="85">
        <f>IFERROR(XLOOKUP(K217,'Activity Settings'!$M$2:$M$200,'Activity Settings'!$J$2:$J$200),0)</f>
        <v/>
      </c>
      <c r="M217" s="80">
        <f>IFERROR(XLOOKUP(K217,'Activity Settings'!$M$2:$M$200,'Activity Settings'!$L$2:$L$200),"Knapsack")</f>
        <v/>
      </c>
      <c r="N217" s="86">
        <f>IFERROR(XLOOKUP(J217&amp;"|"&amp;M217,Rates!$E$2:$E$13,Rates!$C$2:$C$13),0)</f>
        <v/>
      </c>
      <c r="O217" s="86">
        <f>L217*N217</f>
        <v/>
      </c>
    </row>
    <row r="218" s="74">
      <c r="A218" s="79" t="inlineStr">
        <is>
          <t>Implementation + Onboarding</t>
        </is>
      </c>
      <c r="B218" s="79" t="inlineStr">
        <is>
          <t>AI Contextual Capabilities – Context Model &amp; Knowledge Base</t>
        </is>
      </c>
      <c r="C218" s="79" t="inlineStr">
        <is>
          <t>Define AI JTBD and supported user journeys (recommend, explain, generate safely, lint)</t>
        </is>
      </c>
      <c r="D218" s="79" t="n"/>
      <c r="E218" s="79" t="n"/>
      <c r="F218" s="79" t="inlineStr">
        <is>
          <t>Knapsack - Design System / Platform SME</t>
        </is>
      </c>
      <c r="G218" s="80" t="inlineStr">
        <is>
          <t>Knapsack</t>
        </is>
      </c>
      <c r="H218" s="80" t="inlineStr">
        <is>
          <t>SME</t>
        </is>
      </c>
      <c r="I218" s="80" t="inlineStr">
        <is>
          <t>4–6</t>
        </is>
      </c>
      <c r="J218" s="79">
        <f>IFERROR(XLOOKUP(H218,'Lookups - JourneyDeployment'!$K$3:$K$7,'Lookups - JourneyDeployment'!$L$3:$L$7),"")</f>
        <v/>
      </c>
      <c r="K218" s="80">
        <f>A218&amp;"|"&amp;B218</f>
        <v/>
      </c>
      <c r="L218" s="85">
        <f>IFERROR(XLOOKUP(K218,'Activity Settings'!$M$2:$M$200,'Activity Settings'!$J$2:$J$200),0)</f>
        <v/>
      </c>
      <c r="M218" s="80">
        <f>IFERROR(XLOOKUP(K218,'Activity Settings'!$M$2:$M$200,'Activity Settings'!$L$2:$L$200),"Knapsack")</f>
        <v/>
      </c>
      <c r="N218" s="86">
        <f>IFERROR(XLOOKUP(J218&amp;"|"&amp;M218,Rates!$E$2:$E$13,Rates!$C$2:$C$13),0)</f>
        <v/>
      </c>
      <c r="O218" s="86">
        <f>L218*N218</f>
        <v/>
      </c>
    </row>
    <row r="219" s="74">
      <c r="A219" s="79" t="inlineStr">
        <is>
          <t>Implementation + Onboarding</t>
        </is>
      </c>
      <c r="B219" s="79" t="inlineStr">
        <is>
          <t>AI Contextual Capabilities – Context Model &amp; Knowledge Base</t>
        </is>
      </c>
      <c r="C219" s="79" t="inlineStr">
        <is>
          <t>Define context schema/ontology (product, platform, theme, constraints, persona)</t>
        </is>
      </c>
      <c r="D219" s="79" t="n"/>
      <c r="E219" s="79" t="n"/>
      <c r="F219" s="79" t="inlineStr">
        <is>
          <t>Knapsack - Design System / Platform SME</t>
        </is>
      </c>
      <c r="G219" s="80" t="inlineStr">
        <is>
          <t>Knapsack</t>
        </is>
      </c>
      <c r="H219" s="80" t="inlineStr">
        <is>
          <t>SME</t>
        </is>
      </c>
      <c r="I219" s="80" t="inlineStr">
        <is>
          <t>4–6</t>
        </is>
      </c>
      <c r="J219" s="79">
        <f>IFERROR(XLOOKUP(H219,'Lookups - JourneyDeployment'!$K$3:$K$7,'Lookups - JourneyDeployment'!$L$3:$L$7),"")</f>
        <v/>
      </c>
      <c r="K219" s="80">
        <f>A219&amp;"|"&amp;B219</f>
        <v/>
      </c>
      <c r="L219" s="85">
        <f>IFERROR(XLOOKUP(K219,'Activity Settings'!$M$2:$M$200,'Activity Settings'!$J$2:$J$200),0)</f>
        <v/>
      </c>
      <c r="M219" s="80">
        <f>IFERROR(XLOOKUP(K219,'Activity Settings'!$M$2:$M$200,'Activity Settings'!$L$2:$L$200),"Knapsack")</f>
        <v/>
      </c>
      <c r="N219" s="86">
        <f>IFERROR(XLOOKUP(J219&amp;"|"&amp;M219,Rates!$E$2:$E$13,Rates!$C$2:$C$13),0)</f>
        <v/>
      </c>
      <c r="O219" s="86">
        <f>L219*N219</f>
        <v/>
      </c>
    </row>
    <row r="220" s="74">
      <c r="A220" s="79" t="inlineStr">
        <is>
          <t>Implementation + Onboarding</t>
        </is>
      </c>
      <c r="B220" s="79" t="inlineStr">
        <is>
          <t>AI Contextual Capabilities – Context Model &amp; Knowledge Base</t>
        </is>
      </c>
      <c r="C220" s="79" t="inlineStr">
        <is>
          <t>Curate knowledge sources (docs, tokens, component specs, governance rules) and ownership</t>
        </is>
      </c>
      <c r="D220" s="79" t="n"/>
      <c r="E220" s="79" t="n"/>
      <c r="F220" s="79" t="inlineStr">
        <is>
          <t>Knapsack - Design System / Platform SME</t>
        </is>
      </c>
      <c r="G220" s="80" t="inlineStr">
        <is>
          <t>Knapsack</t>
        </is>
      </c>
      <c r="H220" s="80" t="inlineStr">
        <is>
          <t>SME</t>
        </is>
      </c>
      <c r="I220" s="80" t="inlineStr">
        <is>
          <t>4–6</t>
        </is>
      </c>
      <c r="J220" s="79">
        <f>IFERROR(XLOOKUP(H220,'Lookups - JourneyDeployment'!$K$3:$K$7,'Lookups - JourneyDeployment'!$L$3:$L$7),"")</f>
        <v/>
      </c>
      <c r="K220" s="80">
        <f>A220&amp;"|"&amp;B220</f>
        <v/>
      </c>
      <c r="L220" s="85">
        <f>IFERROR(XLOOKUP(K220,'Activity Settings'!$M$2:$M$200,'Activity Settings'!$J$2:$J$200),0)</f>
        <v/>
      </c>
      <c r="M220" s="80">
        <f>IFERROR(XLOOKUP(K220,'Activity Settings'!$M$2:$M$200,'Activity Settings'!$L$2:$L$200),"Knapsack")</f>
        <v/>
      </c>
      <c r="N220" s="86">
        <f>IFERROR(XLOOKUP(J220&amp;"|"&amp;M220,Rates!$E$2:$E$13,Rates!$C$2:$C$13),0)</f>
        <v/>
      </c>
      <c r="O220" s="86">
        <f>L220*N220</f>
        <v/>
      </c>
    </row>
    <row r="221" s="74">
      <c r="A221" s="79" t="inlineStr">
        <is>
          <t>Implementation + Onboarding</t>
        </is>
      </c>
      <c r="B221" s="79" t="inlineStr">
        <is>
          <t>AI Contextual Capabilities – Context Model &amp; Knowledge Base</t>
        </is>
      </c>
      <c r="C221" s="79" t="inlineStr">
        <is>
          <t>Implement retrieval/indexing approach (metadata/tags + search/index; freshness rules)</t>
        </is>
      </c>
      <c r="D221" s="79" t="n"/>
      <c r="E221" s="79" t="n"/>
      <c r="F221" s="79" t="inlineStr">
        <is>
          <t>Knapsack - Design Systems Engineer</t>
        </is>
      </c>
      <c r="G221" s="80" t="inlineStr">
        <is>
          <t>Knapsack</t>
        </is>
      </c>
      <c r="H221" s="80" t="inlineStr">
        <is>
          <t>Engineer</t>
        </is>
      </c>
      <c r="I221" s="80" t="inlineStr">
        <is>
          <t>4–6</t>
        </is>
      </c>
      <c r="J221" s="79">
        <f>IFERROR(XLOOKUP(H221,'Lookups - JourneyDeployment'!$K$3:$K$7,'Lookups - JourneyDeployment'!$L$3:$L$7),"")</f>
        <v/>
      </c>
      <c r="K221" s="80">
        <f>A221&amp;"|"&amp;B221</f>
        <v/>
      </c>
      <c r="L221" s="85">
        <f>IFERROR(XLOOKUP(K221,'Activity Settings'!$M$2:$M$200,'Activity Settings'!$J$2:$J$200),0)</f>
        <v/>
      </c>
      <c r="M221" s="80">
        <f>IFERROR(XLOOKUP(K221,'Activity Settings'!$M$2:$M$200,'Activity Settings'!$L$2:$L$200),"Knapsack")</f>
        <v/>
      </c>
      <c r="N221" s="86">
        <f>IFERROR(XLOOKUP(J221&amp;"|"&amp;M221,Rates!$E$2:$E$13,Rates!$C$2:$C$13),0)</f>
        <v/>
      </c>
      <c r="O221" s="86">
        <f>L221*N221</f>
        <v/>
      </c>
    </row>
    <row r="222" s="74">
      <c r="A222" s="79" t="inlineStr">
        <is>
          <t>Implementation + Onboarding</t>
        </is>
      </c>
      <c r="B222" s="79" t="inlineStr">
        <is>
          <t>AI Contextual Capabilities – Context Model &amp; Knowledge Base</t>
        </is>
      </c>
      <c r="C222" s="79" t="inlineStr">
        <is>
          <t>Define prompt patterns and response formats tied to system entities (tokens/components/patterns)</t>
        </is>
      </c>
      <c r="D222" s="79" t="n"/>
      <c r="E222" s="79" t="n"/>
      <c r="F222" s="79" t="inlineStr">
        <is>
          <t>Knapsack - Design System / Platform SME</t>
        </is>
      </c>
      <c r="G222" s="80" t="inlineStr">
        <is>
          <t>Knapsack</t>
        </is>
      </c>
      <c r="H222" s="80" t="inlineStr">
        <is>
          <t>SME</t>
        </is>
      </c>
      <c r="I222" s="80" t="inlineStr">
        <is>
          <t>4–6</t>
        </is>
      </c>
      <c r="J222" s="79">
        <f>IFERROR(XLOOKUP(H222,'Lookups - JourneyDeployment'!$K$3:$K$7,'Lookups - JourneyDeployment'!$L$3:$L$7),"")</f>
        <v/>
      </c>
      <c r="K222" s="80">
        <f>A222&amp;"|"&amp;B222</f>
        <v/>
      </c>
      <c r="L222" s="85">
        <f>IFERROR(XLOOKUP(K222,'Activity Settings'!$M$2:$M$200,'Activity Settings'!$J$2:$J$200),0)</f>
        <v/>
      </c>
      <c r="M222" s="80">
        <f>IFERROR(XLOOKUP(K222,'Activity Settings'!$M$2:$M$200,'Activity Settings'!$L$2:$L$200),"Knapsack")</f>
        <v/>
      </c>
      <c r="N222" s="86">
        <f>IFERROR(XLOOKUP(J222&amp;"|"&amp;M222,Rates!$E$2:$E$13,Rates!$C$2:$C$13),0)</f>
        <v/>
      </c>
      <c r="O222" s="86">
        <f>L222*N222</f>
        <v/>
      </c>
    </row>
    <row r="223" s="74">
      <c r="A223" s="79" t="inlineStr">
        <is>
          <t>Implementation + Onboarding</t>
        </is>
      </c>
      <c r="B223" s="79" t="inlineStr">
        <is>
          <t>AI Contextual Capabilities – Context Model &amp; Knowledge Base</t>
        </is>
      </c>
      <c r="C223" s="79" t="inlineStr">
        <is>
          <t>Establish human-in-the-loop review and escalation paths for risky outputs</t>
        </is>
      </c>
      <c r="D223" s="79" t="n"/>
      <c r="E223" s="79" t="n"/>
      <c r="F223" s="79" t="inlineStr">
        <is>
          <t>Knapsack - Program/Delivery PM</t>
        </is>
      </c>
      <c r="G223" s="80" t="inlineStr">
        <is>
          <t>Knapsack</t>
        </is>
      </c>
      <c r="H223" s="80" t="inlineStr">
        <is>
          <t>Project Manager</t>
        </is>
      </c>
      <c r="I223" s="80" t="inlineStr">
        <is>
          <t>4–6</t>
        </is>
      </c>
      <c r="J223" s="79">
        <f>IFERROR(XLOOKUP(H223,'Lookups - JourneyDeployment'!$K$3:$K$7,'Lookups - JourneyDeployment'!$L$3:$L$7),"")</f>
        <v/>
      </c>
      <c r="K223" s="80">
        <f>A223&amp;"|"&amp;B223</f>
        <v/>
      </c>
      <c r="L223" s="85">
        <f>IFERROR(XLOOKUP(K223,'Activity Settings'!$M$2:$M$200,'Activity Settings'!$J$2:$J$200),0)</f>
        <v/>
      </c>
      <c r="M223" s="80">
        <f>IFERROR(XLOOKUP(K223,'Activity Settings'!$M$2:$M$200,'Activity Settings'!$L$2:$L$200),"Knapsack")</f>
        <v/>
      </c>
      <c r="N223" s="86">
        <f>IFERROR(XLOOKUP(J223&amp;"|"&amp;M223,Rates!$E$2:$E$13,Rates!$C$2:$C$13),0)</f>
        <v/>
      </c>
      <c r="O223" s="86">
        <f>L223*N223</f>
        <v/>
      </c>
    </row>
    <row r="224" s="74">
      <c r="A224" s="79" t="inlineStr">
        <is>
          <t>Implementation + Onboarding</t>
        </is>
      </c>
      <c r="B224" s="79" t="inlineStr">
        <is>
          <t>AI Contextual Capabilities – Context Model &amp; Knowledge Base</t>
        </is>
      </c>
      <c r="C224" s="79" t="inlineStr">
        <is>
          <t>Publish AI context design and operations plan</t>
        </is>
      </c>
      <c r="D224" s="79" t="inlineStr">
        <is>
          <t>AI Context Model + Knowledge Base Plan</t>
        </is>
      </c>
      <c r="E224" s="79" t="inlineStr">
        <is>
          <t>Context schema, curated sources, retrieval approach, prompt patterns, and governance plan.</t>
        </is>
      </c>
      <c r="F224" s="79" t="inlineStr">
        <is>
          <t>Knapsack - Design System / Platform SME</t>
        </is>
      </c>
      <c r="G224" s="80" t="inlineStr">
        <is>
          <t>Knapsack</t>
        </is>
      </c>
      <c r="H224" s="80" t="inlineStr">
        <is>
          <t>SME</t>
        </is>
      </c>
      <c r="I224" s="80" t="inlineStr">
        <is>
          <t>4–6</t>
        </is>
      </c>
      <c r="J224" s="79">
        <f>IFERROR(XLOOKUP(H224,'Lookups - JourneyDeployment'!$K$3:$K$7,'Lookups - JourneyDeployment'!$L$3:$L$7),"")</f>
        <v/>
      </c>
      <c r="K224" s="80">
        <f>A224&amp;"|"&amp;B224</f>
        <v/>
      </c>
      <c r="L224" s="85">
        <f>IFERROR(XLOOKUP(K224,'Activity Settings'!$M$2:$M$200,'Activity Settings'!$J$2:$J$200),0)</f>
        <v/>
      </c>
      <c r="M224" s="80">
        <f>IFERROR(XLOOKUP(K224,'Activity Settings'!$M$2:$M$200,'Activity Settings'!$L$2:$L$200),"Knapsack")</f>
        <v/>
      </c>
      <c r="N224" s="86">
        <f>IFERROR(XLOOKUP(J224&amp;"|"&amp;M224,Rates!$E$2:$E$13,Rates!$C$2:$C$13),0)</f>
        <v/>
      </c>
      <c r="O224" s="86">
        <f>L224*N224</f>
        <v/>
      </c>
    </row>
    <row r="225" s="74">
      <c r="A225" s="79" t="inlineStr">
        <is>
          <t>Scaled Rollout and Adoption</t>
        </is>
      </c>
      <c r="B225" s="79" t="inlineStr">
        <is>
          <t>Component Library MVP Build (Core Set)</t>
        </is>
      </c>
      <c r="C225" s="79" t="inlineStr">
        <is>
          <t>Implement MVP component set in code (per roadmap) with tokens wired-in</t>
        </is>
      </c>
      <c r="D225" s="79" t="n"/>
      <c r="E225" s="79" t="n"/>
      <c r="F225" s="79" t="inlineStr">
        <is>
          <t>Knapsack - Design Systems Engineer</t>
        </is>
      </c>
      <c r="G225" s="80" t="inlineStr">
        <is>
          <t>Knapsack</t>
        </is>
      </c>
      <c r="H225" s="80" t="inlineStr">
        <is>
          <t>Engineer</t>
        </is>
      </c>
      <c r="I225" s="80" t="inlineStr">
        <is>
          <t>6–10</t>
        </is>
      </c>
      <c r="J225" s="79">
        <f>IFERROR(XLOOKUP(H225,'Lookups - JourneyDeployment'!$K$3:$K$7,'Lookups - JourneyDeployment'!$L$3:$L$7),"")</f>
        <v/>
      </c>
      <c r="K225" s="80">
        <f>A225&amp;"|"&amp;B225</f>
        <v/>
      </c>
      <c r="L225" s="85">
        <f>IFERROR(XLOOKUP(K225,'Activity Settings'!$M$2:$M$200,'Activity Settings'!$J$2:$J$200),0)</f>
        <v/>
      </c>
      <c r="M225" s="80">
        <f>IFERROR(XLOOKUP(K225,'Activity Settings'!$M$2:$M$200,'Activity Settings'!$L$2:$L$200),"Knapsack")</f>
        <v/>
      </c>
      <c r="N225" s="86">
        <f>IFERROR(XLOOKUP(J225&amp;"|"&amp;M225,Rates!$E$2:$E$13,Rates!$C$2:$C$13),0)</f>
        <v/>
      </c>
      <c r="O225" s="86">
        <f>L225*N225</f>
        <v/>
      </c>
    </row>
    <row r="226" s="74">
      <c r="A226" s="79" t="inlineStr">
        <is>
          <t>Scaled Rollout and Adoption</t>
        </is>
      </c>
      <c r="B226" s="79" t="inlineStr">
        <is>
          <t>Component Library MVP Build (Core Set)</t>
        </is>
      </c>
      <c r="C226" s="79" t="inlineStr">
        <is>
          <t>Create component tests (unit/integration) and a11y coverage per standards</t>
        </is>
      </c>
      <c r="D226" s="79" t="n"/>
      <c r="E226" s="79" t="n"/>
      <c r="F226" s="79" t="inlineStr">
        <is>
          <t>Knapsack - Design Systems Engineer</t>
        </is>
      </c>
      <c r="G226" s="80" t="inlineStr">
        <is>
          <t>Knapsack</t>
        </is>
      </c>
      <c r="H226" s="80" t="inlineStr">
        <is>
          <t>Engineer</t>
        </is>
      </c>
      <c r="I226" s="80" t="inlineStr">
        <is>
          <t>6–10</t>
        </is>
      </c>
      <c r="J226" s="79">
        <f>IFERROR(XLOOKUP(H226,'Lookups - JourneyDeployment'!$K$3:$K$7,'Lookups - JourneyDeployment'!$L$3:$L$7),"")</f>
        <v/>
      </c>
      <c r="K226" s="80">
        <f>A226&amp;"|"&amp;B226</f>
        <v/>
      </c>
      <c r="L226" s="85">
        <f>IFERROR(XLOOKUP(K226,'Activity Settings'!$M$2:$M$200,'Activity Settings'!$J$2:$J$200),0)</f>
        <v/>
      </c>
      <c r="M226" s="80">
        <f>IFERROR(XLOOKUP(K226,'Activity Settings'!$M$2:$M$200,'Activity Settings'!$L$2:$L$200),"Knapsack")</f>
        <v/>
      </c>
      <c r="N226" s="86">
        <f>IFERROR(XLOOKUP(J226&amp;"|"&amp;M226,Rates!$E$2:$E$13,Rates!$C$2:$C$13),0)</f>
        <v/>
      </c>
      <c r="O226" s="86">
        <f>L226*N226</f>
        <v/>
      </c>
    </row>
    <row r="227" s="74">
      <c r="A227" s="79" t="inlineStr">
        <is>
          <t>Scaled Rollout and Adoption</t>
        </is>
      </c>
      <c r="B227" s="79" t="inlineStr">
        <is>
          <t>Component Library MVP Build (Core Set)</t>
        </is>
      </c>
      <c r="C227" s="79" t="inlineStr">
        <is>
          <t>Build usage examples and recipes for each MVP component</t>
        </is>
      </c>
      <c r="D227" s="79" t="n"/>
      <c r="E227" s="79" t="n"/>
      <c r="F227" s="79" t="inlineStr">
        <is>
          <t>Knapsack - Design System / Platform SME</t>
        </is>
      </c>
      <c r="G227" s="80" t="inlineStr">
        <is>
          <t>Knapsack</t>
        </is>
      </c>
      <c r="H227" s="80" t="inlineStr">
        <is>
          <t>SME</t>
        </is>
      </c>
      <c r="I227" s="80" t="inlineStr">
        <is>
          <t>6–10</t>
        </is>
      </c>
      <c r="J227" s="79">
        <f>IFERROR(XLOOKUP(H227,'Lookups - JourneyDeployment'!$K$3:$K$7,'Lookups - JourneyDeployment'!$L$3:$L$7),"")</f>
        <v/>
      </c>
      <c r="K227" s="80">
        <f>A227&amp;"|"&amp;B227</f>
        <v/>
      </c>
      <c r="L227" s="85">
        <f>IFERROR(XLOOKUP(K227,'Activity Settings'!$M$2:$M$200,'Activity Settings'!$J$2:$J$200),0)</f>
        <v/>
      </c>
      <c r="M227" s="80">
        <f>IFERROR(XLOOKUP(K227,'Activity Settings'!$M$2:$M$200,'Activity Settings'!$L$2:$L$200),"Knapsack")</f>
        <v/>
      </c>
      <c r="N227" s="86">
        <f>IFERROR(XLOOKUP(J227&amp;"|"&amp;M227,Rates!$E$2:$E$13,Rates!$C$2:$C$13),0)</f>
        <v/>
      </c>
      <c r="O227" s="86">
        <f>L227*N227</f>
        <v/>
      </c>
    </row>
    <row r="228" s="74">
      <c r="A228" s="79" t="inlineStr">
        <is>
          <t>Scaled Rollout and Adoption</t>
        </is>
      </c>
      <c r="B228" s="79" t="inlineStr">
        <is>
          <t>Component Library MVP Build (Core Set)</t>
        </is>
      </c>
      <c r="C228" s="79" t="inlineStr">
        <is>
          <t>Run design↔code alignment review (spec conformance, states, variants)</t>
        </is>
      </c>
      <c r="D228" s="79" t="n"/>
      <c r="E228" s="79" t="n"/>
      <c r="F228" s="79" t="inlineStr">
        <is>
          <t>Knapsack - Design System Lead</t>
        </is>
      </c>
      <c r="G228" s="80" t="inlineStr">
        <is>
          <t>Knapsack</t>
        </is>
      </c>
      <c r="H228" s="80" t="inlineStr">
        <is>
          <t>Design Lead</t>
        </is>
      </c>
      <c r="I228" s="80" t="inlineStr">
        <is>
          <t>6–10</t>
        </is>
      </c>
      <c r="J228" s="79">
        <f>IFERROR(XLOOKUP(H228,'Lookups - JourneyDeployment'!$K$3:$K$7,'Lookups - JourneyDeployment'!$L$3:$L$7),"")</f>
        <v/>
      </c>
      <c r="K228" s="80">
        <f>A228&amp;"|"&amp;B228</f>
        <v/>
      </c>
      <c r="L228" s="85">
        <f>IFERROR(XLOOKUP(K228,'Activity Settings'!$M$2:$M$200,'Activity Settings'!$J$2:$J$200),0)</f>
        <v/>
      </c>
      <c r="M228" s="80">
        <f>IFERROR(XLOOKUP(K228,'Activity Settings'!$M$2:$M$200,'Activity Settings'!$L$2:$L$200),"Knapsack")</f>
        <v/>
      </c>
      <c r="N228" s="86">
        <f>IFERROR(XLOOKUP(J228&amp;"|"&amp;M228,Rates!$E$2:$E$13,Rates!$C$2:$C$13),0)</f>
        <v/>
      </c>
      <c r="O228" s="86">
        <f>L228*N228</f>
        <v/>
      </c>
    </row>
    <row r="229" s="74">
      <c r="A229" s="79" t="inlineStr">
        <is>
          <t>Scaled Rollout and Adoption</t>
        </is>
      </c>
      <c r="B229" s="79" t="inlineStr">
        <is>
          <t>Component Library MVP Build (Core Set)</t>
        </is>
      </c>
      <c r="C229" s="79" t="inlineStr">
        <is>
          <t>Publish packages and docs for MVP components</t>
        </is>
      </c>
      <c r="D229" s="79" t="n"/>
      <c r="E229" s="79" t="n"/>
      <c r="F229" s="79" t="inlineStr">
        <is>
          <t>Knapsack - Design Systems Engineer</t>
        </is>
      </c>
      <c r="G229" s="80" t="inlineStr">
        <is>
          <t>Knapsack</t>
        </is>
      </c>
      <c r="H229" s="80" t="inlineStr">
        <is>
          <t>Engineer</t>
        </is>
      </c>
      <c r="I229" s="80" t="inlineStr">
        <is>
          <t>6–10</t>
        </is>
      </c>
      <c r="J229" s="79">
        <f>IFERROR(XLOOKUP(H229,'Lookups - JourneyDeployment'!$K$3:$K$7,'Lookups - JourneyDeployment'!$L$3:$L$7),"")</f>
        <v/>
      </c>
      <c r="K229" s="80">
        <f>A229&amp;"|"&amp;B229</f>
        <v/>
      </c>
      <c r="L229" s="85">
        <f>IFERROR(XLOOKUP(K229,'Activity Settings'!$M$2:$M$200,'Activity Settings'!$J$2:$J$200),0)</f>
        <v/>
      </c>
      <c r="M229" s="80">
        <f>IFERROR(XLOOKUP(K229,'Activity Settings'!$M$2:$M$200,'Activity Settings'!$L$2:$L$200),"Knapsack")</f>
        <v/>
      </c>
      <c r="N229" s="86">
        <f>IFERROR(XLOOKUP(J229&amp;"|"&amp;M229,Rates!$E$2:$E$13,Rates!$C$2:$C$13),0)</f>
        <v/>
      </c>
      <c r="O229" s="86">
        <f>L229*N229</f>
        <v/>
      </c>
    </row>
    <row r="230" s="74">
      <c r="A230" s="79" t="inlineStr">
        <is>
          <t>Scaled Rollout and Adoption</t>
        </is>
      </c>
      <c r="B230" s="79" t="inlineStr">
        <is>
          <t>Component Library MVP Build (Core Set)</t>
        </is>
      </c>
      <c r="C230" s="79" t="inlineStr">
        <is>
          <t>Pilot adoption with 1–2 product teams and collect issues</t>
        </is>
      </c>
      <c r="D230" s="79" t="n"/>
      <c r="E230" s="79" t="n"/>
      <c r="F230" s="79" t="inlineStr">
        <is>
          <t>Knapsack - Program/Delivery PM</t>
        </is>
      </c>
      <c r="G230" s="80" t="inlineStr">
        <is>
          <t>Knapsack</t>
        </is>
      </c>
      <c r="H230" s="80" t="inlineStr">
        <is>
          <t>Project Manager</t>
        </is>
      </c>
      <c r="I230" s="80" t="inlineStr">
        <is>
          <t>6–10</t>
        </is>
      </c>
      <c r="J230" s="79">
        <f>IFERROR(XLOOKUP(H230,'Lookups - JourneyDeployment'!$K$3:$K$7,'Lookups - JourneyDeployment'!$L$3:$L$7),"")</f>
        <v/>
      </c>
      <c r="K230" s="80">
        <f>A230&amp;"|"&amp;B230</f>
        <v/>
      </c>
      <c r="L230" s="85">
        <f>IFERROR(XLOOKUP(K230,'Activity Settings'!$M$2:$M$200,'Activity Settings'!$J$2:$J$200),0)</f>
        <v/>
      </c>
      <c r="M230" s="80">
        <f>IFERROR(XLOOKUP(K230,'Activity Settings'!$M$2:$M$200,'Activity Settings'!$L$2:$L$200),"Knapsack")</f>
        <v/>
      </c>
      <c r="N230" s="86">
        <f>IFERROR(XLOOKUP(J230&amp;"|"&amp;M230,Rates!$E$2:$E$13,Rates!$C$2:$C$13),0)</f>
        <v/>
      </c>
      <c r="O230" s="86">
        <f>L230*N230</f>
        <v/>
      </c>
    </row>
    <row r="231" s="74">
      <c r="A231" s="79" t="inlineStr">
        <is>
          <t>Scaled Rollout and Adoption</t>
        </is>
      </c>
      <c r="B231" s="79" t="inlineStr">
        <is>
          <t>Component Library MVP Build (Core Set)</t>
        </is>
      </c>
      <c r="C231" s="79" t="inlineStr">
        <is>
          <t>Refine based on pilot feedback and finalize MVP release</t>
        </is>
      </c>
      <c r="D231" s="79" t="inlineStr">
        <is>
          <t>MVP Component Library Release</t>
        </is>
      </c>
      <c r="E231" s="79" t="inlineStr">
        <is>
          <t>Published component packages + docs + examples for the MVP set, validated by pilot teams.</t>
        </is>
      </c>
      <c r="F231" s="79" t="inlineStr">
        <is>
          <t>Knapsack - Design Systems Engineer</t>
        </is>
      </c>
      <c r="G231" s="80" t="inlineStr">
        <is>
          <t>Knapsack</t>
        </is>
      </c>
      <c r="H231" s="80" t="inlineStr">
        <is>
          <t>Engineer</t>
        </is>
      </c>
      <c r="I231" s="80" t="inlineStr">
        <is>
          <t>6–10</t>
        </is>
      </c>
      <c r="J231" s="79">
        <f>IFERROR(XLOOKUP(H231,'Lookups - JourneyDeployment'!$K$3:$K$7,'Lookups - JourneyDeployment'!$L$3:$L$7),"")</f>
        <v/>
      </c>
      <c r="K231" s="80">
        <f>A231&amp;"|"&amp;B231</f>
        <v/>
      </c>
      <c r="L231" s="85">
        <f>IFERROR(XLOOKUP(K231,'Activity Settings'!$M$2:$M$200,'Activity Settings'!$J$2:$J$200),0)</f>
        <v/>
      </c>
      <c r="M231" s="80">
        <f>IFERROR(XLOOKUP(K231,'Activity Settings'!$M$2:$M$200,'Activity Settings'!$L$2:$L$200),"Knapsack")</f>
        <v/>
      </c>
      <c r="N231" s="86">
        <f>IFERROR(XLOOKUP(J231&amp;"|"&amp;M231,Rates!$E$2:$E$13,Rates!$C$2:$C$13),0)</f>
        <v/>
      </c>
      <c r="O231" s="86">
        <f>L231*N231</f>
        <v/>
      </c>
    </row>
    <row r="232" s="74">
      <c r="A232" s="79" t="inlineStr">
        <is>
          <t>Scaled Rollout and Adoption</t>
        </is>
      </c>
      <c r="B232" s="79" t="inlineStr">
        <is>
          <t>Code Connect Coverage Expansion &amp; Drift Remediation</t>
        </is>
      </c>
      <c r="C232" s="79" t="inlineStr">
        <is>
          <t>Expand Code Connect mappings to additional high-value components</t>
        </is>
      </c>
      <c r="D232" s="79" t="n"/>
      <c r="E232" s="79" t="n"/>
      <c r="F232" s="79" t="inlineStr">
        <is>
          <t>Knapsack - Design Systems Engineer</t>
        </is>
      </c>
      <c r="G232" s="80" t="inlineStr">
        <is>
          <t>Knapsack</t>
        </is>
      </c>
      <c r="H232" s="80" t="inlineStr">
        <is>
          <t>Engineer</t>
        </is>
      </c>
      <c r="I232" s="80" t="inlineStr">
        <is>
          <t>4–6</t>
        </is>
      </c>
      <c r="J232" s="79">
        <f>IFERROR(XLOOKUP(H232,'Lookups - JourneyDeployment'!$K$3:$K$7,'Lookups - JourneyDeployment'!$L$3:$L$7),"")</f>
        <v/>
      </c>
      <c r="K232" s="80">
        <f>A232&amp;"|"&amp;B232</f>
        <v/>
      </c>
      <c r="L232" s="85">
        <f>IFERROR(XLOOKUP(K232,'Activity Settings'!$M$2:$M$200,'Activity Settings'!$J$2:$J$200),0)</f>
        <v/>
      </c>
      <c r="M232" s="80">
        <f>IFERROR(XLOOKUP(K232,'Activity Settings'!$M$2:$M$200,'Activity Settings'!$L$2:$L$200),"Knapsack")</f>
        <v/>
      </c>
      <c r="N232" s="86">
        <f>IFERROR(XLOOKUP(J232&amp;"|"&amp;M232,Rates!$E$2:$E$13,Rates!$C$2:$C$13),0)</f>
        <v/>
      </c>
      <c r="O232" s="86">
        <f>L232*N232</f>
        <v/>
      </c>
    </row>
    <row r="233" s="74">
      <c r="A233" s="79" t="inlineStr">
        <is>
          <t>Scaled Rollout and Adoption</t>
        </is>
      </c>
      <c r="B233" s="79" t="inlineStr">
        <is>
          <t>Code Connect Coverage Expansion &amp; Drift Remediation</t>
        </is>
      </c>
      <c r="C233" s="79" t="inlineStr">
        <is>
          <t>Validate mappings across variants/states and align naming/props</t>
        </is>
      </c>
      <c r="D233" s="79" t="n"/>
      <c r="E233" s="79" t="n"/>
      <c r="F233" s="79" t="inlineStr">
        <is>
          <t>Knapsack - Design Systems Engineer</t>
        </is>
      </c>
      <c r="G233" s="80" t="inlineStr">
        <is>
          <t>Knapsack</t>
        </is>
      </c>
      <c r="H233" s="80" t="inlineStr">
        <is>
          <t>Engineer</t>
        </is>
      </c>
      <c r="I233" s="80" t="inlineStr">
        <is>
          <t>4–6</t>
        </is>
      </c>
      <c r="J233" s="79">
        <f>IFERROR(XLOOKUP(H233,'Lookups - JourneyDeployment'!$K$3:$K$7,'Lookups - JourneyDeployment'!$L$3:$L$7),"")</f>
        <v/>
      </c>
      <c r="K233" s="80">
        <f>A233&amp;"|"&amp;B233</f>
        <v/>
      </c>
      <c r="L233" s="85">
        <f>IFERROR(XLOOKUP(K233,'Activity Settings'!$M$2:$M$200,'Activity Settings'!$J$2:$J$200),0)</f>
        <v/>
      </c>
      <c r="M233" s="80">
        <f>IFERROR(XLOOKUP(K233,'Activity Settings'!$M$2:$M$200,'Activity Settings'!$L$2:$L$200),"Knapsack")</f>
        <v/>
      </c>
      <c r="N233" s="86">
        <f>IFERROR(XLOOKUP(J233&amp;"|"&amp;M233,Rates!$E$2:$E$13,Rates!$C$2:$C$13),0)</f>
        <v/>
      </c>
      <c r="O233" s="86">
        <f>L233*N233</f>
        <v/>
      </c>
    </row>
    <row r="234" s="74">
      <c r="A234" s="79" t="inlineStr">
        <is>
          <t>Scaled Rollout and Adoption</t>
        </is>
      </c>
      <c r="B234" s="79" t="inlineStr">
        <is>
          <t>Code Connect Coverage Expansion &amp; Drift Remediation</t>
        </is>
      </c>
      <c r="C234" s="79" t="inlineStr">
        <is>
          <t>Establish drift reporting (coverage, freshness, mismatch categories)</t>
        </is>
      </c>
      <c r="D234" s="79" t="n"/>
      <c r="E234" s="79" t="n"/>
      <c r="F234" s="79" t="inlineStr">
        <is>
          <t>Knapsack - Design System / Platform SME</t>
        </is>
      </c>
      <c r="G234" s="80" t="inlineStr">
        <is>
          <t>Knapsack</t>
        </is>
      </c>
      <c r="H234" s="80" t="inlineStr">
        <is>
          <t>SME</t>
        </is>
      </c>
      <c r="I234" s="80" t="inlineStr">
        <is>
          <t>4–6</t>
        </is>
      </c>
      <c r="J234" s="79">
        <f>IFERROR(XLOOKUP(H234,'Lookups - JourneyDeployment'!$K$3:$K$7,'Lookups - JourneyDeployment'!$L$3:$L$7),"")</f>
        <v/>
      </c>
      <c r="K234" s="80">
        <f>A234&amp;"|"&amp;B234</f>
        <v/>
      </c>
      <c r="L234" s="85">
        <f>IFERROR(XLOOKUP(K234,'Activity Settings'!$M$2:$M$200,'Activity Settings'!$J$2:$J$200),0)</f>
        <v/>
      </c>
      <c r="M234" s="80">
        <f>IFERROR(XLOOKUP(K234,'Activity Settings'!$M$2:$M$200,'Activity Settings'!$L$2:$L$200),"Knapsack")</f>
        <v/>
      </c>
      <c r="N234" s="86">
        <f>IFERROR(XLOOKUP(J234&amp;"|"&amp;M234,Rates!$E$2:$E$13,Rates!$C$2:$C$13),0)</f>
        <v/>
      </c>
      <c r="O234" s="86">
        <f>L234*N234</f>
        <v/>
      </c>
    </row>
    <row r="235" s="74">
      <c r="A235" s="79" t="inlineStr">
        <is>
          <t>Scaled Rollout and Adoption</t>
        </is>
      </c>
      <c r="B235" s="79" t="inlineStr">
        <is>
          <t>Code Connect Coverage Expansion &amp; Drift Remediation</t>
        </is>
      </c>
      <c r="C235" s="79" t="inlineStr">
        <is>
          <t>Run drift remediation cycles with code/design owners</t>
        </is>
      </c>
      <c r="D235" s="79" t="n"/>
      <c r="E235" s="79" t="n"/>
      <c r="F235" s="79" t="inlineStr">
        <is>
          <t>Knapsack - Program/Delivery PM</t>
        </is>
      </c>
      <c r="G235" s="80" t="inlineStr">
        <is>
          <t>Knapsack</t>
        </is>
      </c>
      <c r="H235" s="80" t="inlineStr">
        <is>
          <t>Project Manager</t>
        </is>
      </c>
      <c r="I235" s="80" t="inlineStr">
        <is>
          <t>4–6</t>
        </is>
      </c>
      <c r="J235" s="79">
        <f>IFERROR(XLOOKUP(H235,'Lookups - JourneyDeployment'!$K$3:$K$7,'Lookups - JourneyDeployment'!$L$3:$L$7),"")</f>
        <v/>
      </c>
      <c r="K235" s="80">
        <f>A235&amp;"|"&amp;B235</f>
        <v/>
      </c>
      <c r="L235" s="85">
        <f>IFERROR(XLOOKUP(K235,'Activity Settings'!$M$2:$M$200,'Activity Settings'!$J$2:$J$200),0)</f>
        <v/>
      </c>
      <c r="M235" s="80">
        <f>IFERROR(XLOOKUP(K235,'Activity Settings'!$M$2:$M$200,'Activity Settings'!$L$2:$L$200),"Knapsack")</f>
        <v/>
      </c>
      <c r="N235" s="86">
        <f>IFERROR(XLOOKUP(J235&amp;"|"&amp;M235,Rates!$E$2:$E$13,Rates!$C$2:$C$13),0)</f>
        <v/>
      </c>
      <c r="O235" s="86">
        <f>L235*N235</f>
        <v/>
      </c>
    </row>
    <row r="236" s="74">
      <c r="A236" s="79" t="inlineStr">
        <is>
          <t>Scaled Rollout and Adoption</t>
        </is>
      </c>
      <c r="B236" s="79" t="inlineStr">
        <is>
          <t>Code Connect Coverage Expansion &amp; Drift Remediation</t>
        </is>
      </c>
      <c r="C236" s="79" t="inlineStr">
        <is>
          <t>Document common drift patterns and prevention guidance</t>
        </is>
      </c>
      <c r="D236" s="79" t="n"/>
      <c r="E236" s="79" t="n"/>
      <c r="F236" s="79" t="inlineStr">
        <is>
          <t>Knapsack - Design System / Platform SME</t>
        </is>
      </c>
      <c r="G236" s="80" t="inlineStr">
        <is>
          <t>Knapsack</t>
        </is>
      </c>
      <c r="H236" s="80" t="inlineStr">
        <is>
          <t>SME</t>
        </is>
      </c>
      <c r="I236" s="80" t="inlineStr">
        <is>
          <t>4–6</t>
        </is>
      </c>
      <c r="J236" s="79">
        <f>IFERROR(XLOOKUP(H236,'Lookups - JourneyDeployment'!$K$3:$K$7,'Lookups - JourneyDeployment'!$L$3:$L$7),"")</f>
        <v/>
      </c>
      <c r="K236" s="80">
        <f>A236&amp;"|"&amp;B236</f>
        <v/>
      </c>
      <c r="L236" s="85">
        <f>IFERROR(XLOOKUP(K236,'Activity Settings'!$M$2:$M$200,'Activity Settings'!$J$2:$J$200),0)</f>
        <v/>
      </c>
      <c r="M236" s="80">
        <f>IFERROR(XLOOKUP(K236,'Activity Settings'!$M$2:$M$200,'Activity Settings'!$L$2:$L$200),"Knapsack")</f>
        <v/>
      </c>
      <c r="N236" s="86">
        <f>IFERROR(XLOOKUP(J236&amp;"|"&amp;M236,Rates!$E$2:$E$13,Rates!$C$2:$C$13),0)</f>
        <v/>
      </c>
      <c r="O236" s="86">
        <f>L236*N236</f>
        <v/>
      </c>
    </row>
    <row r="237" s="74">
      <c r="A237" s="79" t="inlineStr">
        <is>
          <t>Scaled Rollout and Adoption</t>
        </is>
      </c>
      <c r="B237" s="79" t="inlineStr">
        <is>
          <t>Code Connect Coverage Expansion &amp; Drift Remediation</t>
        </is>
      </c>
      <c r="C237" s="79" t="inlineStr">
        <is>
          <t>Publish connected coverage dashboard and SOP</t>
        </is>
      </c>
      <c r="D237" s="79" t="inlineStr">
        <is>
          <t>Code Connect Coverage + Drift Dashboard</t>
        </is>
      </c>
      <c r="E237" s="79" t="inlineStr">
        <is>
          <t>Expanded connected coverage with drift reporting, remediation workflow, and dashboards.</t>
        </is>
      </c>
      <c r="F237" s="79" t="inlineStr">
        <is>
          <t>Knapsack - Design Systems Engineer</t>
        </is>
      </c>
      <c r="G237" s="80" t="inlineStr">
        <is>
          <t>Knapsack</t>
        </is>
      </c>
      <c r="H237" s="80" t="inlineStr">
        <is>
          <t>Engineer</t>
        </is>
      </c>
      <c r="I237" s="80" t="inlineStr">
        <is>
          <t>4–6</t>
        </is>
      </c>
      <c r="J237" s="79">
        <f>IFERROR(XLOOKUP(H237,'Lookups - JourneyDeployment'!$K$3:$K$7,'Lookups - JourneyDeployment'!$L$3:$L$7),"")</f>
        <v/>
      </c>
      <c r="K237" s="80">
        <f>A237&amp;"|"&amp;B237</f>
        <v/>
      </c>
      <c r="L237" s="85">
        <f>IFERROR(XLOOKUP(K237,'Activity Settings'!$M$2:$M$200,'Activity Settings'!$J$2:$J$200),0)</f>
        <v/>
      </c>
      <c r="M237" s="80">
        <f>IFERROR(XLOOKUP(K237,'Activity Settings'!$M$2:$M$200,'Activity Settings'!$L$2:$L$200),"Knapsack")</f>
        <v/>
      </c>
      <c r="N237" s="86">
        <f>IFERROR(XLOOKUP(J237&amp;"|"&amp;M237,Rates!$E$2:$E$13,Rates!$C$2:$C$13),0)</f>
        <v/>
      </c>
      <c r="O237" s="86">
        <f>L237*N237</f>
        <v/>
      </c>
    </row>
    <row r="238" s="74">
      <c r="A238" s="79" t="inlineStr">
        <is>
          <t>Scaled Rollout and Adoption</t>
        </is>
      </c>
      <c r="B238" s="79" t="inlineStr">
        <is>
          <t>Docs Launch + Recipes &amp; Migration Guides</t>
        </is>
      </c>
      <c r="C238" s="79" t="inlineStr">
        <is>
          <t>Publish foundations, tokens, and component standards in docs site</t>
        </is>
      </c>
      <c r="D238" s="79" t="n"/>
      <c r="E238" s="79" t="n"/>
      <c r="F238" s="79" t="inlineStr">
        <is>
          <t>Knapsack - Design System / Platform SME</t>
        </is>
      </c>
      <c r="G238" s="80" t="inlineStr">
        <is>
          <t>Knapsack</t>
        </is>
      </c>
      <c r="H238" s="80" t="inlineStr">
        <is>
          <t>SME</t>
        </is>
      </c>
      <c r="I238" s="80" t="inlineStr">
        <is>
          <t>3–5</t>
        </is>
      </c>
      <c r="J238" s="79">
        <f>IFERROR(XLOOKUP(H238,'Lookups - JourneyDeployment'!$K$3:$K$7,'Lookups - JourneyDeployment'!$L$3:$L$7),"")</f>
        <v/>
      </c>
      <c r="K238" s="80">
        <f>A238&amp;"|"&amp;B238</f>
        <v/>
      </c>
      <c r="L238" s="85">
        <f>IFERROR(XLOOKUP(K238,'Activity Settings'!$M$2:$M$200,'Activity Settings'!$J$2:$J$200),0)</f>
        <v/>
      </c>
      <c r="M238" s="80">
        <f>IFERROR(XLOOKUP(K238,'Activity Settings'!$M$2:$M$200,'Activity Settings'!$L$2:$L$200),"Knapsack")</f>
        <v/>
      </c>
      <c r="N238" s="86">
        <f>IFERROR(XLOOKUP(J238&amp;"|"&amp;M238,Rates!$E$2:$E$13,Rates!$C$2:$C$13),0)</f>
        <v/>
      </c>
      <c r="O238" s="86">
        <f>L238*N238</f>
        <v/>
      </c>
    </row>
    <row r="239" s="74">
      <c r="A239" s="79" t="inlineStr">
        <is>
          <t>Scaled Rollout and Adoption</t>
        </is>
      </c>
      <c r="B239" s="79" t="inlineStr">
        <is>
          <t>Docs Launch + Recipes &amp; Migration Guides</t>
        </is>
      </c>
      <c r="C239" s="79" t="inlineStr">
        <is>
          <t>Publish recipes/patterns library (common flows, layouts, accessibility patterns)</t>
        </is>
      </c>
      <c r="D239" s="79" t="n"/>
      <c r="E239" s="79" t="n"/>
      <c r="F239" s="79" t="inlineStr">
        <is>
          <t>Knapsack - Design System / Platform SME</t>
        </is>
      </c>
      <c r="G239" s="80" t="inlineStr">
        <is>
          <t>Knapsack</t>
        </is>
      </c>
      <c r="H239" s="80" t="inlineStr">
        <is>
          <t>SME</t>
        </is>
      </c>
      <c r="I239" s="80" t="inlineStr">
        <is>
          <t>3–5</t>
        </is>
      </c>
      <c r="J239" s="79">
        <f>IFERROR(XLOOKUP(H239,'Lookups - JourneyDeployment'!$K$3:$K$7,'Lookups - JourneyDeployment'!$L$3:$L$7),"")</f>
        <v/>
      </c>
      <c r="K239" s="80">
        <f>A239&amp;"|"&amp;B239</f>
        <v/>
      </c>
      <c r="L239" s="85">
        <f>IFERROR(XLOOKUP(K239,'Activity Settings'!$M$2:$M$200,'Activity Settings'!$J$2:$J$200),0)</f>
        <v/>
      </c>
      <c r="M239" s="80">
        <f>IFERROR(XLOOKUP(K239,'Activity Settings'!$M$2:$M$200,'Activity Settings'!$L$2:$L$200),"Knapsack")</f>
        <v/>
      </c>
      <c r="N239" s="86">
        <f>IFERROR(XLOOKUP(J239&amp;"|"&amp;M239,Rates!$E$2:$E$13,Rates!$C$2:$C$13),0)</f>
        <v/>
      </c>
      <c r="O239" s="86">
        <f>L239*N239</f>
        <v/>
      </c>
    </row>
    <row r="240" s="74">
      <c r="A240" s="79" t="inlineStr">
        <is>
          <t>Scaled Rollout and Adoption</t>
        </is>
      </c>
      <c r="B240" s="79" t="inlineStr">
        <is>
          <t>Docs Launch + Recipes &amp; Migration Guides</t>
        </is>
      </c>
      <c r="C240" s="79" t="inlineStr">
        <is>
          <t>Create migration guides for adopting new packages/components (including deprecations)</t>
        </is>
      </c>
      <c r="D240" s="79" t="n"/>
      <c r="E240" s="79" t="n"/>
      <c r="F240" s="79" t="inlineStr">
        <is>
          <t>Knapsack - Design System / Platform SME</t>
        </is>
      </c>
      <c r="G240" s="80" t="inlineStr">
        <is>
          <t>Knapsack</t>
        </is>
      </c>
      <c r="H240" s="80" t="inlineStr">
        <is>
          <t>SME</t>
        </is>
      </c>
      <c r="I240" s="80" t="inlineStr">
        <is>
          <t>3–5</t>
        </is>
      </c>
      <c r="J240" s="79">
        <f>IFERROR(XLOOKUP(H240,'Lookups - JourneyDeployment'!$K$3:$K$7,'Lookups - JourneyDeployment'!$L$3:$L$7),"")</f>
        <v/>
      </c>
      <c r="K240" s="80">
        <f>A240&amp;"|"&amp;B240</f>
        <v/>
      </c>
      <c r="L240" s="85">
        <f>IFERROR(XLOOKUP(K240,'Activity Settings'!$M$2:$M$200,'Activity Settings'!$J$2:$J$200),0)</f>
        <v/>
      </c>
      <c r="M240" s="80">
        <f>IFERROR(XLOOKUP(K240,'Activity Settings'!$M$2:$M$200,'Activity Settings'!$L$2:$L$200),"Knapsack")</f>
        <v/>
      </c>
      <c r="N240" s="86">
        <f>IFERROR(XLOOKUP(J240&amp;"|"&amp;M240,Rates!$E$2:$E$13,Rates!$C$2:$C$13),0)</f>
        <v/>
      </c>
      <c r="O240" s="86">
        <f>L240*N240</f>
        <v/>
      </c>
    </row>
    <row r="241" s="74">
      <c r="A241" s="79" t="inlineStr">
        <is>
          <t>Scaled Rollout and Adoption</t>
        </is>
      </c>
      <c r="B241" s="79" t="inlineStr">
        <is>
          <t>Docs Launch + Recipes &amp; Migration Guides</t>
        </is>
      </c>
      <c r="C241" s="79" t="inlineStr">
        <is>
          <t>Add embedded code samples and playground links (governed snippet sources)</t>
        </is>
      </c>
      <c r="D241" s="79" t="n"/>
      <c r="E241" s="79" t="n"/>
      <c r="F241" s="79" t="inlineStr">
        <is>
          <t>Knapsack - Design Systems Engineer</t>
        </is>
      </c>
      <c r="G241" s="80" t="inlineStr">
        <is>
          <t>Knapsack</t>
        </is>
      </c>
      <c r="H241" s="80" t="inlineStr">
        <is>
          <t>Engineer</t>
        </is>
      </c>
      <c r="I241" s="80" t="inlineStr">
        <is>
          <t>3–5</t>
        </is>
      </c>
      <c r="J241" s="79">
        <f>IFERROR(XLOOKUP(H241,'Lookups - JourneyDeployment'!$K$3:$K$7,'Lookups - JourneyDeployment'!$L$3:$L$7),"")</f>
        <v/>
      </c>
      <c r="K241" s="80">
        <f>A241&amp;"|"&amp;B241</f>
        <v/>
      </c>
      <c r="L241" s="85">
        <f>IFERROR(XLOOKUP(K241,'Activity Settings'!$M$2:$M$200,'Activity Settings'!$J$2:$J$200),0)</f>
        <v/>
      </c>
      <c r="M241" s="80">
        <f>IFERROR(XLOOKUP(K241,'Activity Settings'!$M$2:$M$200,'Activity Settings'!$L$2:$L$200),"Knapsack")</f>
        <v/>
      </c>
      <c r="N241" s="86">
        <f>IFERROR(XLOOKUP(J241&amp;"|"&amp;M241,Rates!$E$2:$E$13,Rates!$C$2:$C$13),0)</f>
        <v/>
      </c>
      <c r="O241" s="86">
        <f>L241*N241</f>
        <v/>
      </c>
    </row>
    <row r="242" s="74">
      <c r="A242" s="79" t="inlineStr">
        <is>
          <t>Scaled Rollout and Adoption</t>
        </is>
      </c>
      <c r="B242" s="79" t="inlineStr">
        <is>
          <t>Docs Launch + Recipes &amp; Migration Guides</t>
        </is>
      </c>
      <c r="C242" s="79" t="inlineStr">
        <is>
          <t>Launch docs and establish update cadence + ownership model</t>
        </is>
      </c>
      <c r="D242" s="79" t="inlineStr">
        <is>
          <t>Design System Docs v1 Launch</t>
        </is>
      </c>
      <c r="E242" s="79" t="inlineStr">
        <is>
          <t>Published docs with recipes, migration guides, governed snippets, and ownership cadence.</t>
        </is>
      </c>
      <c r="F242" s="79" t="inlineStr">
        <is>
          <t>Knapsack - Program/Delivery PM</t>
        </is>
      </c>
      <c r="G242" s="80" t="inlineStr">
        <is>
          <t>Knapsack</t>
        </is>
      </c>
      <c r="H242" s="80" t="inlineStr">
        <is>
          <t>Project Manager</t>
        </is>
      </c>
      <c r="I242" s="80" t="inlineStr">
        <is>
          <t>3–5</t>
        </is>
      </c>
      <c r="J242" s="79">
        <f>IFERROR(XLOOKUP(H242,'Lookups - JourneyDeployment'!$K$3:$K$7,'Lookups - JourneyDeployment'!$L$3:$L$7),"")</f>
        <v/>
      </c>
      <c r="K242" s="80">
        <f>A242&amp;"|"&amp;B242</f>
        <v/>
      </c>
      <c r="L242" s="85">
        <f>IFERROR(XLOOKUP(K242,'Activity Settings'!$M$2:$M$200,'Activity Settings'!$J$2:$J$200),0)</f>
        <v/>
      </c>
      <c r="M242" s="80">
        <f>IFERROR(XLOOKUP(K242,'Activity Settings'!$M$2:$M$200,'Activity Settings'!$L$2:$L$200),"Knapsack")</f>
        <v/>
      </c>
      <c r="N242" s="86">
        <f>IFERROR(XLOOKUP(J242&amp;"|"&amp;M242,Rates!$E$2:$E$13,Rates!$C$2:$C$13),0)</f>
        <v/>
      </c>
      <c r="O242" s="86">
        <f>L242*N242</f>
        <v/>
      </c>
    </row>
    <row r="243" s="74">
      <c r="A243" s="79" t="inlineStr">
        <is>
          <t>Scaled Rollout and Adoption</t>
        </is>
      </c>
      <c r="B243" s="79" t="inlineStr">
        <is>
          <t>Partner Contribution Pathway &amp; Certification</t>
        </is>
      </c>
      <c r="C243" s="79" t="inlineStr">
        <is>
          <t>Define partner contribution workflow (intake, sandbox, review gates, SLAs)</t>
        </is>
      </c>
      <c r="D243" s="79" t="n"/>
      <c r="E243" s="79" t="n"/>
      <c r="F243" s="79" t="inlineStr">
        <is>
          <t>Knapsack - Program/Delivery PM</t>
        </is>
      </c>
      <c r="G243" s="80" t="inlineStr">
        <is>
          <t>Knapsack</t>
        </is>
      </c>
      <c r="H243" s="80" t="inlineStr">
        <is>
          <t>Project Manager</t>
        </is>
      </c>
      <c r="I243" s="80" t="inlineStr">
        <is>
          <t>3–5</t>
        </is>
      </c>
      <c r="J243" s="79">
        <f>IFERROR(XLOOKUP(H243,'Lookups - JourneyDeployment'!$K$3:$K$7,'Lookups - JourneyDeployment'!$L$3:$L$7),"")</f>
        <v/>
      </c>
      <c r="K243" s="80">
        <f>A243&amp;"|"&amp;B243</f>
        <v/>
      </c>
      <c r="L243" s="85">
        <f>IFERROR(XLOOKUP(K243,'Activity Settings'!$M$2:$M$200,'Activity Settings'!$J$2:$J$200),0)</f>
        <v/>
      </c>
      <c r="M243" s="80">
        <f>IFERROR(XLOOKUP(K243,'Activity Settings'!$M$2:$M$200,'Activity Settings'!$L$2:$L$200),"Knapsack")</f>
        <v/>
      </c>
      <c r="N243" s="86">
        <f>IFERROR(XLOOKUP(J243&amp;"|"&amp;M243,Rates!$E$2:$E$13,Rates!$C$2:$C$13),0)</f>
        <v/>
      </c>
      <c r="O243" s="86">
        <f>L243*N243</f>
        <v/>
      </c>
    </row>
    <row r="244" s="74">
      <c r="A244" s="79" t="inlineStr">
        <is>
          <t>Scaled Rollout and Adoption</t>
        </is>
      </c>
      <c r="B244" s="79" t="inlineStr">
        <is>
          <t>Partner Contribution Pathway &amp; Certification</t>
        </is>
      </c>
      <c r="C244" s="79" t="inlineStr">
        <is>
          <t>Create partner contribution kit (templates, checklists, example PRs)</t>
        </is>
      </c>
      <c r="D244" s="79" t="n"/>
      <c r="E244" s="79" t="n"/>
      <c r="F244" s="79" t="inlineStr">
        <is>
          <t>Knapsack - Design System / Platform SME</t>
        </is>
      </c>
      <c r="G244" s="80" t="inlineStr">
        <is>
          <t>Knapsack</t>
        </is>
      </c>
      <c r="H244" s="80" t="inlineStr">
        <is>
          <t>SME</t>
        </is>
      </c>
      <c r="I244" s="80" t="inlineStr">
        <is>
          <t>3–5</t>
        </is>
      </c>
      <c r="J244" s="79">
        <f>IFERROR(XLOOKUP(H244,'Lookups - JourneyDeployment'!$K$3:$K$7,'Lookups - JourneyDeployment'!$L$3:$L$7),"")</f>
        <v/>
      </c>
      <c r="K244" s="80">
        <f>A244&amp;"|"&amp;B244</f>
        <v/>
      </c>
      <c r="L244" s="85">
        <f>IFERROR(XLOOKUP(K244,'Activity Settings'!$M$2:$M$200,'Activity Settings'!$J$2:$J$200),0)</f>
        <v/>
      </c>
      <c r="M244" s="80">
        <f>IFERROR(XLOOKUP(K244,'Activity Settings'!$M$2:$M$200,'Activity Settings'!$L$2:$L$200),"Knapsack")</f>
        <v/>
      </c>
      <c r="N244" s="86">
        <f>IFERROR(XLOOKUP(J244&amp;"|"&amp;M244,Rates!$E$2:$E$13,Rates!$C$2:$C$13),0)</f>
        <v/>
      </c>
      <c r="O244" s="86">
        <f>L244*N244</f>
        <v/>
      </c>
    </row>
    <row r="245" s="74">
      <c r="A245" s="79" t="inlineStr">
        <is>
          <t>Scaled Rollout and Adoption</t>
        </is>
      </c>
      <c r="B245" s="79" t="inlineStr">
        <is>
          <t>Partner Contribution Pathway &amp; Certification</t>
        </is>
      </c>
      <c r="C245" s="79" t="inlineStr">
        <is>
          <t>Define certification rubric (design + code + a11y + tests + documentation)</t>
        </is>
      </c>
      <c r="D245" s="79" t="n"/>
      <c r="E245" s="79" t="n"/>
      <c r="F245" s="79" t="inlineStr">
        <is>
          <t>Knapsack - Design System / Platform SME</t>
        </is>
      </c>
      <c r="G245" s="80" t="inlineStr">
        <is>
          <t>Knapsack</t>
        </is>
      </c>
      <c r="H245" s="80" t="inlineStr">
        <is>
          <t>SME</t>
        </is>
      </c>
      <c r="I245" s="80" t="inlineStr">
        <is>
          <t>3–5</t>
        </is>
      </c>
      <c r="J245" s="79">
        <f>IFERROR(XLOOKUP(H245,'Lookups - JourneyDeployment'!$K$3:$K$7,'Lookups - JourneyDeployment'!$L$3:$L$7),"")</f>
        <v/>
      </c>
      <c r="K245" s="80">
        <f>A245&amp;"|"&amp;B245</f>
        <v/>
      </c>
      <c r="L245" s="85">
        <f>IFERROR(XLOOKUP(K245,'Activity Settings'!$M$2:$M$200,'Activity Settings'!$J$2:$J$200),0)</f>
        <v/>
      </c>
      <c r="M245" s="80">
        <f>IFERROR(XLOOKUP(K245,'Activity Settings'!$M$2:$M$200,'Activity Settings'!$L$2:$L$200),"Knapsack")</f>
        <v/>
      </c>
      <c r="N245" s="86">
        <f>IFERROR(XLOOKUP(J245&amp;"|"&amp;M245,Rates!$E$2:$E$13,Rates!$C$2:$C$13),0)</f>
        <v/>
      </c>
      <c r="O245" s="86">
        <f>L245*N245</f>
        <v/>
      </c>
    </row>
    <row r="246" s="74">
      <c r="A246" s="79" t="inlineStr">
        <is>
          <t>Scaled Rollout and Adoption</t>
        </is>
      </c>
      <c r="B246" s="79" t="inlineStr">
        <is>
          <t>Partner Contribution Pathway &amp; Certification</t>
        </is>
      </c>
      <c r="C246" s="79" t="inlineStr">
        <is>
          <t>Implement badges/labels for certified components/patterns in docs</t>
        </is>
      </c>
      <c r="D246" s="79" t="n"/>
      <c r="E246" s="79" t="n"/>
      <c r="F246" s="79" t="inlineStr">
        <is>
          <t>Knapsack - Design Systems Engineer</t>
        </is>
      </c>
      <c r="G246" s="80" t="inlineStr">
        <is>
          <t>Knapsack</t>
        </is>
      </c>
      <c r="H246" s="80" t="inlineStr">
        <is>
          <t>Engineer</t>
        </is>
      </c>
      <c r="I246" s="80" t="inlineStr">
        <is>
          <t>3–5</t>
        </is>
      </c>
      <c r="J246" s="79">
        <f>IFERROR(XLOOKUP(H246,'Lookups - JourneyDeployment'!$K$3:$K$7,'Lookups - JourneyDeployment'!$L$3:$L$7),"")</f>
        <v/>
      </c>
      <c r="K246" s="80">
        <f>A246&amp;"|"&amp;B246</f>
        <v/>
      </c>
      <c r="L246" s="85">
        <f>IFERROR(XLOOKUP(K246,'Activity Settings'!$M$2:$M$200,'Activity Settings'!$J$2:$J$200),0)</f>
        <v/>
      </c>
      <c r="M246" s="80">
        <f>IFERROR(XLOOKUP(K246,'Activity Settings'!$M$2:$M$200,'Activity Settings'!$L$2:$L$200),"Knapsack")</f>
        <v/>
      </c>
      <c r="N246" s="86">
        <f>IFERROR(XLOOKUP(J246&amp;"|"&amp;M246,Rates!$E$2:$E$13,Rates!$C$2:$C$13),0)</f>
        <v/>
      </c>
      <c r="O246" s="86">
        <f>L246*N246</f>
        <v/>
      </c>
    </row>
    <row r="247" s="74">
      <c r="A247" s="79" t="inlineStr">
        <is>
          <t>Scaled Rollout and Adoption</t>
        </is>
      </c>
      <c r="B247" s="79" t="inlineStr">
        <is>
          <t>Partner Contribution Pathway &amp; Certification</t>
        </is>
      </c>
      <c r="C247" s="79" t="inlineStr">
        <is>
          <t>Pilot partner contribution with 1 partner and iterate workflow</t>
        </is>
      </c>
      <c r="D247" s="79" t="n"/>
      <c r="E247" s="79" t="n"/>
      <c r="F247" s="79" t="inlineStr">
        <is>
          <t>Knapsack - Program/Delivery PM</t>
        </is>
      </c>
      <c r="G247" s="80" t="inlineStr">
        <is>
          <t>Knapsack</t>
        </is>
      </c>
      <c r="H247" s="80" t="inlineStr">
        <is>
          <t>Project Manager</t>
        </is>
      </c>
      <c r="I247" s="80" t="inlineStr">
        <is>
          <t>3–5</t>
        </is>
      </c>
      <c r="J247" s="79">
        <f>IFERROR(XLOOKUP(H247,'Lookups - JourneyDeployment'!$K$3:$K$7,'Lookups - JourneyDeployment'!$L$3:$L$7),"")</f>
        <v/>
      </c>
      <c r="K247" s="80">
        <f>A247&amp;"|"&amp;B247</f>
        <v/>
      </c>
      <c r="L247" s="85">
        <f>IFERROR(XLOOKUP(K247,'Activity Settings'!$M$2:$M$200,'Activity Settings'!$J$2:$J$200),0)</f>
        <v/>
      </c>
      <c r="M247" s="80">
        <f>IFERROR(XLOOKUP(K247,'Activity Settings'!$M$2:$M$200,'Activity Settings'!$L$2:$L$200),"Knapsack")</f>
        <v/>
      </c>
      <c r="N247" s="86">
        <f>IFERROR(XLOOKUP(J247&amp;"|"&amp;M247,Rates!$E$2:$E$13,Rates!$C$2:$C$13),0)</f>
        <v/>
      </c>
      <c r="O247" s="86">
        <f>L247*N247</f>
        <v/>
      </c>
    </row>
    <row r="248" s="74">
      <c r="A248" s="79" t="inlineStr">
        <is>
          <t>Scaled Rollout and Adoption</t>
        </is>
      </c>
      <c r="B248" s="79" t="inlineStr">
        <is>
          <t>Partner Contribution Pathway &amp; Certification</t>
        </is>
      </c>
      <c r="C248" s="79" t="inlineStr">
        <is>
          <t>Launch partner pathway program and publish certification criteria</t>
        </is>
      </c>
      <c r="D248" s="79" t="inlineStr">
        <is>
          <t>Partner Contribution + Certification Program</t>
        </is>
      </c>
      <c r="E248" s="79" t="inlineStr">
        <is>
          <t>Partner workflow, certification rubric, and publishing mechanics for approved contributions.</t>
        </is>
      </c>
      <c r="F248" s="79" t="inlineStr">
        <is>
          <t>Knapsack - Program/Delivery PM</t>
        </is>
      </c>
      <c r="G248" s="80" t="inlineStr">
        <is>
          <t>Knapsack</t>
        </is>
      </c>
      <c r="H248" s="80" t="inlineStr">
        <is>
          <t>Project Manager</t>
        </is>
      </c>
      <c r="I248" s="80" t="inlineStr">
        <is>
          <t>3–5</t>
        </is>
      </c>
      <c r="J248" s="79">
        <f>IFERROR(XLOOKUP(H248,'Lookups - JourneyDeployment'!$K$3:$K$7,'Lookups - JourneyDeployment'!$L$3:$L$7),"")</f>
        <v/>
      </c>
      <c r="K248" s="80">
        <f>A248&amp;"|"&amp;B248</f>
        <v/>
      </c>
      <c r="L248" s="85">
        <f>IFERROR(XLOOKUP(K248,'Activity Settings'!$M$2:$M$200,'Activity Settings'!$J$2:$J$200),0)</f>
        <v/>
      </c>
      <c r="M248" s="80">
        <f>IFERROR(XLOOKUP(K248,'Activity Settings'!$M$2:$M$200,'Activity Settings'!$L$2:$L$200),"Knapsack")</f>
        <v/>
      </c>
      <c r="N248" s="86">
        <f>IFERROR(XLOOKUP(J248&amp;"|"&amp;M248,Rates!$E$2:$E$13,Rates!$C$2:$C$13),0)</f>
        <v/>
      </c>
      <c r="O248" s="86">
        <f>L248*N248</f>
        <v/>
      </c>
    </row>
    <row r="249" s="74">
      <c r="A249" s="79" t="inlineStr">
        <is>
          <t>Scaled Rollout and Adoption</t>
        </is>
      </c>
      <c r="B249" s="79" t="inlineStr">
        <is>
          <t>AI Contextual Capabilities – Workflow Integrations</t>
        </is>
      </c>
      <c r="C249" s="79" t="inlineStr">
        <is>
          <t>Design AI assistant experiences for designers (Figma) and engineers (docs/IDE)</t>
        </is>
      </c>
      <c r="D249" s="79" t="n"/>
      <c r="E249" s="79" t="n"/>
      <c r="F249" s="79" t="inlineStr">
        <is>
          <t>Knapsack - Design System / Platform SME</t>
        </is>
      </c>
      <c r="G249" s="80" t="inlineStr">
        <is>
          <t>Knapsack</t>
        </is>
      </c>
      <c r="H249" s="80" t="inlineStr">
        <is>
          <t>SME</t>
        </is>
      </c>
      <c r="I249" s="80" t="inlineStr">
        <is>
          <t>4–8</t>
        </is>
      </c>
      <c r="J249" s="79">
        <f>IFERROR(XLOOKUP(H249,'Lookups - JourneyDeployment'!$K$3:$K$7,'Lookups - JourneyDeployment'!$L$3:$L$7),"")</f>
        <v/>
      </c>
      <c r="K249" s="80">
        <f>A249&amp;"|"&amp;B249</f>
        <v/>
      </c>
      <c r="L249" s="85">
        <f>IFERROR(XLOOKUP(K249,'Activity Settings'!$M$2:$M$200,'Activity Settings'!$J$2:$J$200),0)</f>
        <v/>
      </c>
      <c r="M249" s="80">
        <f>IFERROR(XLOOKUP(K249,'Activity Settings'!$M$2:$M$200,'Activity Settings'!$L$2:$L$200),"Knapsack")</f>
        <v/>
      </c>
      <c r="N249" s="86">
        <f>IFERROR(XLOOKUP(J249&amp;"|"&amp;M249,Rates!$E$2:$E$13,Rates!$C$2:$C$13),0)</f>
        <v/>
      </c>
      <c r="O249" s="86">
        <f>L249*N249</f>
        <v/>
      </c>
    </row>
    <row r="250" s="74">
      <c r="A250" s="79" t="inlineStr">
        <is>
          <t>Scaled Rollout and Adoption</t>
        </is>
      </c>
      <c r="B250" s="79" t="inlineStr">
        <is>
          <t>AI Contextual Capabilities – Workflow Integrations</t>
        </is>
      </c>
      <c r="C250" s="79" t="inlineStr">
        <is>
          <t>Implement Figma-side entry point (plugin/UI) for contextual recommendations and linting</t>
        </is>
      </c>
      <c r="D250" s="79" t="n"/>
      <c r="E250" s="79" t="n"/>
      <c r="F250" s="79" t="inlineStr">
        <is>
          <t>Knapsack - Design Systems Engineer</t>
        </is>
      </c>
      <c r="G250" s="80" t="inlineStr">
        <is>
          <t>Knapsack</t>
        </is>
      </c>
      <c r="H250" s="80" t="inlineStr">
        <is>
          <t>Engineer</t>
        </is>
      </c>
      <c r="I250" s="80" t="inlineStr">
        <is>
          <t>4–8</t>
        </is>
      </c>
      <c r="J250" s="79">
        <f>IFERROR(XLOOKUP(H250,'Lookups - JourneyDeployment'!$K$3:$K$7,'Lookups - JourneyDeployment'!$L$3:$L$7),"")</f>
        <v/>
      </c>
      <c r="K250" s="80">
        <f>A250&amp;"|"&amp;B250</f>
        <v/>
      </c>
      <c r="L250" s="85">
        <f>IFERROR(XLOOKUP(K250,'Activity Settings'!$M$2:$M$200,'Activity Settings'!$J$2:$J$200),0)</f>
        <v/>
      </c>
      <c r="M250" s="80">
        <f>IFERROR(XLOOKUP(K250,'Activity Settings'!$M$2:$M$200,'Activity Settings'!$L$2:$L$200),"Knapsack")</f>
        <v/>
      </c>
      <c r="N250" s="86">
        <f>IFERROR(XLOOKUP(J250&amp;"|"&amp;M250,Rates!$E$2:$E$13,Rates!$C$2:$C$13),0)</f>
        <v/>
      </c>
      <c r="O250" s="86">
        <f>L250*N250</f>
        <v/>
      </c>
    </row>
    <row r="251" s="74">
      <c r="A251" s="79" t="inlineStr">
        <is>
          <t>Scaled Rollout and Adoption</t>
        </is>
      </c>
      <c r="B251" s="79" t="inlineStr">
        <is>
          <t>AI Contextual Capabilities – Workflow Integrations</t>
        </is>
      </c>
      <c r="C251" s="79" t="inlineStr">
        <is>
          <t>Implement docs-site assistant for contextual guidance and search/Q&amp;A</t>
        </is>
      </c>
      <c r="D251" s="79" t="n"/>
      <c r="E251" s="79" t="n"/>
      <c r="F251" s="79" t="inlineStr">
        <is>
          <t>Knapsack - Design Systems Engineer</t>
        </is>
      </c>
      <c r="G251" s="80" t="inlineStr">
        <is>
          <t>Knapsack</t>
        </is>
      </c>
      <c r="H251" s="80" t="inlineStr">
        <is>
          <t>Engineer</t>
        </is>
      </c>
      <c r="I251" s="80" t="inlineStr">
        <is>
          <t>4–8</t>
        </is>
      </c>
      <c r="J251" s="79">
        <f>IFERROR(XLOOKUP(H251,'Lookups - JourneyDeployment'!$K$3:$K$7,'Lookups - JourneyDeployment'!$L$3:$L$7),"")</f>
        <v/>
      </c>
      <c r="K251" s="80">
        <f>A251&amp;"|"&amp;B251</f>
        <v/>
      </c>
      <c r="L251" s="85">
        <f>IFERROR(XLOOKUP(K251,'Activity Settings'!$M$2:$M$200,'Activity Settings'!$J$2:$J$200),0)</f>
        <v/>
      </c>
      <c r="M251" s="80">
        <f>IFERROR(XLOOKUP(K251,'Activity Settings'!$M$2:$M$200,'Activity Settings'!$L$2:$L$200),"Knapsack")</f>
        <v/>
      </c>
      <c r="N251" s="86">
        <f>IFERROR(XLOOKUP(J251&amp;"|"&amp;M251,Rates!$E$2:$E$13,Rates!$C$2:$C$13),0)</f>
        <v/>
      </c>
      <c r="O251" s="86">
        <f>L251*N251</f>
        <v/>
      </c>
    </row>
    <row r="252" s="74">
      <c r="A252" s="79" t="inlineStr">
        <is>
          <t>Scaled Rollout and Adoption</t>
        </is>
      </c>
      <c r="B252" s="79" t="inlineStr">
        <is>
          <t>AI Contextual Capabilities – Workflow Integrations</t>
        </is>
      </c>
      <c r="C252" s="79" t="inlineStr">
        <is>
          <t>Implement IDE/PR assistant hooks (optional) for component/token guidance and compliance</t>
        </is>
      </c>
      <c r="D252" s="79" t="n"/>
      <c r="E252" s="79" t="n"/>
      <c r="F252" s="79" t="inlineStr">
        <is>
          <t>Knapsack - Design Systems Engineer</t>
        </is>
      </c>
      <c r="G252" s="80" t="inlineStr">
        <is>
          <t>Knapsack</t>
        </is>
      </c>
      <c r="H252" s="80" t="inlineStr">
        <is>
          <t>Engineer</t>
        </is>
      </c>
      <c r="I252" s="80" t="inlineStr">
        <is>
          <t>4–8</t>
        </is>
      </c>
      <c r="J252" s="79">
        <f>IFERROR(XLOOKUP(H252,'Lookups - JourneyDeployment'!$K$3:$K$7,'Lookups - JourneyDeployment'!$L$3:$L$7),"")</f>
        <v/>
      </c>
      <c r="K252" s="80">
        <f>A252&amp;"|"&amp;B252</f>
        <v/>
      </c>
      <c r="L252" s="85">
        <f>IFERROR(XLOOKUP(K252,'Activity Settings'!$M$2:$M$200,'Activity Settings'!$J$2:$J$200),0)</f>
        <v/>
      </c>
      <c r="M252" s="80">
        <f>IFERROR(XLOOKUP(K252,'Activity Settings'!$M$2:$M$200,'Activity Settings'!$L$2:$L$200),"Knapsack")</f>
        <v/>
      </c>
      <c r="N252" s="86">
        <f>IFERROR(XLOOKUP(J252&amp;"|"&amp;M252,Rates!$E$2:$E$13,Rates!$C$2:$C$13),0)</f>
        <v/>
      </c>
      <c r="O252" s="86">
        <f>L252*N252</f>
        <v/>
      </c>
    </row>
    <row r="253" s="74">
      <c r="A253" s="79" t="inlineStr">
        <is>
          <t>Scaled Rollout and Adoption</t>
        </is>
      </c>
      <c r="B253" s="79" t="inlineStr">
        <is>
          <t>AI Contextual Capabilities – Workflow Integrations</t>
        </is>
      </c>
      <c r="C253" s="79" t="inlineStr">
        <is>
          <t>Add human approval flow for risky actions (generation, large refactors)</t>
        </is>
      </c>
      <c r="D253" s="79" t="n"/>
      <c r="E253" s="79" t="n"/>
      <c r="F253" s="79" t="inlineStr">
        <is>
          <t>Knapsack - Program/Delivery PM</t>
        </is>
      </c>
      <c r="G253" s="80" t="inlineStr">
        <is>
          <t>Knapsack</t>
        </is>
      </c>
      <c r="H253" s="80" t="inlineStr">
        <is>
          <t>Project Manager</t>
        </is>
      </c>
      <c r="I253" s="80" t="inlineStr">
        <is>
          <t>4–8</t>
        </is>
      </c>
      <c r="J253" s="79">
        <f>IFERROR(XLOOKUP(H253,'Lookups - JourneyDeployment'!$K$3:$K$7,'Lookups - JourneyDeployment'!$L$3:$L$7),"")</f>
        <v/>
      </c>
      <c r="K253" s="80">
        <f>A253&amp;"|"&amp;B253</f>
        <v/>
      </c>
      <c r="L253" s="85">
        <f>IFERROR(XLOOKUP(K253,'Activity Settings'!$M$2:$M$200,'Activity Settings'!$J$2:$J$200),0)</f>
        <v/>
      </c>
      <c r="M253" s="80">
        <f>IFERROR(XLOOKUP(K253,'Activity Settings'!$M$2:$M$200,'Activity Settings'!$L$2:$L$200),"Knapsack")</f>
        <v/>
      </c>
      <c r="N253" s="86">
        <f>IFERROR(XLOOKUP(J253&amp;"|"&amp;M253,Rates!$E$2:$E$13,Rates!$C$2:$C$13),0)</f>
        <v/>
      </c>
      <c r="O253" s="86">
        <f>L253*N253</f>
        <v/>
      </c>
    </row>
    <row r="254" s="74">
      <c r="A254" s="79" t="inlineStr">
        <is>
          <t>Scaled Rollout and Adoption</t>
        </is>
      </c>
      <c r="B254" s="79" t="inlineStr">
        <is>
          <t>AI Contextual Capabilities – Workflow Integrations</t>
        </is>
      </c>
      <c r="C254" s="79" t="inlineStr">
        <is>
          <t>Pilot integrations with selected teams and capture feedback</t>
        </is>
      </c>
      <c r="D254" s="79" t="inlineStr">
        <is>
          <t>AI Workflow Integrations MVP</t>
        </is>
      </c>
      <c r="E254" s="79" t="inlineStr">
        <is>
          <t>Initial AI integration points (Figma/docs/IDE as applicable) piloted with teams.</t>
        </is>
      </c>
      <c r="F254" s="79" t="inlineStr">
        <is>
          <t>Knapsack - Program/Delivery PM</t>
        </is>
      </c>
      <c r="G254" s="80" t="inlineStr">
        <is>
          <t>Knapsack</t>
        </is>
      </c>
      <c r="H254" s="80" t="inlineStr">
        <is>
          <t>Project Manager</t>
        </is>
      </c>
      <c r="I254" s="80" t="inlineStr">
        <is>
          <t>4–8</t>
        </is>
      </c>
      <c r="J254" s="79">
        <f>IFERROR(XLOOKUP(H254,'Lookups - JourneyDeployment'!$K$3:$K$7,'Lookups - JourneyDeployment'!$L$3:$L$7),"")</f>
        <v/>
      </c>
      <c r="K254" s="80">
        <f>A254&amp;"|"&amp;B254</f>
        <v/>
      </c>
      <c r="L254" s="85">
        <f>IFERROR(XLOOKUP(K254,'Activity Settings'!$M$2:$M$200,'Activity Settings'!$J$2:$J$200),0)</f>
        <v/>
      </c>
      <c r="M254" s="80">
        <f>IFERROR(XLOOKUP(K254,'Activity Settings'!$M$2:$M$200,'Activity Settings'!$L$2:$L$200),"Knapsack")</f>
        <v/>
      </c>
      <c r="N254" s="86">
        <f>IFERROR(XLOOKUP(J254&amp;"|"&amp;M254,Rates!$E$2:$E$13,Rates!$C$2:$C$13),0)</f>
        <v/>
      </c>
      <c r="O254" s="86">
        <f>L254*N254</f>
        <v/>
      </c>
    </row>
    <row r="255" s="74">
      <c r="A255" s="79" t="inlineStr">
        <is>
          <t>Scaled Rollout and Adoption</t>
        </is>
      </c>
      <c r="B255" s="79" t="inlineStr">
        <is>
          <t>AI Contextual Capabilities – Evaluation Harness + Telemetry</t>
        </is>
      </c>
      <c r="C255" s="79" t="inlineStr">
        <is>
          <t>Define evaluation metrics (accuracy, policy compliance, latency, satisfaction)</t>
        </is>
      </c>
      <c r="D255" s="79" t="n"/>
      <c r="E255" s="79" t="n"/>
      <c r="F255" s="79" t="inlineStr">
        <is>
          <t>Knapsack - Design System / Platform SME</t>
        </is>
      </c>
      <c r="G255" s="80" t="inlineStr">
        <is>
          <t>Knapsack</t>
        </is>
      </c>
      <c r="H255" s="80" t="inlineStr">
        <is>
          <t>SME</t>
        </is>
      </c>
      <c r="I255" s="80" t="inlineStr">
        <is>
          <t>4–6</t>
        </is>
      </c>
      <c r="J255" s="79">
        <f>IFERROR(XLOOKUP(H255,'Lookups - JourneyDeployment'!$K$3:$K$7,'Lookups - JourneyDeployment'!$L$3:$L$7),"")</f>
        <v/>
      </c>
      <c r="K255" s="80">
        <f>A255&amp;"|"&amp;B255</f>
        <v/>
      </c>
      <c r="L255" s="85">
        <f>IFERROR(XLOOKUP(K255,'Activity Settings'!$M$2:$M$200,'Activity Settings'!$J$2:$J$200),0)</f>
        <v/>
      </c>
      <c r="M255" s="80">
        <f>IFERROR(XLOOKUP(K255,'Activity Settings'!$M$2:$M$200,'Activity Settings'!$L$2:$L$200),"Knapsack")</f>
        <v/>
      </c>
      <c r="N255" s="86">
        <f>IFERROR(XLOOKUP(J255&amp;"|"&amp;M255,Rates!$E$2:$E$13,Rates!$C$2:$C$13),0)</f>
        <v/>
      </c>
      <c r="O255" s="86">
        <f>L255*N255</f>
        <v/>
      </c>
    </row>
    <row r="256" s="74">
      <c r="A256" s="79" t="inlineStr">
        <is>
          <t>Scaled Rollout and Adoption</t>
        </is>
      </c>
      <c r="B256" s="79" t="inlineStr">
        <is>
          <t>AI Contextual Capabilities – Evaluation Harness + Telemetry</t>
        </is>
      </c>
      <c r="C256" s="79" t="inlineStr">
        <is>
          <t>Create golden test set (prompts + expected outcomes) based on real workflows</t>
        </is>
      </c>
      <c r="D256" s="79" t="n"/>
      <c r="E256" s="79" t="n"/>
      <c r="F256" s="79" t="inlineStr">
        <is>
          <t>Knapsack - Design System / Platform SME</t>
        </is>
      </c>
      <c r="G256" s="80" t="inlineStr">
        <is>
          <t>Knapsack</t>
        </is>
      </c>
      <c r="H256" s="80" t="inlineStr">
        <is>
          <t>SME</t>
        </is>
      </c>
      <c r="I256" s="80" t="inlineStr">
        <is>
          <t>4–6</t>
        </is>
      </c>
      <c r="J256" s="79">
        <f>IFERROR(XLOOKUP(H256,'Lookups - JourneyDeployment'!$K$3:$K$7,'Lookups - JourneyDeployment'!$L$3:$L$7),"")</f>
        <v/>
      </c>
      <c r="K256" s="80">
        <f>A256&amp;"|"&amp;B256</f>
        <v/>
      </c>
      <c r="L256" s="85">
        <f>IFERROR(XLOOKUP(K256,'Activity Settings'!$M$2:$M$200,'Activity Settings'!$J$2:$J$200),0)</f>
        <v/>
      </c>
      <c r="M256" s="80">
        <f>IFERROR(XLOOKUP(K256,'Activity Settings'!$M$2:$M$200,'Activity Settings'!$L$2:$L$200),"Knapsack")</f>
        <v/>
      </c>
      <c r="N256" s="86">
        <f>IFERROR(XLOOKUP(J256&amp;"|"&amp;M256,Rates!$E$2:$E$13,Rates!$C$2:$C$13),0)</f>
        <v/>
      </c>
      <c r="O256" s="86">
        <f>L256*N256</f>
        <v/>
      </c>
    </row>
    <row r="257" s="74">
      <c r="A257" s="79" t="inlineStr">
        <is>
          <t>Scaled Rollout and Adoption</t>
        </is>
      </c>
      <c r="B257" s="79" t="inlineStr">
        <is>
          <t>AI Contextual Capabilities – Evaluation Harness + Telemetry</t>
        </is>
      </c>
      <c r="C257" s="79" t="inlineStr">
        <is>
          <t>Implement automated evaluation harness and regression checks</t>
        </is>
      </c>
      <c r="D257" s="79" t="n"/>
      <c r="E257" s="79" t="n"/>
      <c r="F257" s="79" t="inlineStr">
        <is>
          <t>Knapsack - Design Systems Engineer</t>
        </is>
      </c>
      <c r="G257" s="80" t="inlineStr">
        <is>
          <t>Knapsack</t>
        </is>
      </c>
      <c r="H257" s="80" t="inlineStr">
        <is>
          <t>Engineer</t>
        </is>
      </c>
      <c r="I257" s="80" t="inlineStr">
        <is>
          <t>4–6</t>
        </is>
      </c>
      <c r="J257" s="79">
        <f>IFERROR(XLOOKUP(H257,'Lookups - JourneyDeployment'!$K$3:$K$7,'Lookups - JourneyDeployment'!$L$3:$L$7),"")</f>
        <v/>
      </c>
      <c r="K257" s="80">
        <f>A257&amp;"|"&amp;B257</f>
        <v/>
      </c>
      <c r="L257" s="85">
        <f>IFERROR(XLOOKUP(K257,'Activity Settings'!$M$2:$M$200,'Activity Settings'!$J$2:$J$200),0)</f>
        <v/>
      </c>
      <c r="M257" s="80">
        <f>IFERROR(XLOOKUP(K257,'Activity Settings'!$M$2:$M$200,'Activity Settings'!$L$2:$L$200),"Knapsack")</f>
        <v/>
      </c>
      <c r="N257" s="86">
        <f>IFERROR(XLOOKUP(J257&amp;"|"&amp;M257,Rates!$E$2:$E$13,Rates!$C$2:$C$13),0)</f>
        <v/>
      </c>
      <c r="O257" s="86">
        <f>L257*N257</f>
        <v/>
      </c>
    </row>
    <row r="258" s="74">
      <c r="A258" s="79" t="inlineStr">
        <is>
          <t>Scaled Rollout and Adoption</t>
        </is>
      </c>
      <c r="B258" s="79" t="inlineStr">
        <is>
          <t>AI Contextual Capabilities – Evaluation Harness + Telemetry</t>
        </is>
      </c>
      <c r="C258" s="79" t="inlineStr">
        <is>
          <t>Instrument telemetry (queries, acceptance, edits, failures, drift incidents)</t>
        </is>
      </c>
      <c r="D258" s="79" t="n"/>
      <c r="E258" s="79" t="n"/>
      <c r="F258" s="79" t="inlineStr">
        <is>
          <t>Knapsack - Design Systems Engineer</t>
        </is>
      </c>
      <c r="G258" s="80" t="inlineStr">
        <is>
          <t>Knapsack</t>
        </is>
      </c>
      <c r="H258" s="80" t="inlineStr">
        <is>
          <t>Engineer</t>
        </is>
      </c>
      <c r="I258" s="80" t="inlineStr">
        <is>
          <t>4–6</t>
        </is>
      </c>
      <c r="J258" s="79">
        <f>IFERROR(XLOOKUP(H258,'Lookups - JourneyDeployment'!$K$3:$K$7,'Lookups - JourneyDeployment'!$L$3:$L$7),"")</f>
        <v/>
      </c>
      <c r="K258" s="80">
        <f>A258&amp;"|"&amp;B258</f>
        <v/>
      </c>
      <c r="L258" s="85">
        <f>IFERROR(XLOOKUP(K258,'Activity Settings'!$M$2:$M$200,'Activity Settings'!$J$2:$J$200),0)</f>
        <v/>
      </c>
      <c r="M258" s="80">
        <f>IFERROR(XLOOKUP(K258,'Activity Settings'!$M$2:$M$200,'Activity Settings'!$L$2:$L$200),"Knapsack")</f>
        <v/>
      </c>
      <c r="N258" s="86">
        <f>IFERROR(XLOOKUP(J258&amp;"|"&amp;M258,Rates!$E$2:$E$13,Rates!$C$2:$C$13),0)</f>
        <v/>
      </c>
      <c r="O258" s="86">
        <f>L258*N258</f>
        <v/>
      </c>
    </row>
    <row r="259" s="74">
      <c r="A259" s="79" t="inlineStr">
        <is>
          <t>Scaled Rollout and Adoption</t>
        </is>
      </c>
      <c r="B259" s="79" t="inlineStr">
        <is>
          <t>AI Contextual Capabilities – Evaluation Harness + Telemetry</t>
        </is>
      </c>
      <c r="C259" s="79" t="inlineStr">
        <is>
          <t>Set up dashboards and feedback triage workflow</t>
        </is>
      </c>
      <c r="D259" s="79" t="n"/>
      <c r="E259" s="79" t="n"/>
      <c r="F259" s="79" t="inlineStr">
        <is>
          <t>Knapsack - Program/Delivery PM</t>
        </is>
      </c>
      <c r="G259" s="80" t="inlineStr">
        <is>
          <t>Knapsack</t>
        </is>
      </c>
      <c r="H259" s="80" t="inlineStr">
        <is>
          <t>Project Manager</t>
        </is>
      </c>
      <c r="I259" s="80" t="inlineStr">
        <is>
          <t>4–6</t>
        </is>
      </c>
      <c r="J259" s="79">
        <f>IFERROR(XLOOKUP(H259,'Lookups - JourneyDeployment'!$K$3:$K$7,'Lookups - JourneyDeployment'!$L$3:$L$7),"")</f>
        <v/>
      </c>
      <c r="K259" s="80">
        <f>A259&amp;"|"&amp;B259</f>
        <v/>
      </c>
      <c r="L259" s="85">
        <f>IFERROR(XLOOKUP(K259,'Activity Settings'!$M$2:$M$200,'Activity Settings'!$J$2:$J$200),0)</f>
        <v/>
      </c>
      <c r="M259" s="80">
        <f>IFERROR(XLOOKUP(K259,'Activity Settings'!$M$2:$M$200,'Activity Settings'!$L$2:$L$200),"Knapsack")</f>
        <v/>
      </c>
      <c r="N259" s="86">
        <f>IFERROR(XLOOKUP(J259&amp;"|"&amp;M259,Rates!$E$2:$E$13,Rates!$C$2:$C$13),0)</f>
        <v/>
      </c>
      <c r="O259" s="86">
        <f>L259*N259</f>
        <v/>
      </c>
    </row>
    <row r="260" s="74">
      <c r="A260" s="79" t="inlineStr">
        <is>
          <t>Scaled Rollout and Adoption</t>
        </is>
      </c>
      <c r="B260" s="79" t="inlineStr">
        <is>
          <t>AI Contextual Capabilities – Evaluation Harness + Telemetry</t>
        </is>
      </c>
      <c r="C260" s="79" t="inlineStr">
        <is>
          <t>Run first eval cycle and iterate prompts/retrieval based on results</t>
        </is>
      </c>
      <c r="D260" s="79" t="inlineStr">
        <is>
          <t>AI Evaluation + Telemetry Dashboard</t>
        </is>
      </c>
      <c r="E260" s="79" t="inlineStr">
        <is>
          <t>Automated eval suite and telemetry dashboards with a triage/iteration workflow.</t>
        </is>
      </c>
      <c r="F260" s="79" t="inlineStr">
        <is>
          <t>Knapsack - Design System / Platform SME</t>
        </is>
      </c>
      <c r="G260" s="80" t="inlineStr">
        <is>
          <t>Knapsack</t>
        </is>
      </c>
      <c r="H260" s="80" t="inlineStr">
        <is>
          <t>SME</t>
        </is>
      </c>
      <c r="I260" s="80" t="inlineStr">
        <is>
          <t>4–6</t>
        </is>
      </c>
      <c r="J260" s="79">
        <f>IFERROR(XLOOKUP(H260,'Lookups - JourneyDeployment'!$K$3:$K$7,'Lookups - JourneyDeployment'!$L$3:$L$7),"")</f>
        <v/>
      </c>
      <c r="K260" s="80">
        <f>A260&amp;"|"&amp;B260</f>
        <v/>
      </c>
      <c r="L260" s="85">
        <f>IFERROR(XLOOKUP(K260,'Activity Settings'!$M$2:$M$200,'Activity Settings'!$J$2:$J$200),0)</f>
        <v/>
      </c>
      <c r="M260" s="80">
        <f>IFERROR(XLOOKUP(K260,'Activity Settings'!$M$2:$M$200,'Activity Settings'!$L$2:$L$200),"Knapsack")</f>
        <v/>
      </c>
      <c r="N260" s="86">
        <f>IFERROR(XLOOKUP(J260&amp;"|"&amp;M260,Rates!$E$2:$E$13,Rates!$C$2:$C$13),0)</f>
        <v/>
      </c>
      <c r="O260" s="86">
        <f>L260*N260</f>
        <v/>
      </c>
    </row>
    <row r="261" s="74">
      <c r="A261" s="79" t="inlineStr">
        <is>
          <t>Optimization and Continued Support</t>
        </is>
      </c>
      <c r="B261" s="79" t="inlineStr">
        <is>
          <t>Continuous Quality &amp; Accessibility Automation</t>
        </is>
      </c>
      <c r="C261" s="79" t="inlineStr">
        <is>
          <t>Maintain and expand a11y and visual regression baselines as components grow</t>
        </is>
      </c>
      <c r="D261" s="79" t="n"/>
      <c r="E261" s="79" t="n"/>
      <c r="F261" s="79" t="inlineStr">
        <is>
          <t>Knapsack - Design Systems Engineer</t>
        </is>
      </c>
      <c r="G261" s="80" t="inlineStr">
        <is>
          <t>Knapsack</t>
        </is>
      </c>
      <c r="H261" s="80" t="inlineStr">
        <is>
          <t>Engineer</t>
        </is>
      </c>
      <c r="I261" s="80" t="inlineStr">
        <is>
          <t>Ongoing</t>
        </is>
      </c>
      <c r="J261" s="79">
        <f>IFERROR(XLOOKUP(H261,'Lookups - JourneyDeployment'!$K$3:$K$7,'Lookups - JourneyDeployment'!$L$3:$L$7),"")</f>
        <v/>
      </c>
      <c r="K261" s="80">
        <f>A261&amp;"|"&amp;B261</f>
        <v/>
      </c>
      <c r="L261" s="85">
        <f>IFERROR(XLOOKUP(K261,'Activity Settings'!$M$2:$M$200,'Activity Settings'!$J$2:$J$200),0)</f>
        <v/>
      </c>
      <c r="M261" s="80">
        <f>IFERROR(XLOOKUP(K261,'Activity Settings'!$M$2:$M$200,'Activity Settings'!$L$2:$L$200),"Knapsack")</f>
        <v/>
      </c>
      <c r="N261" s="86">
        <f>IFERROR(XLOOKUP(J261&amp;"|"&amp;M261,Rates!$E$2:$E$13,Rates!$C$2:$C$13),0)</f>
        <v/>
      </c>
      <c r="O261" s="86">
        <f>L261*N261</f>
        <v/>
      </c>
    </row>
    <row r="262" s="74">
      <c r="A262" s="79" t="inlineStr">
        <is>
          <t>Optimization and Continued Support</t>
        </is>
      </c>
      <c r="B262" s="79" t="inlineStr">
        <is>
          <t>Continuous Quality &amp; Accessibility Automation</t>
        </is>
      </c>
      <c r="C262" s="79" t="inlineStr">
        <is>
          <t>Perform periodic audits (a11y, performance) and track remediation backlog</t>
        </is>
      </c>
      <c r="D262" s="79" t="n"/>
      <c r="E262" s="79" t="n"/>
      <c r="F262" s="79" t="inlineStr">
        <is>
          <t>Knapsack - Design System / Platform SME</t>
        </is>
      </c>
      <c r="G262" s="80" t="inlineStr">
        <is>
          <t>Knapsack</t>
        </is>
      </c>
      <c r="H262" s="80" t="inlineStr">
        <is>
          <t>SME</t>
        </is>
      </c>
      <c r="I262" s="80" t="inlineStr">
        <is>
          <t>Ongoing</t>
        </is>
      </c>
      <c r="J262" s="79">
        <f>IFERROR(XLOOKUP(H262,'Lookups - JourneyDeployment'!$K$3:$K$7,'Lookups - JourneyDeployment'!$L$3:$L$7),"")</f>
        <v/>
      </c>
      <c r="K262" s="80">
        <f>A262&amp;"|"&amp;B262</f>
        <v/>
      </c>
      <c r="L262" s="85">
        <f>IFERROR(XLOOKUP(K262,'Activity Settings'!$M$2:$M$200,'Activity Settings'!$J$2:$J$200),0)</f>
        <v/>
      </c>
      <c r="M262" s="80">
        <f>IFERROR(XLOOKUP(K262,'Activity Settings'!$M$2:$M$200,'Activity Settings'!$L$2:$L$200),"Knapsack")</f>
        <v/>
      </c>
      <c r="N262" s="86">
        <f>IFERROR(XLOOKUP(J262&amp;"|"&amp;M262,Rates!$E$2:$E$13,Rates!$C$2:$C$13),0)</f>
        <v/>
      </c>
      <c r="O262" s="86">
        <f>L262*N262</f>
        <v/>
      </c>
    </row>
    <row r="263" s="74">
      <c r="A263" s="79" t="inlineStr">
        <is>
          <t>Optimization and Continued Support</t>
        </is>
      </c>
      <c r="B263" s="79" t="inlineStr">
        <is>
          <t>Continuous Quality &amp; Accessibility Automation</t>
        </is>
      </c>
      <c r="C263" s="79" t="inlineStr">
        <is>
          <t>Add new quality gates based on incident learnings and drift patterns</t>
        </is>
      </c>
      <c r="D263" s="79" t="n"/>
      <c r="E263" s="79" t="n"/>
      <c r="F263" s="79" t="inlineStr">
        <is>
          <t>Knapsack - Design Systems Engineer</t>
        </is>
      </c>
      <c r="G263" s="80" t="inlineStr">
        <is>
          <t>Knapsack</t>
        </is>
      </c>
      <c r="H263" s="80" t="inlineStr">
        <is>
          <t>Engineer</t>
        </is>
      </c>
      <c r="I263" s="80" t="inlineStr">
        <is>
          <t>Ongoing</t>
        </is>
      </c>
      <c r="J263" s="79">
        <f>IFERROR(XLOOKUP(H263,'Lookups - JourneyDeployment'!$K$3:$K$7,'Lookups - JourneyDeployment'!$L$3:$L$7),"")</f>
        <v/>
      </c>
      <c r="K263" s="80">
        <f>A263&amp;"|"&amp;B263</f>
        <v/>
      </c>
      <c r="L263" s="85">
        <f>IFERROR(XLOOKUP(K263,'Activity Settings'!$M$2:$M$200,'Activity Settings'!$J$2:$J$200),0)</f>
        <v/>
      </c>
      <c r="M263" s="80">
        <f>IFERROR(XLOOKUP(K263,'Activity Settings'!$M$2:$M$200,'Activity Settings'!$L$2:$L$200),"Knapsack")</f>
        <v/>
      </c>
      <c r="N263" s="86">
        <f>IFERROR(XLOOKUP(J263&amp;"|"&amp;M263,Rates!$E$2:$E$13,Rates!$C$2:$C$13),0)</f>
        <v/>
      </c>
      <c r="O263" s="86">
        <f>L263*N263</f>
        <v/>
      </c>
    </row>
    <row r="264" s="74">
      <c r="A264" s="79" t="inlineStr">
        <is>
          <t>Optimization and Continued Support</t>
        </is>
      </c>
      <c r="B264" s="79" t="inlineStr">
        <is>
          <t>Continuous Quality &amp; Accessibility Automation</t>
        </is>
      </c>
      <c r="C264" s="79" t="inlineStr">
        <is>
          <t>Publish quarterly quality report (issues, fixes, risk areas)</t>
        </is>
      </c>
      <c r="D264" s="79" t="n"/>
      <c r="E264" s="79" t="n"/>
      <c r="F264" s="79" t="inlineStr">
        <is>
          <t>Knapsack - Program/Delivery PM</t>
        </is>
      </c>
      <c r="G264" s="80" t="inlineStr">
        <is>
          <t>Knapsack</t>
        </is>
      </c>
      <c r="H264" s="80" t="inlineStr">
        <is>
          <t>Project Manager</t>
        </is>
      </c>
      <c r="I264" s="80" t="inlineStr">
        <is>
          <t>Ongoing</t>
        </is>
      </c>
      <c r="J264" s="79">
        <f>IFERROR(XLOOKUP(H264,'Lookups - JourneyDeployment'!$K$3:$K$7,'Lookups - JourneyDeployment'!$L$3:$L$7),"")</f>
        <v/>
      </c>
      <c r="K264" s="80">
        <f>A264&amp;"|"&amp;B264</f>
        <v/>
      </c>
      <c r="L264" s="85">
        <f>IFERROR(XLOOKUP(K264,'Activity Settings'!$M$2:$M$200,'Activity Settings'!$J$2:$J$200),0)</f>
        <v/>
      </c>
      <c r="M264" s="80">
        <f>IFERROR(XLOOKUP(K264,'Activity Settings'!$M$2:$M$200,'Activity Settings'!$L$2:$L$200),"Knapsack")</f>
        <v/>
      </c>
      <c r="N264" s="86">
        <f>IFERROR(XLOOKUP(J264&amp;"|"&amp;M264,Rates!$E$2:$E$13,Rates!$C$2:$C$13),0)</f>
        <v/>
      </c>
      <c r="O264" s="86">
        <f>L264*N264</f>
        <v/>
      </c>
    </row>
    <row r="265" s="74">
      <c r="A265" s="79" t="inlineStr">
        <is>
          <t>Optimization and Continued Support</t>
        </is>
      </c>
      <c r="B265" s="79" t="inlineStr">
        <is>
          <t>Continuous Quality &amp; Accessibility Automation</t>
        </is>
      </c>
      <c r="C265" s="79" t="inlineStr">
        <is>
          <t>Refine QA playbooks and contributor checklists</t>
        </is>
      </c>
      <c r="D265" s="79" t="inlineStr">
        <is>
          <t>Quarterly Quality + A11y Report</t>
        </is>
      </c>
      <c r="E265" s="79" t="inlineStr">
        <is>
          <t>Ongoing quality automation upkeep with periodic reporting and remediation tracking.</t>
        </is>
      </c>
      <c r="F265" s="79" t="inlineStr">
        <is>
          <t>Knapsack - Design System / Platform SME</t>
        </is>
      </c>
      <c r="G265" s="80" t="inlineStr">
        <is>
          <t>Knapsack</t>
        </is>
      </c>
      <c r="H265" s="80" t="inlineStr">
        <is>
          <t>SME</t>
        </is>
      </c>
      <c r="I265" s="80" t="inlineStr">
        <is>
          <t>Ongoing</t>
        </is>
      </c>
      <c r="J265" s="79">
        <f>IFERROR(XLOOKUP(H265,'Lookups - JourneyDeployment'!$K$3:$K$7,'Lookups - JourneyDeployment'!$L$3:$L$7),"")</f>
        <v/>
      </c>
      <c r="K265" s="80">
        <f>A265&amp;"|"&amp;B265</f>
        <v/>
      </c>
      <c r="L265" s="85">
        <f>IFERROR(XLOOKUP(K265,'Activity Settings'!$M$2:$M$200,'Activity Settings'!$J$2:$J$200),0)</f>
        <v/>
      </c>
      <c r="M265" s="80">
        <f>IFERROR(XLOOKUP(K265,'Activity Settings'!$M$2:$M$200,'Activity Settings'!$L$2:$L$200),"Knapsack")</f>
        <v/>
      </c>
      <c r="N265" s="86">
        <f>IFERROR(XLOOKUP(J265&amp;"|"&amp;M265,Rates!$E$2:$E$13,Rates!$C$2:$C$13),0)</f>
        <v/>
      </c>
      <c r="O265" s="86">
        <f>L265*N265</f>
        <v/>
      </c>
    </row>
    <row r="266" s="74">
      <c r="A266" s="79" t="inlineStr">
        <is>
          <t>Optimization and Continued Support</t>
        </is>
      </c>
      <c r="B266" s="79" t="inlineStr">
        <is>
          <t>Release Cadence, Deprecations &amp; Migrations</t>
        </is>
      </c>
      <c r="C266" s="79" t="inlineStr">
        <is>
          <t>Run regular release cadence (monthly/quarterly) with changelog automation</t>
        </is>
      </c>
      <c r="D266" s="79" t="n"/>
      <c r="E266" s="79" t="n"/>
      <c r="F266" s="79" t="inlineStr">
        <is>
          <t>Knapsack - Design Systems Engineer</t>
        </is>
      </c>
      <c r="G266" s="80" t="inlineStr">
        <is>
          <t>Knapsack</t>
        </is>
      </c>
      <c r="H266" s="80" t="inlineStr">
        <is>
          <t>Engineer</t>
        </is>
      </c>
      <c r="I266" s="80" t="inlineStr">
        <is>
          <t>Ongoing</t>
        </is>
      </c>
      <c r="J266" s="79">
        <f>IFERROR(XLOOKUP(H266,'Lookups - JourneyDeployment'!$K$3:$K$7,'Lookups - JourneyDeployment'!$L$3:$L$7),"")</f>
        <v/>
      </c>
      <c r="K266" s="80">
        <f>A266&amp;"|"&amp;B266</f>
        <v/>
      </c>
      <c r="L266" s="85">
        <f>IFERROR(XLOOKUP(K266,'Activity Settings'!$M$2:$M$200,'Activity Settings'!$J$2:$J$200),0)</f>
        <v/>
      </c>
      <c r="M266" s="80">
        <f>IFERROR(XLOOKUP(K266,'Activity Settings'!$M$2:$M$200,'Activity Settings'!$L$2:$L$200),"Knapsack")</f>
        <v/>
      </c>
      <c r="N266" s="86">
        <f>IFERROR(XLOOKUP(J266&amp;"|"&amp;M266,Rates!$E$2:$E$13,Rates!$C$2:$C$13),0)</f>
        <v/>
      </c>
      <c r="O266" s="86">
        <f>L266*N266</f>
        <v/>
      </c>
    </row>
    <row r="267" s="74">
      <c r="A267" s="79" t="inlineStr">
        <is>
          <t>Optimization and Continued Support</t>
        </is>
      </c>
      <c r="B267" s="79" t="inlineStr">
        <is>
          <t>Release Cadence, Deprecations &amp; Migrations</t>
        </is>
      </c>
      <c r="C267" s="79" t="inlineStr">
        <is>
          <t>Execute deprecations per policy and maintain migration guides</t>
        </is>
      </c>
      <c r="D267" s="79" t="n"/>
      <c r="E267" s="79" t="n"/>
      <c r="F267" s="79" t="inlineStr">
        <is>
          <t>Knapsack - Design System / Platform SME</t>
        </is>
      </c>
      <c r="G267" s="80" t="inlineStr">
        <is>
          <t>Knapsack</t>
        </is>
      </c>
      <c r="H267" s="80" t="inlineStr">
        <is>
          <t>SME</t>
        </is>
      </c>
      <c r="I267" s="80" t="inlineStr">
        <is>
          <t>Ongoing</t>
        </is>
      </c>
      <c r="J267" s="79">
        <f>IFERROR(XLOOKUP(H267,'Lookups - JourneyDeployment'!$K$3:$K$7,'Lookups - JourneyDeployment'!$L$3:$L$7),"")</f>
        <v/>
      </c>
      <c r="K267" s="80">
        <f>A267&amp;"|"&amp;B267</f>
        <v/>
      </c>
      <c r="L267" s="85">
        <f>IFERROR(XLOOKUP(K267,'Activity Settings'!$M$2:$M$200,'Activity Settings'!$J$2:$J$200),0)</f>
        <v/>
      </c>
      <c r="M267" s="80">
        <f>IFERROR(XLOOKUP(K267,'Activity Settings'!$M$2:$M$200,'Activity Settings'!$L$2:$L$200),"Knapsack")</f>
        <v/>
      </c>
      <c r="N267" s="86">
        <f>IFERROR(XLOOKUP(J267&amp;"|"&amp;M267,Rates!$E$2:$E$13,Rates!$C$2:$C$13),0)</f>
        <v/>
      </c>
      <c r="O267" s="86">
        <f>L267*N267</f>
        <v/>
      </c>
    </row>
    <row r="268" s="74">
      <c r="A268" s="79" t="inlineStr">
        <is>
          <t>Optimization and Continued Support</t>
        </is>
      </c>
      <c r="B268" s="79" t="inlineStr">
        <is>
          <t>Release Cadence, Deprecations &amp; Migrations</t>
        </is>
      </c>
      <c r="C268" s="79" t="inlineStr">
        <is>
          <t>Support teams through upgrades (office hours, PR assistance, issue triage)</t>
        </is>
      </c>
      <c r="D268" s="79" t="n"/>
      <c r="E268" s="79" t="n"/>
      <c r="F268" s="79" t="inlineStr">
        <is>
          <t>Knapsack - Program/Delivery PM</t>
        </is>
      </c>
      <c r="G268" s="80" t="inlineStr">
        <is>
          <t>Knapsack</t>
        </is>
      </c>
      <c r="H268" s="80" t="inlineStr">
        <is>
          <t>Project Manager</t>
        </is>
      </c>
      <c r="I268" s="80" t="inlineStr">
        <is>
          <t>Ongoing</t>
        </is>
      </c>
      <c r="J268" s="79">
        <f>IFERROR(XLOOKUP(H268,'Lookups - JourneyDeployment'!$K$3:$K$7,'Lookups - JourneyDeployment'!$L$3:$L$7),"")</f>
        <v/>
      </c>
      <c r="K268" s="80">
        <f>A268&amp;"|"&amp;B268</f>
        <v/>
      </c>
      <c r="L268" s="85">
        <f>IFERROR(XLOOKUP(K268,'Activity Settings'!$M$2:$M$200,'Activity Settings'!$J$2:$J$200),0)</f>
        <v/>
      </c>
      <c r="M268" s="80">
        <f>IFERROR(XLOOKUP(K268,'Activity Settings'!$M$2:$M$200,'Activity Settings'!$L$2:$L$200),"Knapsack")</f>
        <v/>
      </c>
      <c r="N268" s="86">
        <f>IFERROR(XLOOKUP(J268&amp;"|"&amp;M268,Rates!$E$2:$E$13,Rates!$C$2:$C$13),0)</f>
        <v/>
      </c>
      <c r="O268" s="86">
        <f>L268*N268</f>
        <v/>
      </c>
    </row>
    <row r="269" s="74">
      <c r="A269" s="79" t="inlineStr">
        <is>
          <t>Optimization and Continued Support</t>
        </is>
      </c>
      <c r="B269" s="79" t="inlineStr">
        <is>
          <t>Release Cadence, Deprecations &amp; Migrations</t>
        </is>
      </c>
      <c r="C269" s="79" t="inlineStr">
        <is>
          <t>Monitor compatibility and fix regressions quickly</t>
        </is>
      </c>
      <c r="D269" s="79" t="n"/>
      <c r="E269" s="79" t="n"/>
      <c r="F269" s="79" t="inlineStr">
        <is>
          <t>Knapsack - Design Systems Engineer</t>
        </is>
      </c>
      <c r="G269" s="80" t="inlineStr">
        <is>
          <t>Knapsack</t>
        </is>
      </c>
      <c r="H269" s="80" t="inlineStr">
        <is>
          <t>Engineer</t>
        </is>
      </c>
      <c r="I269" s="80" t="inlineStr">
        <is>
          <t>Ongoing</t>
        </is>
      </c>
      <c r="J269" s="79">
        <f>IFERROR(XLOOKUP(H269,'Lookups - JourneyDeployment'!$K$3:$K$7,'Lookups - JourneyDeployment'!$L$3:$L$7),"")</f>
        <v/>
      </c>
      <c r="K269" s="80">
        <f>A269&amp;"|"&amp;B269</f>
        <v/>
      </c>
      <c r="L269" s="85">
        <f>IFERROR(XLOOKUP(K269,'Activity Settings'!$M$2:$M$200,'Activity Settings'!$J$2:$J$200),0)</f>
        <v/>
      </c>
      <c r="M269" s="80">
        <f>IFERROR(XLOOKUP(K269,'Activity Settings'!$M$2:$M$200,'Activity Settings'!$L$2:$L$200),"Knapsack")</f>
        <v/>
      </c>
      <c r="N269" s="86">
        <f>IFERROR(XLOOKUP(J269&amp;"|"&amp;M269,Rates!$E$2:$E$13,Rates!$C$2:$C$13),0)</f>
        <v/>
      </c>
      <c r="O269" s="86">
        <f>L269*N269</f>
        <v/>
      </c>
    </row>
    <row r="270" s="74">
      <c r="A270" s="79" t="inlineStr">
        <is>
          <t>Optimization and Continued Support</t>
        </is>
      </c>
      <c r="B270" s="79" t="inlineStr">
        <is>
          <t>Release Cadence, Deprecations &amp; Migrations</t>
        </is>
      </c>
      <c r="C270" s="79" t="inlineStr">
        <is>
          <t>Publish release communications and adoption notes</t>
        </is>
      </c>
      <c r="D270" s="79" t="inlineStr">
        <is>
          <t>Release Cadence + Migration Program</t>
        </is>
      </c>
      <c r="E270" s="79" t="inlineStr">
        <is>
          <t>Defined cadence with deprecation/migration support and consistent release communications.</t>
        </is>
      </c>
      <c r="F270" s="79" t="inlineStr">
        <is>
          <t>Knapsack - Program/Delivery PM</t>
        </is>
      </c>
      <c r="G270" s="80" t="inlineStr">
        <is>
          <t>Knapsack</t>
        </is>
      </c>
      <c r="H270" s="80" t="inlineStr">
        <is>
          <t>Project Manager</t>
        </is>
      </c>
      <c r="I270" s="80" t="inlineStr">
        <is>
          <t>Ongoing</t>
        </is>
      </c>
      <c r="J270" s="79">
        <f>IFERROR(XLOOKUP(H270,'Lookups - JourneyDeployment'!$K$3:$K$7,'Lookups - JourneyDeployment'!$L$3:$L$7),"")</f>
        <v/>
      </c>
      <c r="K270" s="80">
        <f>A270&amp;"|"&amp;B270</f>
        <v/>
      </c>
      <c r="L270" s="85">
        <f>IFERROR(XLOOKUP(K270,'Activity Settings'!$M$2:$M$200,'Activity Settings'!$J$2:$J$200),0)</f>
        <v/>
      </c>
      <c r="M270" s="80">
        <f>IFERROR(XLOOKUP(K270,'Activity Settings'!$M$2:$M$200,'Activity Settings'!$L$2:$L$200),"Knapsack")</f>
        <v/>
      </c>
      <c r="N270" s="86">
        <f>IFERROR(XLOOKUP(J270&amp;"|"&amp;M270,Rates!$E$2:$E$13,Rates!$C$2:$C$13),0)</f>
        <v/>
      </c>
      <c r="O270" s="86">
        <f>L270*N270</f>
        <v/>
      </c>
    </row>
    <row r="271" s="74">
      <c r="A271" s="79" t="inlineStr">
        <is>
          <t>Optimization and Continued Support</t>
        </is>
      </c>
      <c r="B271" s="79" t="inlineStr">
        <is>
          <t>Adoption Analytics &amp; Reporting (Design↔Code)</t>
        </is>
      </c>
      <c r="C271" s="79" t="inlineStr">
        <is>
          <t>Instrument usage analytics (package installs, component usage, token usage) where possible</t>
        </is>
      </c>
      <c r="D271" s="79" t="n"/>
      <c r="E271" s="79" t="n"/>
      <c r="F271" s="79" t="inlineStr">
        <is>
          <t>Knapsack - Design Systems Engineer</t>
        </is>
      </c>
      <c r="G271" s="80" t="inlineStr">
        <is>
          <t>Knapsack</t>
        </is>
      </c>
      <c r="H271" s="80" t="inlineStr">
        <is>
          <t>Engineer</t>
        </is>
      </c>
      <c r="I271" s="80" t="inlineStr">
        <is>
          <t>Ongoing</t>
        </is>
      </c>
      <c r="J271" s="79">
        <f>IFERROR(XLOOKUP(H271,'Lookups - JourneyDeployment'!$K$3:$K$7,'Lookups - JourneyDeployment'!$L$3:$L$7),"")</f>
        <v/>
      </c>
      <c r="K271" s="80">
        <f>A271&amp;"|"&amp;B271</f>
        <v/>
      </c>
      <c r="L271" s="85">
        <f>IFERROR(XLOOKUP(K271,'Activity Settings'!$M$2:$M$200,'Activity Settings'!$J$2:$J$200),0)</f>
        <v/>
      </c>
      <c r="M271" s="80">
        <f>IFERROR(XLOOKUP(K271,'Activity Settings'!$M$2:$M$200,'Activity Settings'!$L$2:$L$200),"Knapsack")</f>
        <v/>
      </c>
      <c r="N271" s="86">
        <f>IFERROR(XLOOKUP(J271&amp;"|"&amp;M271,Rates!$E$2:$E$13,Rates!$C$2:$C$13),0)</f>
        <v/>
      </c>
      <c r="O271" s="86">
        <f>L271*N271</f>
        <v/>
      </c>
    </row>
    <row r="272" s="74">
      <c r="A272" s="79" t="inlineStr">
        <is>
          <t>Optimization and Continued Support</t>
        </is>
      </c>
      <c r="B272" s="79" t="inlineStr">
        <is>
          <t>Adoption Analytics &amp; Reporting (Design↔Code)</t>
        </is>
      </c>
      <c r="C272" s="79" t="inlineStr">
        <is>
          <t>Define adoption KPIs and reporting views per persona (design, eng, leadership)</t>
        </is>
      </c>
      <c r="D272" s="79" t="n"/>
      <c r="E272" s="79" t="n"/>
      <c r="F272" s="79" t="inlineStr">
        <is>
          <t>Knapsack - Design System / Platform SME</t>
        </is>
      </c>
      <c r="G272" s="80" t="inlineStr">
        <is>
          <t>Knapsack</t>
        </is>
      </c>
      <c r="H272" s="80" t="inlineStr">
        <is>
          <t>SME</t>
        </is>
      </c>
      <c r="I272" s="80" t="inlineStr">
        <is>
          <t>Ongoing</t>
        </is>
      </c>
      <c r="J272" s="79">
        <f>IFERROR(XLOOKUP(H272,'Lookups - JourneyDeployment'!$K$3:$K$7,'Lookups - JourneyDeployment'!$L$3:$L$7),"")</f>
        <v/>
      </c>
      <c r="K272" s="80">
        <f>A272&amp;"|"&amp;B272</f>
        <v/>
      </c>
      <c r="L272" s="85">
        <f>IFERROR(XLOOKUP(K272,'Activity Settings'!$M$2:$M$200,'Activity Settings'!$J$2:$J$200),0)</f>
        <v/>
      </c>
      <c r="M272" s="80">
        <f>IFERROR(XLOOKUP(K272,'Activity Settings'!$M$2:$M$200,'Activity Settings'!$L$2:$L$200),"Knapsack")</f>
        <v/>
      </c>
      <c r="N272" s="86">
        <f>IFERROR(XLOOKUP(J272&amp;"|"&amp;M272,Rates!$E$2:$E$13,Rates!$C$2:$C$13),0)</f>
        <v/>
      </c>
      <c r="O272" s="86">
        <f>L272*N272</f>
        <v/>
      </c>
    </row>
    <row r="273" s="74">
      <c r="A273" s="79" t="inlineStr">
        <is>
          <t>Optimization and Continued Support</t>
        </is>
      </c>
      <c r="B273" s="79" t="inlineStr">
        <is>
          <t>Adoption Analytics &amp; Reporting (Design↔Code)</t>
        </is>
      </c>
      <c r="C273" s="79" t="inlineStr">
        <is>
          <t>Publish monthly adoption report and insights (hotspots, gaps, drift)</t>
        </is>
      </c>
      <c r="D273" s="79" t="n"/>
      <c r="E273" s="79" t="n"/>
      <c r="F273" s="79" t="inlineStr">
        <is>
          <t>Knapsack - Program/Delivery PM</t>
        </is>
      </c>
      <c r="G273" s="80" t="inlineStr">
        <is>
          <t>Knapsack</t>
        </is>
      </c>
      <c r="H273" s="80" t="inlineStr">
        <is>
          <t>Project Manager</t>
        </is>
      </c>
      <c r="I273" s="80" t="inlineStr">
        <is>
          <t>Ongoing</t>
        </is>
      </c>
      <c r="J273" s="79">
        <f>IFERROR(XLOOKUP(H273,'Lookups - JourneyDeployment'!$K$3:$K$7,'Lookups - JourneyDeployment'!$L$3:$L$7),"")</f>
        <v/>
      </c>
      <c r="K273" s="80">
        <f>A273&amp;"|"&amp;B273</f>
        <v/>
      </c>
      <c r="L273" s="85">
        <f>IFERROR(XLOOKUP(K273,'Activity Settings'!$M$2:$M$200,'Activity Settings'!$J$2:$J$200),0)</f>
        <v/>
      </c>
      <c r="M273" s="80">
        <f>IFERROR(XLOOKUP(K273,'Activity Settings'!$M$2:$M$200,'Activity Settings'!$L$2:$L$200),"Knapsack")</f>
        <v/>
      </c>
      <c r="N273" s="86">
        <f>IFERROR(XLOOKUP(J273&amp;"|"&amp;M273,Rates!$E$2:$E$13,Rates!$C$2:$C$13),0)</f>
        <v/>
      </c>
      <c r="O273" s="86">
        <f>L273*N273</f>
        <v/>
      </c>
    </row>
    <row r="274" s="74">
      <c r="A274" s="79" t="inlineStr">
        <is>
          <t>Optimization and Continued Support</t>
        </is>
      </c>
      <c r="B274" s="79" t="inlineStr">
        <is>
          <t>Adoption Analytics &amp; Reporting (Design↔Code)</t>
        </is>
      </c>
      <c r="C274" s="79" t="inlineStr">
        <is>
          <t>Maintain backlog of adoption friction and prioritize fixes</t>
        </is>
      </c>
      <c r="D274" s="79" t="inlineStr">
        <is>
          <t>Adoption Analytics Dashboard + Monthly Report</t>
        </is>
      </c>
      <c r="E274" s="79" t="inlineStr">
        <is>
          <t>Ongoing analytics and reporting across design↔code adoption and system health.</t>
        </is>
      </c>
      <c r="F274" s="79" t="inlineStr">
        <is>
          <t>Knapsack - Program/Delivery PM</t>
        </is>
      </c>
      <c r="G274" s="80" t="inlineStr">
        <is>
          <t>Knapsack</t>
        </is>
      </c>
      <c r="H274" s="80" t="inlineStr">
        <is>
          <t>Project Manager</t>
        </is>
      </c>
      <c r="I274" s="80" t="inlineStr">
        <is>
          <t>Ongoing</t>
        </is>
      </c>
      <c r="J274" s="79">
        <f>IFERROR(XLOOKUP(H274,'Lookups - JourneyDeployment'!$K$3:$K$7,'Lookups - JourneyDeployment'!$L$3:$L$7),"")</f>
        <v/>
      </c>
      <c r="K274" s="80">
        <f>A274&amp;"|"&amp;B274</f>
        <v/>
      </c>
      <c r="L274" s="85">
        <f>IFERROR(XLOOKUP(K274,'Activity Settings'!$M$2:$M$200,'Activity Settings'!$J$2:$J$200),0)</f>
        <v/>
      </c>
      <c r="M274" s="80">
        <f>IFERROR(XLOOKUP(K274,'Activity Settings'!$M$2:$M$200,'Activity Settings'!$L$2:$L$200),"Knapsack")</f>
        <v/>
      </c>
      <c r="N274" s="86">
        <f>IFERROR(XLOOKUP(J274&amp;"|"&amp;M274,Rates!$E$2:$E$13,Rates!$C$2:$C$13),0)</f>
        <v/>
      </c>
      <c r="O274" s="86">
        <f>L274*N274</f>
        <v/>
      </c>
    </row>
    <row r="275" s="74">
      <c r="A275" s="79" t="inlineStr">
        <is>
          <t>Optimization and Continued Support</t>
        </is>
      </c>
      <c r="B275" s="79" t="inlineStr">
        <is>
          <t>AI Contextual Capabilities – Guardrails, Governance &amp; Iteration</t>
        </is>
      </c>
      <c r="C275" s="79" t="inlineStr">
        <is>
          <t>Implement/maintain guardrails (allowed actions, policy filters, safe defaults)</t>
        </is>
      </c>
      <c r="D275" s="79" t="n"/>
      <c r="E275" s="79" t="n"/>
      <c r="F275" s="79" t="inlineStr">
        <is>
          <t>Knapsack - Design Systems Engineer</t>
        </is>
      </c>
      <c r="G275" s="80" t="inlineStr">
        <is>
          <t>Knapsack</t>
        </is>
      </c>
      <c r="H275" s="80" t="inlineStr">
        <is>
          <t>Engineer</t>
        </is>
      </c>
      <c r="I275" s="80" t="inlineStr">
        <is>
          <t>Ongoing</t>
        </is>
      </c>
      <c r="J275" s="79">
        <f>IFERROR(XLOOKUP(H275,'Lookups - JourneyDeployment'!$K$3:$K$7,'Lookups - JourneyDeployment'!$L$3:$L$7),"")</f>
        <v/>
      </c>
      <c r="K275" s="80">
        <f>A275&amp;"|"&amp;B275</f>
        <v/>
      </c>
      <c r="L275" s="85">
        <f>IFERROR(XLOOKUP(K275,'Activity Settings'!$M$2:$M$200,'Activity Settings'!$J$2:$J$200),0)</f>
        <v/>
      </c>
      <c r="M275" s="80">
        <f>IFERROR(XLOOKUP(K275,'Activity Settings'!$M$2:$M$200,'Activity Settings'!$L$2:$L$200),"Knapsack")</f>
        <v/>
      </c>
      <c r="N275" s="86">
        <f>IFERROR(XLOOKUP(J275&amp;"|"&amp;M275,Rates!$E$2:$E$13,Rates!$C$2:$C$13),0)</f>
        <v/>
      </c>
      <c r="O275" s="86">
        <f>L275*N275</f>
        <v/>
      </c>
    </row>
    <row r="276" s="74">
      <c r="A276" s="79" t="inlineStr">
        <is>
          <t>Optimization and Continued Support</t>
        </is>
      </c>
      <c r="B276" s="79" t="inlineStr">
        <is>
          <t>AI Contextual Capabilities – Guardrails, Governance &amp; Iteration</t>
        </is>
      </c>
      <c r="C276" s="79" t="inlineStr">
        <is>
          <t>Define AI governance board/cadence (changes, incident response, approvals)</t>
        </is>
      </c>
      <c r="D276" s="79" t="n"/>
      <c r="E276" s="79" t="n"/>
      <c r="F276" s="79" t="inlineStr">
        <is>
          <t>Knapsack - Program/Delivery PM</t>
        </is>
      </c>
      <c r="G276" s="80" t="inlineStr">
        <is>
          <t>Knapsack</t>
        </is>
      </c>
      <c r="H276" s="80" t="inlineStr">
        <is>
          <t>Project Manager</t>
        </is>
      </c>
      <c r="I276" s="80" t="inlineStr">
        <is>
          <t>Ongoing</t>
        </is>
      </c>
      <c r="J276" s="79">
        <f>IFERROR(XLOOKUP(H276,'Lookups - JourneyDeployment'!$K$3:$K$7,'Lookups - JourneyDeployment'!$L$3:$L$7),"")</f>
        <v/>
      </c>
      <c r="K276" s="80">
        <f>A276&amp;"|"&amp;B276</f>
        <v/>
      </c>
      <c r="L276" s="85">
        <f>IFERROR(XLOOKUP(K276,'Activity Settings'!$M$2:$M$200,'Activity Settings'!$J$2:$J$200),0)</f>
        <v/>
      </c>
      <c r="M276" s="80">
        <f>IFERROR(XLOOKUP(K276,'Activity Settings'!$M$2:$M$200,'Activity Settings'!$L$2:$L$200),"Knapsack")</f>
        <v/>
      </c>
      <c r="N276" s="86">
        <f>IFERROR(XLOOKUP(J276&amp;"|"&amp;M276,Rates!$E$2:$E$13,Rates!$C$2:$C$13),0)</f>
        <v/>
      </c>
      <c r="O276" s="86">
        <f>L276*N276</f>
        <v/>
      </c>
    </row>
    <row r="277" s="74">
      <c r="A277" s="79" t="inlineStr">
        <is>
          <t>Optimization and Continued Support</t>
        </is>
      </c>
      <c r="B277" s="79" t="inlineStr">
        <is>
          <t>AI Contextual Capabilities – Guardrails, Governance &amp; Iteration</t>
        </is>
      </c>
      <c r="C277" s="79" t="inlineStr">
        <is>
          <t>Run regular eval + telemetry reviews and prioritize improvements</t>
        </is>
      </c>
      <c r="D277" s="79" t="n"/>
      <c r="E277" s="79" t="n"/>
      <c r="F277" s="79" t="inlineStr">
        <is>
          <t>Knapsack - Design System / Platform SME</t>
        </is>
      </c>
      <c r="G277" s="80" t="inlineStr">
        <is>
          <t>Knapsack</t>
        </is>
      </c>
      <c r="H277" s="80" t="inlineStr">
        <is>
          <t>SME</t>
        </is>
      </c>
      <c r="I277" s="80" t="inlineStr">
        <is>
          <t>Ongoing</t>
        </is>
      </c>
      <c r="J277" s="79">
        <f>IFERROR(XLOOKUP(H277,'Lookups - JourneyDeployment'!$K$3:$K$7,'Lookups - JourneyDeployment'!$L$3:$L$7),"")</f>
        <v/>
      </c>
      <c r="K277" s="80">
        <f>A277&amp;"|"&amp;B277</f>
        <v/>
      </c>
      <c r="L277" s="85">
        <f>IFERROR(XLOOKUP(K277,'Activity Settings'!$M$2:$M$200,'Activity Settings'!$J$2:$J$200),0)</f>
        <v/>
      </c>
      <c r="M277" s="80">
        <f>IFERROR(XLOOKUP(K277,'Activity Settings'!$M$2:$M$200,'Activity Settings'!$L$2:$L$200),"Knapsack")</f>
        <v/>
      </c>
      <c r="N277" s="86">
        <f>IFERROR(XLOOKUP(J277&amp;"|"&amp;M277,Rates!$E$2:$E$13,Rates!$C$2:$C$13),0)</f>
        <v/>
      </c>
      <c r="O277" s="86">
        <f>L277*N277</f>
        <v/>
      </c>
    </row>
    <row r="278" s="74">
      <c r="A278" s="79" t="inlineStr">
        <is>
          <t>Optimization and Continued Support</t>
        </is>
      </c>
      <c r="B278" s="79" t="inlineStr">
        <is>
          <t>AI Contextual Capabilities – Guardrails, Governance &amp; Iteration</t>
        </is>
      </c>
      <c r="C278" s="79" t="inlineStr">
        <is>
          <t>Improve retrieval quality (metadata, freshness, coverage) and reduce hallucinations</t>
        </is>
      </c>
      <c r="D278" s="79" t="n"/>
      <c r="E278" s="79" t="n"/>
      <c r="F278" s="79" t="inlineStr">
        <is>
          <t>Knapsack - Design Systems Engineer</t>
        </is>
      </c>
      <c r="G278" s="80" t="inlineStr">
        <is>
          <t>Knapsack</t>
        </is>
      </c>
      <c r="H278" s="80" t="inlineStr">
        <is>
          <t>Engineer</t>
        </is>
      </c>
      <c r="I278" s="80" t="inlineStr">
        <is>
          <t>Ongoing</t>
        </is>
      </c>
      <c r="J278" s="79">
        <f>IFERROR(XLOOKUP(H278,'Lookups - JourneyDeployment'!$K$3:$K$7,'Lookups - JourneyDeployment'!$L$3:$L$7),"")</f>
        <v/>
      </c>
      <c r="K278" s="80">
        <f>A278&amp;"|"&amp;B278</f>
        <v/>
      </c>
      <c r="L278" s="85">
        <f>IFERROR(XLOOKUP(K278,'Activity Settings'!$M$2:$M$200,'Activity Settings'!$J$2:$J$200),0)</f>
        <v/>
      </c>
      <c r="M278" s="80">
        <f>IFERROR(XLOOKUP(K278,'Activity Settings'!$M$2:$M$200,'Activity Settings'!$L$2:$L$200),"Knapsack")</f>
        <v/>
      </c>
      <c r="N278" s="86">
        <f>IFERROR(XLOOKUP(J278&amp;"|"&amp;M278,Rates!$E$2:$E$13,Rates!$C$2:$C$13),0)</f>
        <v/>
      </c>
      <c r="O278" s="86">
        <f>L278*N278</f>
        <v/>
      </c>
    </row>
    <row r="279" s="74">
      <c r="A279" s="79" t="inlineStr">
        <is>
          <t>Optimization and Continued Support</t>
        </is>
      </c>
      <c r="B279" s="79" t="inlineStr">
        <is>
          <t>AI Contextual Capabilities – Guardrails, Governance &amp; Iteration</t>
        </is>
      </c>
      <c r="C279" s="79" t="inlineStr">
        <is>
          <t>Document AI change log and communicate capability updates</t>
        </is>
      </c>
      <c r="D279" s="79" t="n"/>
      <c r="E279" s="79" t="n"/>
      <c r="F279" s="79" t="inlineStr">
        <is>
          <t>Knapsack - Program/Delivery PM</t>
        </is>
      </c>
      <c r="G279" s="80" t="inlineStr">
        <is>
          <t>Knapsack</t>
        </is>
      </c>
      <c r="H279" s="80" t="inlineStr">
        <is>
          <t>Project Manager</t>
        </is>
      </c>
      <c r="I279" s="80" t="inlineStr">
        <is>
          <t>Ongoing</t>
        </is>
      </c>
      <c r="J279" s="79">
        <f>IFERROR(XLOOKUP(H279,'Lookups - JourneyDeployment'!$K$3:$K$7,'Lookups - JourneyDeployment'!$L$3:$L$7),"")</f>
        <v/>
      </c>
      <c r="K279" s="80">
        <f>A279&amp;"|"&amp;B279</f>
        <v/>
      </c>
      <c r="L279" s="85">
        <f>IFERROR(XLOOKUP(K279,'Activity Settings'!$M$2:$M$200,'Activity Settings'!$J$2:$J$200),0)</f>
        <v/>
      </c>
      <c r="M279" s="80">
        <f>IFERROR(XLOOKUP(K279,'Activity Settings'!$M$2:$M$200,'Activity Settings'!$L$2:$L$200),"Knapsack")</f>
        <v/>
      </c>
      <c r="N279" s="86">
        <f>IFERROR(XLOOKUP(J279&amp;"|"&amp;M279,Rates!$E$2:$E$13,Rates!$C$2:$C$13),0)</f>
        <v/>
      </c>
      <c r="O279" s="86">
        <f>L279*N279</f>
        <v/>
      </c>
    </row>
    <row r="280" s="74">
      <c r="A280" s="79" t="inlineStr">
        <is>
          <t>Optimization and Continued Support</t>
        </is>
      </c>
      <c r="B280" s="79" t="inlineStr">
        <is>
          <t>AI Contextual Capabilities – Guardrails, Governance &amp; Iteration</t>
        </is>
      </c>
      <c r="C280" s="79" t="inlineStr">
        <is>
          <t>Conduct periodic privacy/security review for AI integrations and data handling</t>
        </is>
      </c>
      <c r="D280" s="79" t="inlineStr">
        <is>
          <t>AI Governance + Guardrails Program</t>
        </is>
      </c>
      <c r="E280" s="79" t="inlineStr">
        <is>
          <t>Ongoing guardrails, governance cadence, eval/telemetry reviews, and privacy/security checks.</t>
        </is>
      </c>
      <c r="F280" s="79" t="inlineStr">
        <is>
          <t>Knapsack - Design System / Platform SME</t>
        </is>
      </c>
      <c r="G280" s="80" t="inlineStr">
        <is>
          <t>Knapsack</t>
        </is>
      </c>
      <c r="H280" s="80" t="inlineStr">
        <is>
          <t>SME</t>
        </is>
      </c>
      <c r="I280" s="80" t="inlineStr">
        <is>
          <t>Ongoing</t>
        </is>
      </c>
      <c r="J280" s="79">
        <f>IFERROR(XLOOKUP(H280,'Lookups - JourneyDeployment'!$K$3:$K$7,'Lookups - JourneyDeployment'!$L$3:$L$7),"")</f>
        <v/>
      </c>
      <c r="K280" s="80">
        <f>A280&amp;"|"&amp;B280</f>
        <v/>
      </c>
      <c r="L280" s="85">
        <f>IFERROR(XLOOKUP(K280,'Activity Settings'!$M$2:$M$200,'Activity Settings'!$J$2:$J$200),0)</f>
        <v/>
      </c>
      <c r="M280" s="80">
        <f>IFERROR(XLOOKUP(K280,'Activity Settings'!$M$2:$M$200,'Activity Settings'!$L$2:$L$200),"Knapsack")</f>
        <v/>
      </c>
      <c r="N280" s="86">
        <f>IFERROR(XLOOKUP(J280&amp;"|"&amp;M280,Rates!$E$2:$E$13,Rates!$C$2:$C$13),0)</f>
        <v/>
      </c>
      <c r="O280" s="86">
        <f>L280*N280</f>
        <v/>
      </c>
    </row>
    <row r="281" s="74">
      <c r="A281" s="79" t="inlineStr">
        <is>
          <t>Optimization and Continued Support</t>
        </is>
      </c>
      <c r="B281" s="79" t="inlineStr">
        <is>
          <t>AI Contextual Capabilities – Feedback Loop + Knowledge Refresh</t>
        </is>
      </c>
      <c r="C281" s="79" t="inlineStr">
        <is>
          <t>Triage user feedback and tag gaps (missing docs, components, patterns)</t>
        </is>
      </c>
      <c r="D281" s="79" t="n"/>
      <c r="E281" s="79" t="n"/>
      <c r="F281" s="79" t="inlineStr">
        <is>
          <t>Knapsack - Design System / Platform SME</t>
        </is>
      </c>
      <c r="G281" s="80" t="inlineStr">
        <is>
          <t>Knapsack</t>
        </is>
      </c>
      <c r="H281" s="80" t="inlineStr">
        <is>
          <t>SME</t>
        </is>
      </c>
      <c r="I281" s="80" t="inlineStr">
        <is>
          <t>Ongoing</t>
        </is>
      </c>
      <c r="J281" s="79">
        <f>IFERROR(XLOOKUP(H281,'Lookups - JourneyDeployment'!$K$3:$K$7,'Lookups - JourneyDeployment'!$L$3:$L$7),"")</f>
        <v/>
      </c>
      <c r="K281" s="80">
        <f>A281&amp;"|"&amp;B281</f>
        <v/>
      </c>
      <c r="L281" s="85">
        <f>IFERROR(XLOOKUP(K281,'Activity Settings'!$M$2:$M$200,'Activity Settings'!$J$2:$J$200),0)</f>
        <v/>
      </c>
      <c r="M281" s="80">
        <f>IFERROR(XLOOKUP(K281,'Activity Settings'!$M$2:$M$200,'Activity Settings'!$L$2:$L$200),"Knapsack")</f>
        <v/>
      </c>
      <c r="N281" s="86">
        <f>IFERROR(XLOOKUP(J281&amp;"|"&amp;M281,Rates!$E$2:$E$13,Rates!$C$2:$C$13),0)</f>
        <v/>
      </c>
      <c r="O281" s="86">
        <f>L281*N281</f>
        <v/>
      </c>
    </row>
    <row r="282" s="74">
      <c r="A282" s="79" t="inlineStr">
        <is>
          <t>Optimization and Continued Support</t>
        </is>
      </c>
      <c r="B282" s="79" t="inlineStr">
        <is>
          <t>AI Contextual Capabilities – Feedback Loop + Knowledge Refresh</t>
        </is>
      </c>
      <c r="C282" s="79" t="inlineStr">
        <is>
          <t>Refresh knowledge base and prompts when system changes (tokens/components/releases)</t>
        </is>
      </c>
      <c r="D282" s="79" t="n"/>
      <c r="E282" s="79" t="n"/>
      <c r="F282" s="79" t="inlineStr">
        <is>
          <t>Knapsack - Design Systems Engineer</t>
        </is>
      </c>
      <c r="G282" s="80" t="inlineStr">
        <is>
          <t>Knapsack</t>
        </is>
      </c>
      <c r="H282" s="80" t="inlineStr">
        <is>
          <t>Engineer</t>
        </is>
      </c>
      <c r="I282" s="80" t="inlineStr">
        <is>
          <t>Ongoing</t>
        </is>
      </c>
      <c r="J282" s="79">
        <f>IFERROR(XLOOKUP(H282,'Lookups - JourneyDeployment'!$K$3:$K$7,'Lookups - JourneyDeployment'!$L$3:$L$7),"")</f>
        <v/>
      </c>
      <c r="K282" s="80">
        <f>A282&amp;"|"&amp;B282</f>
        <v/>
      </c>
      <c r="L282" s="85">
        <f>IFERROR(XLOOKUP(K282,'Activity Settings'!$M$2:$M$200,'Activity Settings'!$J$2:$J$200),0)</f>
        <v/>
      </c>
      <c r="M282" s="80">
        <f>IFERROR(XLOOKUP(K282,'Activity Settings'!$M$2:$M$200,'Activity Settings'!$L$2:$L$200),"Knapsack")</f>
        <v/>
      </c>
      <c r="N282" s="86">
        <f>IFERROR(XLOOKUP(J282&amp;"|"&amp;M282,Rates!$E$2:$E$13,Rates!$C$2:$C$13),0)</f>
        <v/>
      </c>
      <c r="O282" s="86">
        <f>L282*N282</f>
        <v/>
      </c>
    </row>
    <row r="283" s="74">
      <c r="A283" s="79" t="inlineStr">
        <is>
          <t>Optimization and Continued Support</t>
        </is>
      </c>
      <c r="B283" s="79" t="inlineStr">
        <is>
          <t>AI Contextual Capabilities – Feedback Loop + Knowledge Refresh</t>
        </is>
      </c>
      <c r="C283" s="79" t="inlineStr">
        <is>
          <t>Measure impact of improvements (acceptance rate, reduced support tickets)</t>
        </is>
      </c>
      <c r="D283" s="79" t="n"/>
      <c r="E283" s="79" t="n"/>
      <c r="F283" s="79" t="inlineStr">
        <is>
          <t>Knapsack - Design System / Platform SME</t>
        </is>
      </c>
      <c r="G283" s="80" t="inlineStr">
        <is>
          <t>Knapsack</t>
        </is>
      </c>
      <c r="H283" s="80" t="inlineStr">
        <is>
          <t>SME</t>
        </is>
      </c>
      <c r="I283" s="80" t="inlineStr">
        <is>
          <t>Ongoing</t>
        </is>
      </c>
      <c r="J283" s="79">
        <f>IFERROR(XLOOKUP(H283,'Lookups - JourneyDeployment'!$K$3:$K$7,'Lookups - JourneyDeployment'!$L$3:$L$7),"")</f>
        <v/>
      </c>
      <c r="K283" s="80">
        <f>A283&amp;"|"&amp;B283</f>
        <v/>
      </c>
      <c r="L283" s="85">
        <f>IFERROR(XLOOKUP(K283,'Activity Settings'!$M$2:$M$200,'Activity Settings'!$J$2:$J$200),0)</f>
        <v/>
      </c>
      <c r="M283" s="80">
        <f>IFERROR(XLOOKUP(K283,'Activity Settings'!$M$2:$M$200,'Activity Settings'!$L$2:$L$200),"Knapsack")</f>
        <v/>
      </c>
      <c r="N283" s="86">
        <f>IFERROR(XLOOKUP(J283&amp;"|"&amp;M283,Rates!$E$2:$E$13,Rates!$C$2:$C$13),0)</f>
        <v/>
      </c>
      <c r="O283" s="86">
        <f>L283*N283</f>
        <v/>
      </c>
    </row>
    <row r="284" s="74">
      <c r="A284" s="79" t="inlineStr">
        <is>
          <t>Optimization and Continued Support</t>
        </is>
      </c>
      <c r="B284" s="79" t="inlineStr">
        <is>
          <t>AI Contextual Capabilities – Feedback Loop + Knowledge Refresh</t>
        </is>
      </c>
      <c r="C284" s="79" t="inlineStr">
        <is>
          <t>Publish quarterly AI capability maturity update</t>
        </is>
      </c>
      <c r="D284" s="79" t="inlineStr">
        <is>
          <t>Quarterly AI Context Refresh + Impact Report</t>
        </is>
      </c>
      <c r="E284" s="79" t="inlineStr">
        <is>
          <t>Feedback-driven updates to knowledge/prompting with measured impact reporting.</t>
        </is>
      </c>
      <c r="F284" s="79" t="inlineStr">
        <is>
          <t>Knapsack - Program/Delivery PM</t>
        </is>
      </c>
      <c r="G284" s="80" t="inlineStr">
        <is>
          <t>Knapsack</t>
        </is>
      </c>
      <c r="H284" s="80" t="inlineStr">
        <is>
          <t>Project Manager</t>
        </is>
      </c>
      <c r="I284" s="80" t="inlineStr">
        <is>
          <t>Ongoing</t>
        </is>
      </c>
      <c r="J284" s="79">
        <f>IFERROR(XLOOKUP(H284,'Lookups - JourneyDeployment'!$K$3:$K$7,'Lookups - JourneyDeployment'!$L$3:$L$7),"")</f>
        <v/>
      </c>
      <c r="K284" s="80">
        <f>A284&amp;"|"&amp;B284</f>
        <v/>
      </c>
      <c r="L284" s="85">
        <f>IFERROR(XLOOKUP(K284,'Activity Settings'!$M$2:$M$200,'Activity Settings'!$J$2:$J$200),0)</f>
        <v/>
      </c>
      <c r="M284" s="80">
        <f>IFERROR(XLOOKUP(K284,'Activity Settings'!$M$2:$M$200,'Activity Settings'!$L$2:$L$200),"Knapsack")</f>
        <v/>
      </c>
      <c r="N284" s="86">
        <f>IFERROR(XLOOKUP(J284&amp;"|"&amp;M284,Rates!$E$2:$E$13,Rates!$C$2:$C$13),0)</f>
        <v/>
      </c>
      <c r="O284" s="86">
        <f>L284*N284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34" customWidth="1" style="74" min="1" max="1"/>
    <col width="18" customWidth="1" style="74" min="2" max="2"/>
    <col width="18" customWidth="1" style="74" min="3" max="3"/>
    <col width="18" customWidth="1" style="74" min="4" max="4"/>
    <col width="18" customWidth="1" style="74" min="5" max="5"/>
    <col width="18" customWidth="1" style="74" min="6" max="6"/>
  </cols>
  <sheetData>
    <row r="1">
      <c r="A1" s="75" t="inlineStr">
        <is>
          <t>Estimation Summary</t>
        </is>
      </c>
    </row>
    <row r="2"/>
    <row r="3">
      <c r="A3" s="76" t="inlineStr">
        <is>
          <t>Delivery Model</t>
        </is>
      </c>
      <c r="B3" s="84">
        <f>Inputs!$B$3</f>
        <v/>
      </c>
      <c r="D3" s="77" t="inlineStr">
        <is>
          <t>Total Hours</t>
        </is>
      </c>
      <c r="E3" s="87">
        <f>SUM('Activity Settings'!$I$2:$I$200)</f>
        <v/>
      </c>
    </row>
    <row r="4">
      <c r="A4" s="76" t="inlineStr">
        <is>
          <t>Journey</t>
        </is>
      </c>
      <c r="B4" s="84">
        <f>Inputs!$B$4</f>
        <v/>
      </c>
      <c r="D4" s="77" t="inlineStr">
        <is>
          <t>Total Cost</t>
        </is>
      </c>
      <c r="E4" s="88">
        <f>SUM('WBS - Estimate'!$O$2:$O$500)</f>
        <v/>
      </c>
    </row>
    <row r="5">
      <c r="A5" s="76" t="inlineStr">
        <is>
          <t>Deployment</t>
        </is>
      </c>
      <c r="B5" s="84">
        <f>Inputs!$B$5</f>
        <v/>
      </c>
    </row>
    <row r="6">
      <c r="A6" s="76" t="inlineStr">
        <is>
          <t>Default Complexity</t>
        </is>
      </c>
      <c r="B6" s="84">
        <f>Inputs!$B$6</f>
        <v/>
      </c>
    </row>
    <row r="7">
      <c r="A7" s="76" t="inlineStr">
        <is>
          <t>Readiness Level</t>
        </is>
      </c>
      <c r="B7" s="84">
        <f>Inputs!$B$8</f>
        <v/>
      </c>
    </row>
    <row r="8">
      <c r="A8" s="76" t="inlineStr">
        <is>
          <t>Readiness Multiplier</t>
        </is>
      </c>
      <c r="B8" s="84">
        <f>Inputs!$B$7</f>
        <v/>
      </c>
    </row>
    <row r="9"/>
    <row r="10"/>
    <row r="11">
      <c r="A11" s="77" t="inlineStr">
        <is>
          <t>Hours &amp; Cost by Phase</t>
        </is>
      </c>
    </row>
    <row r="12" ht="28" customHeight="1" s="74">
      <c r="A12" s="78" t="inlineStr">
        <is>
          <t>Phase</t>
        </is>
      </c>
      <c r="B12" s="78" t="inlineStr">
        <is>
          <t>Hours</t>
        </is>
      </c>
      <c r="C12" s="78" t="inlineStr">
        <is>
          <t>Cost</t>
        </is>
      </c>
    </row>
    <row r="13">
      <c r="A13" s="79" t="inlineStr">
        <is>
          <t>Implementation + Onboarding</t>
        </is>
      </c>
      <c r="B13" s="85">
        <f>SUMIFS('Activity Settings'!$I$2:$I$200,'Activity Settings'!$A$2:$A$200,$A13)</f>
        <v/>
      </c>
      <c r="C13" s="86">
        <f>SUMIFS('WBS - Estimate'!$O$2:$O$500,'WBS - Estimate'!$A$2:$A$500,$A13)</f>
        <v/>
      </c>
    </row>
    <row r="14">
      <c r="A14" s="79" t="inlineStr">
        <is>
          <t>Scaled Rollout and Adoption</t>
        </is>
      </c>
      <c r="B14" s="85">
        <f>SUMIFS('Activity Settings'!$I$2:$I$200,'Activity Settings'!$A$2:$A$200,$A14)</f>
        <v/>
      </c>
      <c r="C14" s="86">
        <f>SUMIFS('WBS - Estimate'!$O$2:$O$500,'WBS - Estimate'!$A$2:$A$500,$A14)</f>
        <v/>
      </c>
    </row>
    <row r="15">
      <c r="A15" s="79" t="inlineStr">
        <is>
          <t>Optimization and Continued Support</t>
        </is>
      </c>
      <c r="B15" s="85">
        <f>SUMIFS('Activity Settings'!$I$2:$I$200,'Activity Settings'!$A$2:$A$200,$A15)</f>
        <v/>
      </c>
      <c r="C15" s="86">
        <f>SUMIFS('WBS - Estimate'!$O$2:$O$500,'WBS - Estimate'!$A$2:$A$500,$A15)</f>
        <v/>
      </c>
    </row>
    <row r="16"/>
    <row r="17"/>
    <row r="18">
      <c r="A18" s="77" t="inlineStr">
        <is>
          <t>Hours &amp; Cost by Provider</t>
        </is>
      </c>
    </row>
    <row r="19" ht="28" customHeight="1" s="74">
      <c r="A19" s="78" t="inlineStr">
        <is>
          <t>Provider</t>
        </is>
      </c>
      <c r="B19" s="78" t="inlineStr">
        <is>
          <t>Hours</t>
        </is>
      </c>
      <c r="C19" s="78" t="inlineStr">
        <is>
          <t>Cost</t>
        </is>
      </c>
    </row>
    <row r="20">
      <c r="A20" s="79" t="inlineStr">
        <is>
          <t>Knapsack</t>
        </is>
      </c>
      <c r="B20" s="85">
        <f>SUMIF('WBS - Estimate'!$M$2:$M$500,$A20,'WBS - Estimate'!$L$2:$L$500)</f>
        <v/>
      </c>
      <c r="C20" s="86">
        <f>SUMIF('WBS - Estimate'!$M$2:$M$500,$A20,'WBS - Estimate'!$O$2:$O$500)</f>
        <v/>
      </c>
    </row>
    <row r="21">
      <c r="A21" s="79" t="inlineStr">
        <is>
          <t>Client/SCE</t>
        </is>
      </c>
      <c r="B21" s="85">
        <f>SUMIF('WBS - Estimate'!$M$2:$M$500,$A21,'WBS - Estimate'!$L$2:$L$500)</f>
        <v/>
      </c>
      <c r="C21" s="86">
        <f>SUMIF('WBS - Estimate'!$M$2:$M$500,$A21,'WBS - Estimate'!$O$2:$O$500)</f>
        <v/>
      </c>
    </row>
    <row r="22"/>
    <row r="23"/>
    <row r="24">
      <c r="A24" s="77" t="inlineStr">
        <is>
          <t>Hours &amp; Cost by Standard Role</t>
        </is>
      </c>
    </row>
    <row r="25" ht="28" customHeight="1" s="74">
      <c r="A25" s="78" t="inlineStr">
        <is>
          <t>Standard Role</t>
        </is>
      </c>
      <c r="B25" s="78" t="inlineStr">
        <is>
          <t>Hours</t>
        </is>
      </c>
      <c r="C25" s="78" t="inlineStr">
        <is>
          <t>Cost</t>
        </is>
      </c>
    </row>
    <row r="26">
      <c r="A26" s="79" t="inlineStr">
        <is>
          <t>CX Partner</t>
        </is>
      </c>
      <c r="B26" s="85">
        <f>SUMIF('WBS - Estimate'!$J$2:$J$500,$A26,'WBS - Estimate'!$L$2:$L$500)</f>
        <v/>
      </c>
      <c r="C26" s="86">
        <f>SUMIF('WBS - Estimate'!$J$2:$J$500,$A26,'WBS - Estimate'!$O$2:$O$500)</f>
        <v/>
      </c>
    </row>
    <row r="27">
      <c r="A27" s="79" t="inlineStr">
        <is>
          <t>Project Manager</t>
        </is>
      </c>
      <c r="B27" s="85">
        <f>SUMIF('WBS - Estimate'!$J$2:$J$500,$A27,'WBS - Estimate'!$L$2:$L$500)</f>
        <v/>
      </c>
      <c r="C27" s="86">
        <f>SUMIF('WBS - Estimate'!$J$2:$J$500,$A27,'WBS - Estimate'!$O$2:$O$500)</f>
        <v/>
      </c>
    </row>
    <row r="28">
      <c r="A28" s="79" t="inlineStr">
        <is>
          <t>Solution Analyst</t>
        </is>
      </c>
      <c r="B28" s="85">
        <f>SUMIF('WBS - Estimate'!$J$2:$J$500,$A28,'WBS - Estimate'!$L$2:$L$500)</f>
        <v/>
      </c>
      <c r="C28" s="86">
        <f>SUMIF('WBS - Estimate'!$J$2:$J$500,$A28,'WBS - Estimate'!$O$2:$O$500)</f>
        <v/>
      </c>
    </row>
    <row r="29">
      <c r="A29" s="79" t="inlineStr">
        <is>
          <t>Senior Solution Analyst</t>
        </is>
      </c>
      <c r="B29" s="85">
        <f>SUMIF('WBS - Estimate'!$J$2:$J$500,$A29,'WBS - Estimate'!$L$2:$L$500)</f>
        <v/>
      </c>
      <c r="C29" s="86">
        <f>SUMIF('WBS - Estimate'!$J$2:$J$500,$A29,'WBS - Estimate'!$O$2:$O$500)</f>
        <v/>
      </c>
    </row>
    <row r="30">
      <c r="A30" s="79" t="inlineStr">
        <is>
          <t>SME</t>
        </is>
      </c>
      <c r="B30" s="85">
        <f>SUMIF('WBS - Estimate'!$J$2:$J$500,$A30,'WBS - Estimate'!$L$2:$L$500)</f>
        <v/>
      </c>
      <c r="C30" s="86">
        <f>SUMIF('WBS - Estimate'!$J$2:$J$500,$A30,'WBS - Estimate'!$O$2:$O$500)</f>
        <v/>
      </c>
    </row>
    <row r="31">
      <c r="A31" s="79" t="inlineStr">
        <is>
          <t>Executive</t>
        </is>
      </c>
      <c r="B31" s="85">
        <f>SUMIF('WBS - Estimate'!$J$2:$J$500,$A31,'WBS - Estimate'!$L$2:$L$500)</f>
        <v/>
      </c>
      <c r="C31" s="86">
        <f>SUMIF('WBS - Estimate'!$J$2:$J$500,$A31,'WBS - Estimate'!$O$2:$O$500)</f>
        <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01"/>
  <sheetViews>
    <sheetView showGridLines="0" workbookViewId="0">
      <pane ySplit="1" topLeftCell="A2" activePane="bottomLeft" state="frozen"/>
      <selection pane="bottomLeft" activeCell="A1" sqref="A1"/>
    </sheetView>
  </sheetViews>
  <sheetFormatPr baseColWidth="8" defaultRowHeight="15"/>
  <cols>
    <col width="6" customWidth="1" style="74" min="1" max="1"/>
    <col width="14" customWidth="1" style="74" min="2" max="2"/>
    <col width="26" customWidth="1" style="74" min="3" max="3"/>
    <col width="44" customWidth="1" style="74" min="4" max="4"/>
    <col width="18" customWidth="1" style="74" min="5" max="5"/>
    <col width="14" customWidth="1" style="74" min="6" max="6"/>
    <col width="16" customWidth="1" style="74" min="7" max="7"/>
    <col width="10" customWidth="1" style="74" min="8" max="8"/>
    <col width="14" customWidth="1" style="74" min="9" max="9"/>
    <col width="38" customWidth="1" style="74" min="10" max="10"/>
    <col width="12" customWidth="1" style="74" min="11" max="11"/>
    <col width="12" customWidth="1" style="74" min="12" max="12"/>
    <col width="12" customWidth="1" style="74" min="13" max="13"/>
    <col width="22" customWidth="1" style="74" min="14" max="14"/>
  </cols>
  <sheetData>
    <row r="1" ht="28" customHeight="1" s="74">
      <c r="A1" s="78" t="inlineStr">
        <is>
          <t>ID</t>
        </is>
      </c>
      <c r="B1" s="78" t="inlineStr">
        <is>
          <t>Type</t>
        </is>
      </c>
      <c r="C1" s="78" t="inlineStr">
        <is>
          <t>Title</t>
        </is>
      </c>
      <c r="D1" s="78" t="inlineStr">
        <is>
          <t>Description</t>
        </is>
      </c>
      <c r="E1" s="78" t="inlineStr">
        <is>
          <t>Owner</t>
        </is>
      </c>
      <c r="F1" s="78" t="inlineStr">
        <is>
          <t>Impact (1-5)</t>
        </is>
      </c>
      <c r="G1" s="78" t="inlineStr">
        <is>
          <t>Probability (1-5)</t>
        </is>
      </c>
      <c r="H1" s="78" t="inlineStr">
        <is>
          <t>Score</t>
        </is>
      </c>
      <c r="I1" s="78" t="inlineStr">
        <is>
          <t>Status</t>
        </is>
      </c>
      <c r="J1" s="78" t="inlineStr">
        <is>
          <t>Mitigation / Next Steps</t>
        </is>
      </c>
      <c r="K1" s="78" t="inlineStr">
        <is>
          <t>Due Date</t>
        </is>
      </c>
      <c r="L1" s="78" t="inlineStr">
        <is>
          <t>Date Opened</t>
        </is>
      </c>
      <c r="M1" s="78" t="inlineStr">
        <is>
          <t>Date Closed</t>
        </is>
      </c>
      <c r="N1" s="78" t="inlineStr">
        <is>
          <t>Notes</t>
        </is>
      </c>
    </row>
    <row r="2">
      <c r="A2" s="80" t="n">
        <v>1</v>
      </c>
      <c r="B2" s="79" t="n"/>
      <c r="C2" s="79" t="n"/>
      <c r="D2" s="79" t="n"/>
      <c r="E2" s="79" t="n"/>
      <c r="F2" s="80" t="n"/>
      <c r="G2" s="80" t="n"/>
      <c r="H2" s="80">
        <f>IF(OR(F2="",G2=""),"",F2*G2)</f>
        <v/>
      </c>
      <c r="I2" s="79" t="n"/>
      <c r="J2" s="79" t="n"/>
      <c r="K2" s="80" t="n"/>
      <c r="L2" s="80" t="n"/>
      <c r="M2" s="80" t="n"/>
      <c r="N2" s="79" t="n"/>
    </row>
    <row r="3">
      <c r="A3" s="80" t="n">
        <v>2</v>
      </c>
      <c r="B3" s="79" t="n"/>
      <c r="C3" s="79" t="n"/>
      <c r="D3" s="79" t="n"/>
      <c r="E3" s="79" t="n"/>
      <c r="F3" s="80" t="n"/>
      <c r="G3" s="80" t="n"/>
      <c r="H3" s="80">
        <f>IF(OR(F3="",G3=""),"",F3*G3)</f>
        <v/>
      </c>
      <c r="I3" s="79" t="n"/>
      <c r="J3" s="79" t="n"/>
      <c r="K3" s="80" t="n"/>
      <c r="L3" s="80" t="n"/>
      <c r="M3" s="80" t="n"/>
      <c r="N3" s="79" t="n"/>
    </row>
    <row r="4">
      <c r="A4" s="80" t="n">
        <v>3</v>
      </c>
      <c r="B4" s="79" t="n"/>
      <c r="C4" s="79" t="n"/>
      <c r="D4" s="79" t="n"/>
      <c r="E4" s="79" t="n"/>
      <c r="F4" s="80" t="n"/>
      <c r="G4" s="80" t="n"/>
      <c r="H4" s="80">
        <f>IF(OR(F4="",G4=""),"",F4*G4)</f>
        <v/>
      </c>
      <c r="I4" s="79" t="n"/>
      <c r="J4" s="79" t="n"/>
      <c r="K4" s="80" t="n"/>
      <c r="L4" s="80" t="n"/>
      <c r="M4" s="80" t="n"/>
      <c r="N4" s="79" t="n"/>
    </row>
    <row r="5">
      <c r="A5" s="80" t="n">
        <v>4</v>
      </c>
      <c r="B5" s="79" t="n"/>
      <c r="C5" s="79" t="n"/>
      <c r="D5" s="79" t="n"/>
      <c r="E5" s="79" t="n"/>
      <c r="F5" s="80" t="n"/>
      <c r="G5" s="80" t="n"/>
      <c r="H5" s="80">
        <f>IF(OR(F5="",G5=""),"",F5*G5)</f>
        <v/>
      </c>
      <c r="I5" s="79" t="n"/>
      <c r="J5" s="79" t="n"/>
      <c r="K5" s="80" t="n"/>
      <c r="L5" s="80" t="n"/>
      <c r="M5" s="80" t="n"/>
      <c r="N5" s="79" t="n"/>
    </row>
    <row r="6">
      <c r="A6" s="80" t="n">
        <v>5</v>
      </c>
      <c r="B6" s="79" t="n"/>
      <c r="C6" s="79" t="n"/>
      <c r="D6" s="79" t="n"/>
      <c r="E6" s="79" t="n"/>
      <c r="F6" s="80" t="n"/>
      <c r="G6" s="80" t="n"/>
      <c r="H6" s="80">
        <f>IF(OR(F6="",G6=""),"",F6*G6)</f>
        <v/>
      </c>
      <c r="I6" s="79" t="n"/>
      <c r="J6" s="79" t="n"/>
      <c r="K6" s="80" t="n"/>
      <c r="L6" s="80" t="n"/>
      <c r="M6" s="80" t="n"/>
      <c r="N6" s="79" t="n"/>
    </row>
    <row r="7">
      <c r="A7" s="80" t="n">
        <v>6</v>
      </c>
      <c r="B7" s="79" t="n"/>
      <c r="C7" s="79" t="n"/>
      <c r="D7" s="79" t="n"/>
      <c r="E7" s="79" t="n"/>
      <c r="F7" s="80" t="n"/>
      <c r="G7" s="80" t="n"/>
      <c r="H7" s="80">
        <f>IF(OR(F7="",G7=""),"",F7*G7)</f>
        <v/>
      </c>
      <c r="I7" s="79" t="n"/>
      <c r="J7" s="79" t="n"/>
      <c r="K7" s="80" t="n"/>
      <c r="L7" s="80" t="n"/>
      <c r="M7" s="80" t="n"/>
      <c r="N7" s="79" t="n"/>
    </row>
    <row r="8">
      <c r="A8" s="80" t="n">
        <v>7</v>
      </c>
      <c r="B8" s="79" t="n"/>
      <c r="C8" s="79" t="n"/>
      <c r="D8" s="79" t="n"/>
      <c r="E8" s="79" t="n"/>
      <c r="F8" s="80" t="n"/>
      <c r="G8" s="80" t="n"/>
      <c r="H8" s="80">
        <f>IF(OR(F8="",G8=""),"",F8*G8)</f>
        <v/>
      </c>
      <c r="I8" s="79" t="n"/>
      <c r="J8" s="79" t="n"/>
      <c r="K8" s="80" t="n"/>
      <c r="L8" s="80" t="n"/>
      <c r="M8" s="80" t="n"/>
      <c r="N8" s="79" t="n"/>
    </row>
    <row r="9">
      <c r="A9" s="80" t="n">
        <v>8</v>
      </c>
      <c r="B9" s="79" t="n"/>
      <c r="C9" s="79" t="n"/>
      <c r="D9" s="79" t="n"/>
      <c r="E9" s="79" t="n"/>
      <c r="F9" s="80" t="n"/>
      <c r="G9" s="80" t="n"/>
      <c r="H9" s="80">
        <f>IF(OR(F9="",G9=""),"",F9*G9)</f>
        <v/>
      </c>
      <c r="I9" s="79" t="n"/>
      <c r="J9" s="79" t="n"/>
      <c r="K9" s="80" t="n"/>
      <c r="L9" s="80" t="n"/>
      <c r="M9" s="80" t="n"/>
      <c r="N9" s="79" t="n"/>
    </row>
    <row r="10">
      <c r="A10" s="80" t="n">
        <v>9</v>
      </c>
      <c r="B10" s="79" t="n"/>
      <c r="C10" s="79" t="n"/>
      <c r="D10" s="79" t="n"/>
      <c r="E10" s="79" t="n"/>
      <c r="F10" s="80" t="n"/>
      <c r="G10" s="80" t="n"/>
      <c r="H10" s="80">
        <f>IF(OR(F10="",G10=""),"",F10*G10)</f>
        <v/>
      </c>
      <c r="I10" s="79" t="n"/>
      <c r="J10" s="79" t="n"/>
      <c r="K10" s="80" t="n"/>
      <c r="L10" s="80" t="n"/>
      <c r="M10" s="80" t="n"/>
      <c r="N10" s="79" t="n"/>
    </row>
    <row r="11">
      <c r="A11" s="80" t="n">
        <v>10</v>
      </c>
      <c r="B11" s="79" t="n"/>
      <c r="C11" s="79" t="n"/>
      <c r="D11" s="79" t="n"/>
      <c r="E11" s="79" t="n"/>
      <c r="F11" s="80" t="n"/>
      <c r="G11" s="80" t="n"/>
      <c r="H11" s="80">
        <f>IF(OR(F11="",G11=""),"",F11*G11)</f>
        <v/>
      </c>
      <c r="I11" s="79" t="n"/>
      <c r="J11" s="79" t="n"/>
      <c r="K11" s="80" t="n"/>
      <c r="L11" s="80" t="n"/>
      <c r="M11" s="80" t="n"/>
      <c r="N11" s="79" t="n"/>
    </row>
    <row r="12">
      <c r="A12" s="80" t="n">
        <v>11</v>
      </c>
      <c r="B12" s="79" t="n"/>
      <c r="C12" s="79" t="n"/>
      <c r="D12" s="79" t="n"/>
      <c r="E12" s="79" t="n"/>
      <c r="F12" s="80" t="n"/>
      <c r="G12" s="80" t="n"/>
      <c r="H12" s="80">
        <f>IF(OR(F12="",G12=""),"",F12*G12)</f>
        <v/>
      </c>
      <c r="I12" s="79" t="n"/>
      <c r="J12" s="79" t="n"/>
      <c r="K12" s="80" t="n"/>
      <c r="L12" s="80" t="n"/>
      <c r="M12" s="80" t="n"/>
      <c r="N12" s="79" t="n"/>
    </row>
    <row r="13">
      <c r="A13" s="80" t="n">
        <v>12</v>
      </c>
      <c r="B13" s="79" t="n"/>
      <c r="C13" s="79" t="n"/>
      <c r="D13" s="79" t="n"/>
      <c r="E13" s="79" t="n"/>
      <c r="F13" s="80" t="n"/>
      <c r="G13" s="80" t="n"/>
      <c r="H13" s="80">
        <f>IF(OR(F13="",G13=""),"",F13*G13)</f>
        <v/>
      </c>
      <c r="I13" s="79" t="n"/>
      <c r="J13" s="79" t="n"/>
      <c r="K13" s="80" t="n"/>
      <c r="L13" s="80" t="n"/>
      <c r="M13" s="80" t="n"/>
      <c r="N13" s="79" t="n"/>
    </row>
    <row r="14">
      <c r="A14" s="80" t="n">
        <v>13</v>
      </c>
      <c r="B14" s="79" t="n"/>
      <c r="C14" s="79" t="n"/>
      <c r="D14" s="79" t="n"/>
      <c r="E14" s="79" t="n"/>
      <c r="F14" s="80" t="n"/>
      <c r="G14" s="80" t="n"/>
      <c r="H14" s="80">
        <f>IF(OR(F14="",G14=""),"",F14*G14)</f>
        <v/>
      </c>
      <c r="I14" s="79" t="n"/>
      <c r="J14" s="79" t="n"/>
      <c r="K14" s="80" t="n"/>
      <c r="L14" s="80" t="n"/>
      <c r="M14" s="80" t="n"/>
      <c r="N14" s="79" t="n"/>
    </row>
    <row r="15">
      <c r="A15" s="80" t="n">
        <v>14</v>
      </c>
      <c r="B15" s="79" t="n"/>
      <c r="C15" s="79" t="n"/>
      <c r="D15" s="79" t="n"/>
      <c r="E15" s="79" t="n"/>
      <c r="F15" s="80" t="n"/>
      <c r="G15" s="80" t="n"/>
      <c r="H15" s="80">
        <f>IF(OR(F15="",G15=""),"",F15*G15)</f>
        <v/>
      </c>
      <c r="I15" s="79" t="n"/>
      <c r="J15" s="79" t="n"/>
      <c r="K15" s="80" t="n"/>
      <c r="L15" s="80" t="n"/>
      <c r="M15" s="80" t="n"/>
      <c r="N15" s="79" t="n"/>
    </row>
    <row r="16">
      <c r="A16" s="80" t="n">
        <v>15</v>
      </c>
      <c r="B16" s="79" t="n"/>
      <c r="C16" s="79" t="n"/>
      <c r="D16" s="79" t="n"/>
      <c r="E16" s="79" t="n"/>
      <c r="F16" s="80" t="n"/>
      <c r="G16" s="80" t="n"/>
      <c r="H16" s="80">
        <f>IF(OR(F16="",G16=""),"",F16*G16)</f>
        <v/>
      </c>
      <c r="I16" s="79" t="n"/>
      <c r="J16" s="79" t="n"/>
      <c r="K16" s="80" t="n"/>
      <c r="L16" s="80" t="n"/>
      <c r="M16" s="80" t="n"/>
      <c r="N16" s="79" t="n"/>
    </row>
    <row r="17">
      <c r="A17" s="80" t="n">
        <v>16</v>
      </c>
      <c r="B17" s="79" t="n"/>
      <c r="C17" s="79" t="n"/>
      <c r="D17" s="79" t="n"/>
      <c r="E17" s="79" t="n"/>
      <c r="F17" s="80" t="n"/>
      <c r="G17" s="80" t="n"/>
      <c r="H17" s="80">
        <f>IF(OR(F17="",G17=""),"",F17*G17)</f>
        <v/>
      </c>
      <c r="I17" s="79" t="n"/>
      <c r="J17" s="79" t="n"/>
      <c r="K17" s="80" t="n"/>
      <c r="L17" s="80" t="n"/>
      <c r="M17" s="80" t="n"/>
      <c r="N17" s="79" t="n"/>
    </row>
    <row r="18">
      <c r="A18" s="80" t="n">
        <v>17</v>
      </c>
      <c r="B18" s="79" t="n"/>
      <c r="C18" s="79" t="n"/>
      <c r="D18" s="79" t="n"/>
      <c r="E18" s="79" t="n"/>
      <c r="F18" s="80" t="n"/>
      <c r="G18" s="80" t="n"/>
      <c r="H18" s="80">
        <f>IF(OR(F18="",G18=""),"",F18*G18)</f>
        <v/>
      </c>
      <c r="I18" s="79" t="n"/>
      <c r="J18" s="79" t="n"/>
      <c r="K18" s="80" t="n"/>
      <c r="L18" s="80" t="n"/>
      <c r="M18" s="80" t="n"/>
      <c r="N18" s="79" t="n"/>
    </row>
    <row r="19">
      <c r="A19" s="80" t="n">
        <v>18</v>
      </c>
      <c r="B19" s="79" t="n"/>
      <c r="C19" s="79" t="n"/>
      <c r="D19" s="79" t="n"/>
      <c r="E19" s="79" t="n"/>
      <c r="F19" s="80" t="n"/>
      <c r="G19" s="80" t="n"/>
      <c r="H19" s="80">
        <f>IF(OR(F19="",G19=""),"",F19*G19)</f>
        <v/>
      </c>
      <c r="I19" s="79" t="n"/>
      <c r="J19" s="79" t="n"/>
      <c r="K19" s="80" t="n"/>
      <c r="L19" s="80" t="n"/>
      <c r="M19" s="80" t="n"/>
      <c r="N19" s="79" t="n"/>
    </row>
    <row r="20">
      <c r="A20" s="80" t="n">
        <v>19</v>
      </c>
      <c r="B20" s="79" t="n"/>
      <c r="C20" s="79" t="n"/>
      <c r="D20" s="79" t="n"/>
      <c r="E20" s="79" t="n"/>
      <c r="F20" s="80" t="n"/>
      <c r="G20" s="80" t="n"/>
      <c r="H20" s="80">
        <f>IF(OR(F20="",G20=""),"",F20*G20)</f>
        <v/>
      </c>
      <c r="I20" s="79" t="n"/>
      <c r="J20" s="79" t="n"/>
      <c r="K20" s="80" t="n"/>
      <c r="L20" s="80" t="n"/>
      <c r="M20" s="80" t="n"/>
      <c r="N20" s="79" t="n"/>
    </row>
    <row r="21">
      <c r="A21" s="80" t="n">
        <v>20</v>
      </c>
      <c r="B21" s="79" t="n"/>
      <c r="C21" s="79" t="n"/>
      <c r="D21" s="79" t="n"/>
      <c r="E21" s="79" t="n"/>
      <c r="F21" s="80" t="n"/>
      <c r="G21" s="80" t="n"/>
      <c r="H21" s="80">
        <f>IF(OR(F21="",G21=""),"",F21*G21)</f>
        <v/>
      </c>
      <c r="I21" s="79" t="n"/>
      <c r="J21" s="79" t="n"/>
      <c r="K21" s="80" t="n"/>
      <c r="L21" s="80" t="n"/>
      <c r="M21" s="80" t="n"/>
      <c r="N21" s="79" t="n"/>
    </row>
    <row r="22">
      <c r="A22" s="80" t="n">
        <v>21</v>
      </c>
      <c r="B22" s="79" t="n"/>
      <c r="C22" s="79" t="n"/>
      <c r="D22" s="79" t="n"/>
      <c r="E22" s="79" t="n"/>
      <c r="F22" s="80" t="n"/>
      <c r="G22" s="80" t="n"/>
      <c r="H22" s="80">
        <f>IF(OR(F22="",G22=""),"",F22*G22)</f>
        <v/>
      </c>
      <c r="I22" s="79" t="n"/>
      <c r="J22" s="79" t="n"/>
      <c r="K22" s="80" t="n"/>
      <c r="L22" s="80" t="n"/>
      <c r="M22" s="80" t="n"/>
      <c r="N22" s="79" t="n"/>
    </row>
    <row r="23">
      <c r="A23" s="80" t="n">
        <v>22</v>
      </c>
      <c r="B23" s="79" t="n"/>
      <c r="C23" s="79" t="n"/>
      <c r="D23" s="79" t="n"/>
      <c r="E23" s="79" t="n"/>
      <c r="F23" s="80" t="n"/>
      <c r="G23" s="80" t="n"/>
      <c r="H23" s="80">
        <f>IF(OR(F23="",G23=""),"",F23*G23)</f>
        <v/>
      </c>
      <c r="I23" s="79" t="n"/>
      <c r="J23" s="79" t="n"/>
      <c r="K23" s="80" t="n"/>
      <c r="L23" s="80" t="n"/>
      <c r="M23" s="80" t="n"/>
      <c r="N23" s="79" t="n"/>
    </row>
    <row r="24">
      <c r="A24" s="80" t="n">
        <v>23</v>
      </c>
      <c r="B24" s="79" t="n"/>
      <c r="C24" s="79" t="n"/>
      <c r="D24" s="79" t="n"/>
      <c r="E24" s="79" t="n"/>
      <c r="F24" s="80" t="n"/>
      <c r="G24" s="80" t="n"/>
      <c r="H24" s="80">
        <f>IF(OR(F24="",G24=""),"",F24*G24)</f>
        <v/>
      </c>
      <c r="I24" s="79" t="n"/>
      <c r="J24" s="79" t="n"/>
      <c r="K24" s="80" t="n"/>
      <c r="L24" s="80" t="n"/>
      <c r="M24" s="80" t="n"/>
      <c r="N24" s="79" t="n"/>
    </row>
    <row r="25">
      <c r="A25" s="80" t="n">
        <v>24</v>
      </c>
      <c r="B25" s="79" t="n"/>
      <c r="C25" s="79" t="n"/>
      <c r="D25" s="79" t="n"/>
      <c r="E25" s="79" t="n"/>
      <c r="F25" s="80" t="n"/>
      <c r="G25" s="80" t="n"/>
      <c r="H25" s="80">
        <f>IF(OR(F25="",G25=""),"",F25*G25)</f>
        <v/>
      </c>
      <c r="I25" s="79" t="n"/>
      <c r="J25" s="79" t="n"/>
      <c r="K25" s="80" t="n"/>
      <c r="L25" s="80" t="n"/>
      <c r="M25" s="80" t="n"/>
      <c r="N25" s="79" t="n"/>
    </row>
    <row r="26">
      <c r="A26" s="80" t="n">
        <v>25</v>
      </c>
      <c r="B26" s="79" t="n"/>
      <c r="C26" s="79" t="n"/>
      <c r="D26" s="79" t="n"/>
      <c r="E26" s="79" t="n"/>
      <c r="F26" s="80" t="n"/>
      <c r="G26" s="80" t="n"/>
      <c r="H26" s="80">
        <f>IF(OR(F26="",G26=""),"",F26*G26)</f>
        <v/>
      </c>
      <c r="I26" s="79" t="n"/>
      <c r="J26" s="79" t="n"/>
      <c r="K26" s="80" t="n"/>
      <c r="L26" s="80" t="n"/>
      <c r="M26" s="80" t="n"/>
      <c r="N26" s="79" t="n"/>
    </row>
    <row r="27">
      <c r="A27" s="80" t="n">
        <v>26</v>
      </c>
      <c r="B27" s="79" t="n"/>
      <c r="C27" s="79" t="n"/>
      <c r="D27" s="79" t="n"/>
      <c r="E27" s="79" t="n"/>
      <c r="F27" s="80" t="n"/>
      <c r="G27" s="80" t="n"/>
      <c r="H27" s="80">
        <f>IF(OR(F27="",G27=""),"",F27*G27)</f>
        <v/>
      </c>
      <c r="I27" s="79" t="n"/>
      <c r="J27" s="79" t="n"/>
      <c r="K27" s="80" t="n"/>
      <c r="L27" s="80" t="n"/>
      <c r="M27" s="80" t="n"/>
      <c r="N27" s="79" t="n"/>
    </row>
    <row r="28">
      <c r="A28" s="80" t="n">
        <v>27</v>
      </c>
      <c r="B28" s="79" t="n"/>
      <c r="C28" s="79" t="n"/>
      <c r="D28" s="79" t="n"/>
      <c r="E28" s="79" t="n"/>
      <c r="F28" s="80" t="n"/>
      <c r="G28" s="80" t="n"/>
      <c r="H28" s="80">
        <f>IF(OR(F28="",G28=""),"",F28*G28)</f>
        <v/>
      </c>
      <c r="I28" s="79" t="n"/>
      <c r="J28" s="79" t="n"/>
      <c r="K28" s="80" t="n"/>
      <c r="L28" s="80" t="n"/>
      <c r="M28" s="80" t="n"/>
      <c r="N28" s="79" t="n"/>
    </row>
    <row r="29">
      <c r="A29" s="80" t="n">
        <v>28</v>
      </c>
      <c r="B29" s="79" t="n"/>
      <c r="C29" s="79" t="n"/>
      <c r="D29" s="79" t="n"/>
      <c r="E29" s="79" t="n"/>
      <c r="F29" s="80" t="n"/>
      <c r="G29" s="80" t="n"/>
      <c r="H29" s="80">
        <f>IF(OR(F29="",G29=""),"",F29*G29)</f>
        <v/>
      </c>
      <c r="I29" s="79" t="n"/>
      <c r="J29" s="79" t="n"/>
      <c r="K29" s="80" t="n"/>
      <c r="L29" s="80" t="n"/>
      <c r="M29" s="80" t="n"/>
      <c r="N29" s="79" t="n"/>
    </row>
    <row r="30">
      <c r="A30" s="80" t="n">
        <v>29</v>
      </c>
      <c r="B30" s="79" t="n"/>
      <c r="C30" s="79" t="n"/>
      <c r="D30" s="79" t="n"/>
      <c r="E30" s="79" t="n"/>
      <c r="F30" s="80" t="n"/>
      <c r="G30" s="80" t="n"/>
      <c r="H30" s="80">
        <f>IF(OR(F30="",G30=""),"",F30*G30)</f>
        <v/>
      </c>
      <c r="I30" s="79" t="n"/>
      <c r="J30" s="79" t="n"/>
      <c r="K30" s="80" t="n"/>
      <c r="L30" s="80" t="n"/>
      <c r="M30" s="80" t="n"/>
      <c r="N30" s="79" t="n"/>
    </row>
    <row r="31">
      <c r="A31" s="80" t="n">
        <v>30</v>
      </c>
      <c r="B31" s="79" t="n"/>
      <c r="C31" s="79" t="n"/>
      <c r="D31" s="79" t="n"/>
      <c r="E31" s="79" t="n"/>
      <c r="F31" s="80" t="n"/>
      <c r="G31" s="80" t="n"/>
      <c r="H31" s="80">
        <f>IF(OR(F31="",G31=""),"",F31*G31)</f>
        <v/>
      </c>
      <c r="I31" s="79" t="n"/>
      <c r="J31" s="79" t="n"/>
      <c r="K31" s="80" t="n"/>
      <c r="L31" s="80" t="n"/>
      <c r="M31" s="80" t="n"/>
      <c r="N31" s="79" t="n"/>
    </row>
    <row r="32">
      <c r="A32" s="80" t="n">
        <v>31</v>
      </c>
      <c r="B32" s="79" t="n"/>
      <c r="C32" s="79" t="n"/>
      <c r="D32" s="79" t="n"/>
      <c r="E32" s="79" t="n"/>
      <c r="F32" s="80" t="n"/>
      <c r="G32" s="80" t="n"/>
      <c r="H32" s="80">
        <f>IF(OR(F32="",G32=""),"",F32*G32)</f>
        <v/>
      </c>
      <c r="I32" s="79" t="n"/>
      <c r="J32" s="79" t="n"/>
      <c r="K32" s="80" t="n"/>
      <c r="L32" s="80" t="n"/>
      <c r="M32" s="80" t="n"/>
      <c r="N32" s="79" t="n"/>
    </row>
    <row r="33">
      <c r="A33" s="80" t="n">
        <v>32</v>
      </c>
      <c r="B33" s="79" t="n"/>
      <c r="C33" s="79" t="n"/>
      <c r="D33" s="79" t="n"/>
      <c r="E33" s="79" t="n"/>
      <c r="F33" s="80" t="n"/>
      <c r="G33" s="80" t="n"/>
      <c r="H33" s="80">
        <f>IF(OR(F33="",G33=""),"",F33*G33)</f>
        <v/>
      </c>
      <c r="I33" s="79" t="n"/>
      <c r="J33" s="79" t="n"/>
      <c r="K33" s="80" t="n"/>
      <c r="L33" s="80" t="n"/>
      <c r="M33" s="80" t="n"/>
      <c r="N33" s="79" t="n"/>
    </row>
    <row r="34">
      <c r="A34" s="80" t="n">
        <v>33</v>
      </c>
      <c r="B34" s="79" t="n"/>
      <c r="C34" s="79" t="n"/>
      <c r="D34" s="79" t="n"/>
      <c r="E34" s="79" t="n"/>
      <c r="F34" s="80" t="n"/>
      <c r="G34" s="80" t="n"/>
      <c r="H34" s="80">
        <f>IF(OR(F34="",G34=""),"",F34*G34)</f>
        <v/>
      </c>
      <c r="I34" s="79" t="n"/>
      <c r="J34" s="79" t="n"/>
      <c r="K34" s="80" t="n"/>
      <c r="L34" s="80" t="n"/>
      <c r="M34" s="80" t="n"/>
      <c r="N34" s="79" t="n"/>
    </row>
    <row r="35">
      <c r="A35" s="80" t="n">
        <v>34</v>
      </c>
      <c r="B35" s="79" t="n"/>
      <c r="C35" s="79" t="n"/>
      <c r="D35" s="79" t="n"/>
      <c r="E35" s="79" t="n"/>
      <c r="F35" s="80" t="n"/>
      <c r="G35" s="80" t="n"/>
      <c r="H35" s="80">
        <f>IF(OR(F35="",G35=""),"",F35*G35)</f>
        <v/>
      </c>
      <c r="I35" s="79" t="n"/>
      <c r="J35" s="79" t="n"/>
      <c r="K35" s="80" t="n"/>
      <c r="L35" s="80" t="n"/>
      <c r="M35" s="80" t="n"/>
      <c r="N35" s="79" t="n"/>
    </row>
    <row r="36">
      <c r="A36" s="80" t="n">
        <v>35</v>
      </c>
      <c r="B36" s="79" t="n"/>
      <c r="C36" s="79" t="n"/>
      <c r="D36" s="79" t="n"/>
      <c r="E36" s="79" t="n"/>
      <c r="F36" s="80" t="n"/>
      <c r="G36" s="80" t="n"/>
      <c r="H36" s="80">
        <f>IF(OR(F36="",G36=""),"",F36*G36)</f>
        <v/>
      </c>
      <c r="I36" s="79" t="n"/>
      <c r="J36" s="79" t="n"/>
      <c r="K36" s="80" t="n"/>
      <c r="L36" s="80" t="n"/>
      <c r="M36" s="80" t="n"/>
      <c r="N36" s="79" t="n"/>
    </row>
    <row r="37">
      <c r="A37" s="80" t="n">
        <v>36</v>
      </c>
      <c r="B37" s="79" t="n"/>
      <c r="C37" s="79" t="n"/>
      <c r="D37" s="79" t="n"/>
      <c r="E37" s="79" t="n"/>
      <c r="F37" s="80" t="n"/>
      <c r="G37" s="80" t="n"/>
      <c r="H37" s="80">
        <f>IF(OR(F37="",G37=""),"",F37*G37)</f>
        <v/>
      </c>
      <c r="I37" s="79" t="n"/>
      <c r="J37" s="79" t="n"/>
      <c r="K37" s="80" t="n"/>
      <c r="L37" s="80" t="n"/>
      <c r="M37" s="80" t="n"/>
      <c r="N37" s="79" t="n"/>
    </row>
    <row r="38">
      <c r="A38" s="80" t="n">
        <v>37</v>
      </c>
      <c r="B38" s="79" t="n"/>
      <c r="C38" s="79" t="n"/>
      <c r="D38" s="79" t="n"/>
      <c r="E38" s="79" t="n"/>
      <c r="F38" s="80" t="n"/>
      <c r="G38" s="80" t="n"/>
      <c r="H38" s="80">
        <f>IF(OR(F38="",G38=""),"",F38*G38)</f>
        <v/>
      </c>
      <c r="I38" s="79" t="n"/>
      <c r="J38" s="79" t="n"/>
      <c r="K38" s="80" t="n"/>
      <c r="L38" s="80" t="n"/>
      <c r="M38" s="80" t="n"/>
      <c r="N38" s="79" t="n"/>
    </row>
    <row r="39">
      <c r="A39" s="80" t="n">
        <v>38</v>
      </c>
      <c r="B39" s="79" t="n"/>
      <c r="C39" s="79" t="n"/>
      <c r="D39" s="79" t="n"/>
      <c r="E39" s="79" t="n"/>
      <c r="F39" s="80" t="n"/>
      <c r="G39" s="80" t="n"/>
      <c r="H39" s="80">
        <f>IF(OR(F39="",G39=""),"",F39*G39)</f>
        <v/>
      </c>
      <c r="I39" s="79" t="n"/>
      <c r="J39" s="79" t="n"/>
      <c r="K39" s="80" t="n"/>
      <c r="L39" s="80" t="n"/>
      <c r="M39" s="80" t="n"/>
      <c r="N39" s="79" t="n"/>
    </row>
    <row r="40">
      <c r="A40" s="80" t="n">
        <v>39</v>
      </c>
      <c r="B40" s="79" t="n"/>
      <c r="C40" s="79" t="n"/>
      <c r="D40" s="79" t="n"/>
      <c r="E40" s="79" t="n"/>
      <c r="F40" s="80" t="n"/>
      <c r="G40" s="80" t="n"/>
      <c r="H40" s="80">
        <f>IF(OR(F40="",G40=""),"",F40*G40)</f>
        <v/>
      </c>
      <c r="I40" s="79" t="n"/>
      <c r="J40" s="79" t="n"/>
      <c r="K40" s="80" t="n"/>
      <c r="L40" s="80" t="n"/>
      <c r="M40" s="80" t="n"/>
      <c r="N40" s="79" t="n"/>
    </row>
    <row r="41">
      <c r="A41" s="80" t="n">
        <v>40</v>
      </c>
      <c r="B41" s="79" t="n"/>
      <c r="C41" s="79" t="n"/>
      <c r="D41" s="79" t="n"/>
      <c r="E41" s="79" t="n"/>
      <c r="F41" s="80" t="n"/>
      <c r="G41" s="80" t="n"/>
      <c r="H41" s="80">
        <f>IF(OR(F41="",G41=""),"",F41*G41)</f>
        <v/>
      </c>
      <c r="I41" s="79" t="n"/>
      <c r="J41" s="79" t="n"/>
      <c r="K41" s="80" t="n"/>
      <c r="L41" s="80" t="n"/>
      <c r="M41" s="80" t="n"/>
      <c r="N41" s="79" t="n"/>
    </row>
    <row r="42">
      <c r="A42" s="80" t="n">
        <v>41</v>
      </c>
      <c r="B42" s="79" t="n"/>
      <c r="C42" s="79" t="n"/>
      <c r="D42" s="79" t="n"/>
      <c r="E42" s="79" t="n"/>
      <c r="F42" s="80" t="n"/>
      <c r="G42" s="80" t="n"/>
      <c r="H42" s="80">
        <f>IF(OR(F42="",G42=""),"",F42*G42)</f>
        <v/>
      </c>
      <c r="I42" s="79" t="n"/>
      <c r="J42" s="79" t="n"/>
      <c r="K42" s="80" t="n"/>
      <c r="L42" s="80" t="n"/>
      <c r="M42" s="80" t="n"/>
      <c r="N42" s="79" t="n"/>
    </row>
    <row r="43">
      <c r="A43" s="80" t="n">
        <v>42</v>
      </c>
      <c r="B43" s="79" t="n"/>
      <c r="C43" s="79" t="n"/>
      <c r="D43" s="79" t="n"/>
      <c r="E43" s="79" t="n"/>
      <c r="F43" s="80" t="n"/>
      <c r="G43" s="80" t="n"/>
      <c r="H43" s="80">
        <f>IF(OR(F43="",G43=""),"",F43*G43)</f>
        <v/>
      </c>
      <c r="I43" s="79" t="n"/>
      <c r="J43" s="79" t="n"/>
      <c r="K43" s="80" t="n"/>
      <c r="L43" s="80" t="n"/>
      <c r="M43" s="80" t="n"/>
      <c r="N43" s="79" t="n"/>
    </row>
    <row r="44">
      <c r="A44" s="80" t="n">
        <v>43</v>
      </c>
      <c r="B44" s="79" t="n"/>
      <c r="C44" s="79" t="n"/>
      <c r="D44" s="79" t="n"/>
      <c r="E44" s="79" t="n"/>
      <c r="F44" s="80" t="n"/>
      <c r="G44" s="80" t="n"/>
      <c r="H44" s="80">
        <f>IF(OR(F44="",G44=""),"",F44*G44)</f>
        <v/>
      </c>
      <c r="I44" s="79" t="n"/>
      <c r="J44" s="79" t="n"/>
      <c r="K44" s="80" t="n"/>
      <c r="L44" s="80" t="n"/>
      <c r="M44" s="80" t="n"/>
      <c r="N44" s="79" t="n"/>
    </row>
    <row r="45">
      <c r="A45" s="80" t="n">
        <v>44</v>
      </c>
      <c r="B45" s="79" t="n"/>
      <c r="C45" s="79" t="n"/>
      <c r="D45" s="79" t="n"/>
      <c r="E45" s="79" t="n"/>
      <c r="F45" s="80" t="n"/>
      <c r="G45" s="80" t="n"/>
      <c r="H45" s="80">
        <f>IF(OR(F45="",G45=""),"",F45*G45)</f>
        <v/>
      </c>
      <c r="I45" s="79" t="n"/>
      <c r="J45" s="79" t="n"/>
      <c r="K45" s="80" t="n"/>
      <c r="L45" s="80" t="n"/>
      <c r="M45" s="80" t="n"/>
      <c r="N45" s="79" t="n"/>
    </row>
    <row r="46">
      <c r="A46" s="80" t="n">
        <v>45</v>
      </c>
      <c r="B46" s="79" t="n"/>
      <c r="C46" s="79" t="n"/>
      <c r="D46" s="79" t="n"/>
      <c r="E46" s="79" t="n"/>
      <c r="F46" s="80" t="n"/>
      <c r="G46" s="80" t="n"/>
      <c r="H46" s="80">
        <f>IF(OR(F46="",G46=""),"",F46*G46)</f>
        <v/>
      </c>
      <c r="I46" s="79" t="n"/>
      <c r="J46" s="79" t="n"/>
      <c r="K46" s="80" t="n"/>
      <c r="L46" s="80" t="n"/>
      <c r="M46" s="80" t="n"/>
      <c r="N46" s="79" t="n"/>
    </row>
    <row r="47">
      <c r="A47" s="80" t="n">
        <v>46</v>
      </c>
      <c r="B47" s="79" t="n"/>
      <c r="C47" s="79" t="n"/>
      <c r="D47" s="79" t="n"/>
      <c r="E47" s="79" t="n"/>
      <c r="F47" s="80" t="n"/>
      <c r="G47" s="80" t="n"/>
      <c r="H47" s="80">
        <f>IF(OR(F47="",G47=""),"",F47*G47)</f>
        <v/>
      </c>
      <c r="I47" s="79" t="n"/>
      <c r="J47" s="79" t="n"/>
      <c r="K47" s="80" t="n"/>
      <c r="L47" s="80" t="n"/>
      <c r="M47" s="80" t="n"/>
      <c r="N47" s="79" t="n"/>
    </row>
    <row r="48">
      <c r="A48" s="80" t="n">
        <v>47</v>
      </c>
      <c r="B48" s="79" t="n"/>
      <c r="C48" s="79" t="n"/>
      <c r="D48" s="79" t="n"/>
      <c r="E48" s="79" t="n"/>
      <c r="F48" s="80" t="n"/>
      <c r="G48" s="80" t="n"/>
      <c r="H48" s="80">
        <f>IF(OR(F48="",G48=""),"",F48*G48)</f>
        <v/>
      </c>
      <c r="I48" s="79" t="n"/>
      <c r="J48" s="79" t="n"/>
      <c r="K48" s="80" t="n"/>
      <c r="L48" s="80" t="n"/>
      <c r="M48" s="80" t="n"/>
      <c r="N48" s="79" t="n"/>
    </row>
    <row r="49">
      <c r="A49" s="80" t="n">
        <v>48</v>
      </c>
      <c r="B49" s="79" t="n"/>
      <c r="C49" s="79" t="n"/>
      <c r="D49" s="79" t="n"/>
      <c r="E49" s="79" t="n"/>
      <c r="F49" s="80" t="n"/>
      <c r="G49" s="80" t="n"/>
      <c r="H49" s="80">
        <f>IF(OR(F49="",G49=""),"",F49*G49)</f>
        <v/>
      </c>
      <c r="I49" s="79" t="n"/>
      <c r="J49" s="79" t="n"/>
      <c r="K49" s="80" t="n"/>
      <c r="L49" s="80" t="n"/>
      <c r="M49" s="80" t="n"/>
      <c r="N49" s="79" t="n"/>
    </row>
    <row r="50">
      <c r="A50" s="80" t="n">
        <v>49</v>
      </c>
      <c r="B50" s="79" t="n"/>
      <c r="C50" s="79" t="n"/>
      <c r="D50" s="79" t="n"/>
      <c r="E50" s="79" t="n"/>
      <c r="F50" s="80" t="n"/>
      <c r="G50" s="80" t="n"/>
      <c r="H50" s="80">
        <f>IF(OR(F50="",G50=""),"",F50*G50)</f>
        <v/>
      </c>
      <c r="I50" s="79" t="n"/>
      <c r="J50" s="79" t="n"/>
      <c r="K50" s="80" t="n"/>
      <c r="L50" s="80" t="n"/>
      <c r="M50" s="80" t="n"/>
      <c r="N50" s="79" t="n"/>
    </row>
    <row r="51">
      <c r="A51" s="80" t="n">
        <v>50</v>
      </c>
      <c r="B51" s="79" t="n"/>
      <c r="C51" s="79" t="n"/>
      <c r="D51" s="79" t="n"/>
      <c r="E51" s="79" t="n"/>
      <c r="F51" s="80" t="n"/>
      <c r="G51" s="80" t="n"/>
      <c r="H51" s="80">
        <f>IF(OR(F51="",G51=""),"",F51*G51)</f>
        <v/>
      </c>
      <c r="I51" s="79" t="n"/>
      <c r="J51" s="79" t="n"/>
      <c r="K51" s="80" t="n"/>
      <c r="L51" s="80" t="n"/>
      <c r="M51" s="80" t="n"/>
      <c r="N51" s="79" t="n"/>
    </row>
    <row r="52">
      <c r="A52" s="80" t="n">
        <v>51</v>
      </c>
      <c r="B52" s="79" t="n"/>
      <c r="C52" s="79" t="n"/>
      <c r="D52" s="79" t="n"/>
      <c r="E52" s="79" t="n"/>
      <c r="F52" s="80" t="n"/>
      <c r="G52" s="80" t="n"/>
      <c r="H52" s="80">
        <f>IF(OR(F52="",G52=""),"",F52*G52)</f>
        <v/>
      </c>
      <c r="I52" s="79" t="n"/>
      <c r="J52" s="79" t="n"/>
      <c r="K52" s="80" t="n"/>
      <c r="L52" s="80" t="n"/>
      <c r="M52" s="80" t="n"/>
      <c r="N52" s="79" t="n"/>
    </row>
    <row r="53">
      <c r="A53" s="80" t="n">
        <v>52</v>
      </c>
      <c r="B53" s="79" t="n"/>
      <c r="C53" s="79" t="n"/>
      <c r="D53" s="79" t="n"/>
      <c r="E53" s="79" t="n"/>
      <c r="F53" s="80" t="n"/>
      <c r="G53" s="80" t="n"/>
      <c r="H53" s="80">
        <f>IF(OR(F53="",G53=""),"",F53*G53)</f>
        <v/>
      </c>
      <c r="I53" s="79" t="n"/>
      <c r="J53" s="79" t="n"/>
      <c r="K53" s="80" t="n"/>
      <c r="L53" s="80" t="n"/>
      <c r="M53" s="80" t="n"/>
      <c r="N53" s="79" t="n"/>
    </row>
    <row r="54">
      <c r="A54" s="80" t="n">
        <v>53</v>
      </c>
      <c r="B54" s="79" t="n"/>
      <c r="C54" s="79" t="n"/>
      <c r="D54" s="79" t="n"/>
      <c r="E54" s="79" t="n"/>
      <c r="F54" s="80" t="n"/>
      <c r="G54" s="80" t="n"/>
      <c r="H54" s="80">
        <f>IF(OR(F54="",G54=""),"",F54*G54)</f>
        <v/>
      </c>
      <c r="I54" s="79" t="n"/>
      <c r="J54" s="79" t="n"/>
      <c r="K54" s="80" t="n"/>
      <c r="L54" s="80" t="n"/>
      <c r="M54" s="80" t="n"/>
      <c r="N54" s="79" t="n"/>
    </row>
    <row r="55">
      <c r="A55" s="80" t="n">
        <v>54</v>
      </c>
      <c r="B55" s="79" t="n"/>
      <c r="C55" s="79" t="n"/>
      <c r="D55" s="79" t="n"/>
      <c r="E55" s="79" t="n"/>
      <c r="F55" s="80" t="n"/>
      <c r="G55" s="80" t="n"/>
      <c r="H55" s="80">
        <f>IF(OR(F55="",G55=""),"",F55*G55)</f>
        <v/>
      </c>
      <c r="I55" s="79" t="n"/>
      <c r="J55" s="79" t="n"/>
      <c r="K55" s="80" t="n"/>
      <c r="L55" s="80" t="n"/>
      <c r="M55" s="80" t="n"/>
      <c r="N55" s="79" t="n"/>
    </row>
    <row r="56">
      <c r="A56" s="80" t="n">
        <v>55</v>
      </c>
      <c r="B56" s="79" t="n"/>
      <c r="C56" s="79" t="n"/>
      <c r="D56" s="79" t="n"/>
      <c r="E56" s="79" t="n"/>
      <c r="F56" s="80" t="n"/>
      <c r="G56" s="80" t="n"/>
      <c r="H56" s="80">
        <f>IF(OR(F56="",G56=""),"",F56*G56)</f>
        <v/>
      </c>
      <c r="I56" s="79" t="n"/>
      <c r="J56" s="79" t="n"/>
      <c r="K56" s="80" t="n"/>
      <c r="L56" s="80" t="n"/>
      <c r="M56" s="80" t="n"/>
      <c r="N56" s="79" t="n"/>
    </row>
    <row r="57">
      <c r="A57" s="80" t="n">
        <v>56</v>
      </c>
      <c r="B57" s="79" t="n"/>
      <c r="C57" s="79" t="n"/>
      <c r="D57" s="79" t="n"/>
      <c r="E57" s="79" t="n"/>
      <c r="F57" s="80" t="n"/>
      <c r="G57" s="80" t="n"/>
      <c r="H57" s="80">
        <f>IF(OR(F57="",G57=""),"",F57*G57)</f>
        <v/>
      </c>
      <c r="I57" s="79" t="n"/>
      <c r="J57" s="79" t="n"/>
      <c r="K57" s="80" t="n"/>
      <c r="L57" s="80" t="n"/>
      <c r="M57" s="80" t="n"/>
      <c r="N57" s="79" t="n"/>
    </row>
    <row r="58">
      <c r="A58" s="80" t="n">
        <v>57</v>
      </c>
      <c r="B58" s="79" t="n"/>
      <c r="C58" s="79" t="n"/>
      <c r="D58" s="79" t="n"/>
      <c r="E58" s="79" t="n"/>
      <c r="F58" s="80" t="n"/>
      <c r="G58" s="80" t="n"/>
      <c r="H58" s="80">
        <f>IF(OR(F58="",G58=""),"",F58*G58)</f>
        <v/>
      </c>
      <c r="I58" s="79" t="n"/>
      <c r="J58" s="79" t="n"/>
      <c r="K58" s="80" t="n"/>
      <c r="L58" s="80" t="n"/>
      <c r="M58" s="80" t="n"/>
      <c r="N58" s="79" t="n"/>
    </row>
    <row r="59">
      <c r="A59" s="80" t="n">
        <v>58</v>
      </c>
      <c r="B59" s="79" t="n"/>
      <c r="C59" s="79" t="n"/>
      <c r="D59" s="79" t="n"/>
      <c r="E59" s="79" t="n"/>
      <c r="F59" s="80" t="n"/>
      <c r="G59" s="80" t="n"/>
      <c r="H59" s="80">
        <f>IF(OR(F59="",G59=""),"",F59*G59)</f>
        <v/>
      </c>
      <c r="I59" s="79" t="n"/>
      <c r="J59" s="79" t="n"/>
      <c r="K59" s="80" t="n"/>
      <c r="L59" s="80" t="n"/>
      <c r="M59" s="80" t="n"/>
      <c r="N59" s="79" t="n"/>
    </row>
    <row r="60">
      <c r="A60" s="80" t="n">
        <v>59</v>
      </c>
      <c r="B60" s="79" t="n"/>
      <c r="C60" s="79" t="n"/>
      <c r="D60" s="79" t="n"/>
      <c r="E60" s="79" t="n"/>
      <c r="F60" s="80" t="n"/>
      <c r="G60" s="80" t="n"/>
      <c r="H60" s="80">
        <f>IF(OR(F60="",G60=""),"",F60*G60)</f>
        <v/>
      </c>
      <c r="I60" s="79" t="n"/>
      <c r="J60" s="79" t="n"/>
      <c r="K60" s="80" t="n"/>
      <c r="L60" s="80" t="n"/>
      <c r="M60" s="80" t="n"/>
      <c r="N60" s="79" t="n"/>
    </row>
    <row r="61">
      <c r="A61" s="80" t="n">
        <v>60</v>
      </c>
      <c r="B61" s="79" t="n"/>
      <c r="C61" s="79" t="n"/>
      <c r="D61" s="79" t="n"/>
      <c r="E61" s="79" t="n"/>
      <c r="F61" s="80" t="n"/>
      <c r="G61" s="80" t="n"/>
      <c r="H61" s="80">
        <f>IF(OR(F61="",G61=""),"",F61*G61)</f>
        <v/>
      </c>
      <c r="I61" s="79" t="n"/>
      <c r="J61" s="79" t="n"/>
      <c r="K61" s="80" t="n"/>
      <c r="L61" s="80" t="n"/>
      <c r="M61" s="80" t="n"/>
      <c r="N61" s="79" t="n"/>
    </row>
    <row r="62">
      <c r="A62" s="80" t="n">
        <v>61</v>
      </c>
      <c r="B62" s="79" t="n"/>
      <c r="C62" s="79" t="n"/>
      <c r="D62" s="79" t="n"/>
      <c r="E62" s="79" t="n"/>
      <c r="F62" s="80" t="n"/>
      <c r="G62" s="80" t="n"/>
      <c r="H62" s="80">
        <f>IF(OR(F62="",G62=""),"",F62*G62)</f>
        <v/>
      </c>
      <c r="I62" s="79" t="n"/>
      <c r="J62" s="79" t="n"/>
      <c r="K62" s="80" t="n"/>
      <c r="L62" s="80" t="n"/>
      <c r="M62" s="80" t="n"/>
      <c r="N62" s="79" t="n"/>
    </row>
    <row r="63">
      <c r="A63" s="80" t="n">
        <v>62</v>
      </c>
      <c r="B63" s="79" t="n"/>
      <c r="C63" s="79" t="n"/>
      <c r="D63" s="79" t="n"/>
      <c r="E63" s="79" t="n"/>
      <c r="F63" s="80" t="n"/>
      <c r="G63" s="80" t="n"/>
      <c r="H63" s="80">
        <f>IF(OR(F63="",G63=""),"",F63*G63)</f>
        <v/>
      </c>
      <c r="I63" s="79" t="n"/>
      <c r="J63" s="79" t="n"/>
      <c r="K63" s="80" t="n"/>
      <c r="L63" s="80" t="n"/>
      <c r="M63" s="80" t="n"/>
      <c r="N63" s="79" t="n"/>
    </row>
    <row r="64">
      <c r="A64" s="80" t="n">
        <v>63</v>
      </c>
      <c r="B64" s="79" t="n"/>
      <c r="C64" s="79" t="n"/>
      <c r="D64" s="79" t="n"/>
      <c r="E64" s="79" t="n"/>
      <c r="F64" s="80" t="n"/>
      <c r="G64" s="80" t="n"/>
      <c r="H64" s="80">
        <f>IF(OR(F64="",G64=""),"",F64*G64)</f>
        <v/>
      </c>
      <c r="I64" s="79" t="n"/>
      <c r="J64" s="79" t="n"/>
      <c r="K64" s="80" t="n"/>
      <c r="L64" s="80" t="n"/>
      <c r="M64" s="80" t="n"/>
      <c r="N64" s="79" t="n"/>
    </row>
    <row r="65">
      <c r="A65" s="80" t="n">
        <v>64</v>
      </c>
      <c r="B65" s="79" t="n"/>
      <c r="C65" s="79" t="n"/>
      <c r="D65" s="79" t="n"/>
      <c r="E65" s="79" t="n"/>
      <c r="F65" s="80" t="n"/>
      <c r="G65" s="80" t="n"/>
      <c r="H65" s="80">
        <f>IF(OR(F65="",G65=""),"",F65*G65)</f>
        <v/>
      </c>
      <c r="I65" s="79" t="n"/>
      <c r="J65" s="79" t="n"/>
      <c r="K65" s="80" t="n"/>
      <c r="L65" s="80" t="n"/>
      <c r="M65" s="80" t="n"/>
      <c r="N65" s="79" t="n"/>
    </row>
    <row r="66">
      <c r="A66" s="80" t="n">
        <v>65</v>
      </c>
      <c r="B66" s="79" t="n"/>
      <c r="C66" s="79" t="n"/>
      <c r="D66" s="79" t="n"/>
      <c r="E66" s="79" t="n"/>
      <c r="F66" s="80" t="n"/>
      <c r="G66" s="80" t="n"/>
      <c r="H66" s="80">
        <f>IF(OR(F66="",G66=""),"",F66*G66)</f>
        <v/>
      </c>
      <c r="I66" s="79" t="n"/>
      <c r="J66" s="79" t="n"/>
      <c r="K66" s="80" t="n"/>
      <c r="L66" s="80" t="n"/>
      <c r="M66" s="80" t="n"/>
      <c r="N66" s="79" t="n"/>
    </row>
    <row r="67">
      <c r="A67" s="80" t="n">
        <v>66</v>
      </c>
      <c r="B67" s="79" t="n"/>
      <c r="C67" s="79" t="n"/>
      <c r="D67" s="79" t="n"/>
      <c r="E67" s="79" t="n"/>
      <c r="F67" s="80" t="n"/>
      <c r="G67" s="80" t="n"/>
      <c r="H67" s="80">
        <f>IF(OR(F67="",G67=""),"",F67*G67)</f>
        <v/>
      </c>
      <c r="I67" s="79" t="n"/>
      <c r="J67" s="79" t="n"/>
      <c r="K67" s="80" t="n"/>
      <c r="L67" s="80" t="n"/>
      <c r="M67" s="80" t="n"/>
      <c r="N67" s="79" t="n"/>
    </row>
    <row r="68">
      <c r="A68" s="80" t="n">
        <v>67</v>
      </c>
      <c r="B68" s="79" t="n"/>
      <c r="C68" s="79" t="n"/>
      <c r="D68" s="79" t="n"/>
      <c r="E68" s="79" t="n"/>
      <c r="F68" s="80" t="n"/>
      <c r="G68" s="80" t="n"/>
      <c r="H68" s="80">
        <f>IF(OR(F68="",G68=""),"",F68*G68)</f>
        <v/>
      </c>
      <c r="I68" s="79" t="n"/>
      <c r="J68" s="79" t="n"/>
      <c r="K68" s="80" t="n"/>
      <c r="L68" s="80" t="n"/>
      <c r="M68" s="80" t="n"/>
      <c r="N68" s="79" t="n"/>
    </row>
    <row r="69">
      <c r="A69" s="80" t="n">
        <v>68</v>
      </c>
      <c r="B69" s="79" t="n"/>
      <c r="C69" s="79" t="n"/>
      <c r="D69" s="79" t="n"/>
      <c r="E69" s="79" t="n"/>
      <c r="F69" s="80" t="n"/>
      <c r="G69" s="80" t="n"/>
      <c r="H69" s="80">
        <f>IF(OR(F69="",G69=""),"",F69*G69)</f>
        <v/>
      </c>
      <c r="I69" s="79" t="n"/>
      <c r="J69" s="79" t="n"/>
      <c r="K69" s="80" t="n"/>
      <c r="L69" s="80" t="n"/>
      <c r="M69" s="80" t="n"/>
      <c r="N69" s="79" t="n"/>
    </row>
    <row r="70">
      <c r="A70" s="80" t="n">
        <v>69</v>
      </c>
      <c r="B70" s="79" t="n"/>
      <c r="C70" s="79" t="n"/>
      <c r="D70" s="79" t="n"/>
      <c r="E70" s="79" t="n"/>
      <c r="F70" s="80" t="n"/>
      <c r="G70" s="80" t="n"/>
      <c r="H70" s="80">
        <f>IF(OR(F70="",G70=""),"",F70*G70)</f>
        <v/>
      </c>
      <c r="I70" s="79" t="n"/>
      <c r="J70" s="79" t="n"/>
      <c r="K70" s="80" t="n"/>
      <c r="L70" s="80" t="n"/>
      <c r="M70" s="80" t="n"/>
      <c r="N70" s="79" t="n"/>
    </row>
    <row r="71">
      <c r="A71" s="80" t="n">
        <v>70</v>
      </c>
      <c r="B71" s="79" t="n"/>
      <c r="C71" s="79" t="n"/>
      <c r="D71" s="79" t="n"/>
      <c r="E71" s="79" t="n"/>
      <c r="F71" s="80" t="n"/>
      <c r="G71" s="80" t="n"/>
      <c r="H71" s="80">
        <f>IF(OR(F71="",G71=""),"",F71*G71)</f>
        <v/>
      </c>
      <c r="I71" s="79" t="n"/>
      <c r="J71" s="79" t="n"/>
      <c r="K71" s="80" t="n"/>
      <c r="L71" s="80" t="n"/>
      <c r="M71" s="80" t="n"/>
      <c r="N71" s="79" t="n"/>
    </row>
    <row r="72">
      <c r="A72" s="80" t="n">
        <v>71</v>
      </c>
      <c r="B72" s="79" t="n"/>
      <c r="C72" s="79" t="n"/>
      <c r="D72" s="79" t="n"/>
      <c r="E72" s="79" t="n"/>
      <c r="F72" s="80" t="n"/>
      <c r="G72" s="80" t="n"/>
      <c r="H72" s="80">
        <f>IF(OR(F72="",G72=""),"",F72*G72)</f>
        <v/>
      </c>
      <c r="I72" s="79" t="n"/>
      <c r="J72" s="79" t="n"/>
      <c r="K72" s="80" t="n"/>
      <c r="L72" s="80" t="n"/>
      <c r="M72" s="80" t="n"/>
      <c r="N72" s="79" t="n"/>
    </row>
    <row r="73">
      <c r="A73" s="80" t="n">
        <v>72</v>
      </c>
      <c r="B73" s="79" t="n"/>
      <c r="C73" s="79" t="n"/>
      <c r="D73" s="79" t="n"/>
      <c r="E73" s="79" t="n"/>
      <c r="F73" s="80" t="n"/>
      <c r="G73" s="80" t="n"/>
      <c r="H73" s="80">
        <f>IF(OR(F73="",G73=""),"",F73*G73)</f>
        <v/>
      </c>
      <c r="I73" s="79" t="n"/>
      <c r="J73" s="79" t="n"/>
      <c r="K73" s="80" t="n"/>
      <c r="L73" s="80" t="n"/>
      <c r="M73" s="80" t="n"/>
      <c r="N73" s="79" t="n"/>
    </row>
    <row r="74">
      <c r="A74" s="80" t="n">
        <v>73</v>
      </c>
      <c r="B74" s="79" t="n"/>
      <c r="C74" s="79" t="n"/>
      <c r="D74" s="79" t="n"/>
      <c r="E74" s="79" t="n"/>
      <c r="F74" s="80" t="n"/>
      <c r="G74" s="80" t="n"/>
      <c r="H74" s="80">
        <f>IF(OR(F74="",G74=""),"",F74*G74)</f>
        <v/>
      </c>
      <c r="I74" s="79" t="n"/>
      <c r="J74" s="79" t="n"/>
      <c r="K74" s="80" t="n"/>
      <c r="L74" s="80" t="n"/>
      <c r="M74" s="80" t="n"/>
      <c r="N74" s="79" t="n"/>
    </row>
    <row r="75">
      <c r="A75" s="80" t="n">
        <v>74</v>
      </c>
      <c r="B75" s="79" t="n"/>
      <c r="C75" s="79" t="n"/>
      <c r="D75" s="79" t="n"/>
      <c r="E75" s="79" t="n"/>
      <c r="F75" s="80" t="n"/>
      <c r="G75" s="80" t="n"/>
      <c r="H75" s="80">
        <f>IF(OR(F75="",G75=""),"",F75*G75)</f>
        <v/>
      </c>
      <c r="I75" s="79" t="n"/>
      <c r="J75" s="79" t="n"/>
      <c r="K75" s="80" t="n"/>
      <c r="L75" s="80" t="n"/>
      <c r="M75" s="80" t="n"/>
      <c r="N75" s="79" t="n"/>
    </row>
    <row r="76">
      <c r="A76" s="80" t="n">
        <v>75</v>
      </c>
      <c r="B76" s="79" t="n"/>
      <c r="C76" s="79" t="n"/>
      <c r="D76" s="79" t="n"/>
      <c r="E76" s="79" t="n"/>
      <c r="F76" s="80" t="n"/>
      <c r="G76" s="80" t="n"/>
      <c r="H76" s="80">
        <f>IF(OR(F76="",G76=""),"",F76*G76)</f>
        <v/>
      </c>
      <c r="I76" s="79" t="n"/>
      <c r="J76" s="79" t="n"/>
      <c r="K76" s="80" t="n"/>
      <c r="L76" s="80" t="n"/>
      <c r="M76" s="80" t="n"/>
      <c r="N76" s="79" t="n"/>
    </row>
    <row r="77">
      <c r="A77" s="80" t="n">
        <v>76</v>
      </c>
      <c r="B77" s="79" t="n"/>
      <c r="C77" s="79" t="n"/>
      <c r="D77" s="79" t="n"/>
      <c r="E77" s="79" t="n"/>
      <c r="F77" s="80" t="n"/>
      <c r="G77" s="80" t="n"/>
      <c r="H77" s="80">
        <f>IF(OR(F77="",G77=""),"",F77*G77)</f>
        <v/>
      </c>
      <c r="I77" s="79" t="n"/>
      <c r="J77" s="79" t="n"/>
      <c r="K77" s="80" t="n"/>
      <c r="L77" s="80" t="n"/>
      <c r="M77" s="80" t="n"/>
      <c r="N77" s="79" t="n"/>
    </row>
    <row r="78">
      <c r="A78" s="80" t="n">
        <v>77</v>
      </c>
      <c r="B78" s="79" t="n"/>
      <c r="C78" s="79" t="n"/>
      <c r="D78" s="79" t="n"/>
      <c r="E78" s="79" t="n"/>
      <c r="F78" s="80" t="n"/>
      <c r="G78" s="80" t="n"/>
      <c r="H78" s="80">
        <f>IF(OR(F78="",G78=""),"",F78*G78)</f>
        <v/>
      </c>
      <c r="I78" s="79" t="n"/>
      <c r="J78" s="79" t="n"/>
      <c r="K78" s="80" t="n"/>
      <c r="L78" s="80" t="n"/>
      <c r="M78" s="80" t="n"/>
      <c r="N78" s="79" t="n"/>
    </row>
    <row r="79">
      <c r="A79" s="80" t="n">
        <v>78</v>
      </c>
      <c r="B79" s="79" t="n"/>
      <c r="C79" s="79" t="n"/>
      <c r="D79" s="79" t="n"/>
      <c r="E79" s="79" t="n"/>
      <c r="F79" s="80" t="n"/>
      <c r="G79" s="80" t="n"/>
      <c r="H79" s="80">
        <f>IF(OR(F79="",G79=""),"",F79*G79)</f>
        <v/>
      </c>
      <c r="I79" s="79" t="n"/>
      <c r="J79" s="79" t="n"/>
      <c r="K79" s="80" t="n"/>
      <c r="L79" s="80" t="n"/>
      <c r="M79" s="80" t="n"/>
      <c r="N79" s="79" t="n"/>
    </row>
    <row r="80">
      <c r="A80" s="80" t="n">
        <v>79</v>
      </c>
      <c r="B80" s="79" t="n"/>
      <c r="C80" s="79" t="n"/>
      <c r="D80" s="79" t="n"/>
      <c r="E80" s="79" t="n"/>
      <c r="F80" s="80" t="n"/>
      <c r="G80" s="80" t="n"/>
      <c r="H80" s="80">
        <f>IF(OR(F80="",G80=""),"",F80*G80)</f>
        <v/>
      </c>
      <c r="I80" s="79" t="n"/>
      <c r="J80" s="79" t="n"/>
      <c r="K80" s="80" t="n"/>
      <c r="L80" s="80" t="n"/>
      <c r="M80" s="80" t="n"/>
      <c r="N80" s="79" t="n"/>
    </row>
    <row r="81">
      <c r="A81" s="80" t="n">
        <v>80</v>
      </c>
      <c r="B81" s="79" t="n"/>
      <c r="C81" s="79" t="n"/>
      <c r="D81" s="79" t="n"/>
      <c r="E81" s="79" t="n"/>
      <c r="F81" s="80" t="n"/>
      <c r="G81" s="80" t="n"/>
      <c r="H81" s="80">
        <f>IF(OR(F81="",G81=""),"",F81*G81)</f>
        <v/>
      </c>
      <c r="I81" s="79" t="n"/>
      <c r="J81" s="79" t="n"/>
      <c r="K81" s="80" t="n"/>
      <c r="L81" s="80" t="n"/>
      <c r="M81" s="80" t="n"/>
      <c r="N81" s="79" t="n"/>
    </row>
    <row r="82">
      <c r="A82" s="80" t="n">
        <v>81</v>
      </c>
      <c r="B82" s="79" t="n"/>
      <c r="C82" s="79" t="n"/>
      <c r="D82" s="79" t="n"/>
      <c r="E82" s="79" t="n"/>
      <c r="F82" s="80" t="n"/>
      <c r="G82" s="80" t="n"/>
      <c r="H82" s="80">
        <f>IF(OR(F82="",G82=""),"",F82*G82)</f>
        <v/>
      </c>
      <c r="I82" s="79" t="n"/>
      <c r="J82" s="79" t="n"/>
      <c r="K82" s="80" t="n"/>
      <c r="L82" s="80" t="n"/>
      <c r="M82" s="80" t="n"/>
      <c r="N82" s="79" t="n"/>
    </row>
    <row r="83">
      <c r="A83" s="80" t="n">
        <v>82</v>
      </c>
      <c r="B83" s="79" t="n"/>
      <c r="C83" s="79" t="n"/>
      <c r="D83" s="79" t="n"/>
      <c r="E83" s="79" t="n"/>
      <c r="F83" s="80" t="n"/>
      <c r="G83" s="80" t="n"/>
      <c r="H83" s="80">
        <f>IF(OR(F83="",G83=""),"",F83*G83)</f>
        <v/>
      </c>
      <c r="I83" s="79" t="n"/>
      <c r="J83" s="79" t="n"/>
      <c r="K83" s="80" t="n"/>
      <c r="L83" s="80" t="n"/>
      <c r="M83" s="80" t="n"/>
      <c r="N83" s="79" t="n"/>
    </row>
    <row r="84">
      <c r="A84" s="80" t="n">
        <v>83</v>
      </c>
      <c r="B84" s="79" t="n"/>
      <c r="C84" s="79" t="n"/>
      <c r="D84" s="79" t="n"/>
      <c r="E84" s="79" t="n"/>
      <c r="F84" s="80" t="n"/>
      <c r="G84" s="80" t="n"/>
      <c r="H84" s="80">
        <f>IF(OR(F84="",G84=""),"",F84*G84)</f>
        <v/>
      </c>
      <c r="I84" s="79" t="n"/>
      <c r="J84" s="79" t="n"/>
      <c r="K84" s="80" t="n"/>
      <c r="L84" s="80" t="n"/>
      <c r="M84" s="80" t="n"/>
      <c r="N84" s="79" t="n"/>
    </row>
    <row r="85">
      <c r="A85" s="80" t="n">
        <v>84</v>
      </c>
      <c r="B85" s="79" t="n"/>
      <c r="C85" s="79" t="n"/>
      <c r="D85" s="79" t="n"/>
      <c r="E85" s="79" t="n"/>
      <c r="F85" s="80" t="n"/>
      <c r="G85" s="80" t="n"/>
      <c r="H85" s="80">
        <f>IF(OR(F85="",G85=""),"",F85*G85)</f>
        <v/>
      </c>
      <c r="I85" s="79" t="n"/>
      <c r="J85" s="79" t="n"/>
      <c r="K85" s="80" t="n"/>
      <c r="L85" s="80" t="n"/>
      <c r="M85" s="80" t="n"/>
      <c r="N85" s="79" t="n"/>
    </row>
    <row r="86">
      <c r="A86" s="80" t="n">
        <v>85</v>
      </c>
      <c r="B86" s="79" t="n"/>
      <c r="C86" s="79" t="n"/>
      <c r="D86" s="79" t="n"/>
      <c r="E86" s="79" t="n"/>
      <c r="F86" s="80" t="n"/>
      <c r="G86" s="80" t="n"/>
      <c r="H86" s="80">
        <f>IF(OR(F86="",G86=""),"",F86*G86)</f>
        <v/>
      </c>
      <c r="I86" s="79" t="n"/>
      <c r="J86" s="79" t="n"/>
      <c r="K86" s="80" t="n"/>
      <c r="L86" s="80" t="n"/>
      <c r="M86" s="80" t="n"/>
      <c r="N86" s="79" t="n"/>
    </row>
    <row r="87">
      <c r="A87" s="80" t="n">
        <v>86</v>
      </c>
      <c r="B87" s="79" t="n"/>
      <c r="C87" s="79" t="n"/>
      <c r="D87" s="79" t="n"/>
      <c r="E87" s="79" t="n"/>
      <c r="F87" s="80" t="n"/>
      <c r="G87" s="80" t="n"/>
      <c r="H87" s="80">
        <f>IF(OR(F87="",G87=""),"",F87*G87)</f>
        <v/>
      </c>
      <c r="I87" s="79" t="n"/>
      <c r="J87" s="79" t="n"/>
      <c r="K87" s="80" t="n"/>
      <c r="L87" s="80" t="n"/>
      <c r="M87" s="80" t="n"/>
      <c r="N87" s="79" t="n"/>
    </row>
    <row r="88">
      <c r="A88" s="80" t="n">
        <v>87</v>
      </c>
      <c r="B88" s="79" t="n"/>
      <c r="C88" s="79" t="n"/>
      <c r="D88" s="79" t="n"/>
      <c r="E88" s="79" t="n"/>
      <c r="F88" s="80" t="n"/>
      <c r="G88" s="80" t="n"/>
      <c r="H88" s="80">
        <f>IF(OR(F88="",G88=""),"",F88*G88)</f>
        <v/>
      </c>
      <c r="I88" s="79" t="n"/>
      <c r="J88" s="79" t="n"/>
      <c r="K88" s="80" t="n"/>
      <c r="L88" s="80" t="n"/>
      <c r="M88" s="80" t="n"/>
      <c r="N88" s="79" t="n"/>
    </row>
    <row r="89">
      <c r="A89" s="80" t="n">
        <v>88</v>
      </c>
      <c r="B89" s="79" t="n"/>
      <c r="C89" s="79" t="n"/>
      <c r="D89" s="79" t="n"/>
      <c r="E89" s="79" t="n"/>
      <c r="F89" s="80" t="n"/>
      <c r="G89" s="80" t="n"/>
      <c r="H89" s="80">
        <f>IF(OR(F89="",G89=""),"",F89*G89)</f>
        <v/>
      </c>
      <c r="I89" s="79" t="n"/>
      <c r="J89" s="79" t="n"/>
      <c r="K89" s="80" t="n"/>
      <c r="L89" s="80" t="n"/>
      <c r="M89" s="80" t="n"/>
      <c r="N89" s="79" t="n"/>
    </row>
    <row r="90">
      <c r="A90" s="80" t="n">
        <v>89</v>
      </c>
      <c r="B90" s="79" t="n"/>
      <c r="C90" s="79" t="n"/>
      <c r="D90" s="79" t="n"/>
      <c r="E90" s="79" t="n"/>
      <c r="F90" s="80" t="n"/>
      <c r="G90" s="80" t="n"/>
      <c r="H90" s="80">
        <f>IF(OR(F90="",G90=""),"",F90*G90)</f>
        <v/>
      </c>
      <c r="I90" s="79" t="n"/>
      <c r="J90" s="79" t="n"/>
      <c r="K90" s="80" t="n"/>
      <c r="L90" s="80" t="n"/>
      <c r="M90" s="80" t="n"/>
      <c r="N90" s="79" t="n"/>
    </row>
    <row r="91">
      <c r="A91" s="80" t="n">
        <v>90</v>
      </c>
      <c r="B91" s="79" t="n"/>
      <c r="C91" s="79" t="n"/>
      <c r="D91" s="79" t="n"/>
      <c r="E91" s="79" t="n"/>
      <c r="F91" s="80" t="n"/>
      <c r="G91" s="80" t="n"/>
      <c r="H91" s="80">
        <f>IF(OR(F91="",G91=""),"",F91*G91)</f>
        <v/>
      </c>
      <c r="I91" s="79" t="n"/>
      <c r="J91" s="79" t="n"/>
      <c r="K91" s="80" t="n"/>
      <c r="L91" s="80" t="n"/>
      <c r="M91" s="80" t="n"/>
      <c r="N91" s="79" t="n"/>
    </row>
    <row r="92">
      <c r="A92" s="80" t="n">
        <v>91</v>
      </c>
      <c r="B92" s="79" t="n"/>
      <c r="C92" s="79" t="n"/>
      <c r="D92" s="79" t="n"/>
      <c r="E92" s="79" t="n"/>
      <c r="F92" s="80" t="n"/>
      <c r="G92" s="80" t="n"/>
      <c r="H92" s="80">
        <f>IF(OR(F92="",G92=""),"",F92*G92)</f>
        <v/>
      </c>
      <c r="I92" s="79" t="n"/>
      <c r="J92" s="79" t="n"/>
      <c r="K92" s="80" t="n"/>
      <c r="L92" s="80" t="n"/>
      <c r="M92" s="80" t="n"/>
      <c r="N92" s="79" t="n"/>
    </row>
    <row r="93">
      <c r="A93" s="80" t="n">
        <v>92</v>
      </c>
      <c r="B93" s="79" t="n"/>
      <c r="C93" s="79" t="n"/>
      <c r="D93" s="79" t="n"/>
      <c r="E93" s="79" t="n"/>
      <c r="F93" s="80" t="n"/>
      <c r="G93" s="80" t="n"/>
      <c r="H93" s="80">
        <f>IF(OR(F93="",G93=""),"",F93*G93)</f>
        <v/>
      </c>
      <c r="I93" s="79" t="n"/>
      <c r="J93" s="79" t="n"/>
      <c r="K93" s="80" t="n"/>
      <c r="L93" s="80" t="n"/>
      <c r="M93" s="80" t="n"/>
      <c r="N93" s="79" t="n"/>
    </row>
    <row r="94">
      <c r="A94" s="80" t="n">
        <v>93</v>
      </c>
      <c r="B94" s="79" t="n"/>
      <c r="C94" s="79" t="n"/>
      <c r="D94" s="79" t="n"/>
      <c r="E94" s="79" t="n"/>
      <c r="F94" s="80" t="n"/>
      <c r="G94" s="80" t="n"/>
      <c r="H94" s="80">
        <f>IF(OR(F94="",G94=""),"",F94*G94)</f>
        <v/>
      </c>
      <c r="I94" s="79" t="n"/>
      <c r="J94" s="79" t="n"/>
      <c r="K94" s="80" t="n"/>
      <c r="L94" s="80" t="n"/>
      <c r="M94" s="80" t="n"/>
      <c r="N94" s="79" t="n"/>
    </row>
    <row r="95">
      <c r="A95" s="80" t="n">
        <v>94</v>
      </c>
      <c r="B95" s="79" t="n"/>
      <c r="C95" s="79" t="n"/>
      <c r="D95" s="79" t="n"/>
      <c r="E95" s="79" t="n"/>
      <c r="F95" s="80" t="n"/>
      <c r="G95" s="80" t="n"/>
      <c r="H95" s="80">
        <f>IF(OR(F95="",G95=""),"",F95*G95)</f>
        <v/>
      </c>
      <c r="I95" s="79" t="n"/>
      <c r="J95" s="79" t="n"/>
      <c r="K95" s="80" t="n"/>
      <c r="L95" s="80" t="n"/>
      <c r="M95" s="80" t="n"/>
      <c r="N95" s="79" t="n"/>
    </row>
    <row r="96">
      <c r="A96" s="80" t="n">
        <v>95</v>
      </c>
      <c r="B96" s="79" t="n"/>
      <c r="C96" s="79" t="n"/>
      <c r="D96" s="79" t="n"/>
      <c r="E96" s="79" t="n"/>
      <c r="F96" s="80" t="n"/>
      <c r="G96" s="80" t="n"/>
      <c r="H96" s="80">
        <f>IF(OR(F96="",G96=""),"",F96*G96)</f>
        <v/>
      </c>
      <c r="I96" s="79" t="n"/>
      <c r="J96" s="79" t="n"/>
      <c r="K96" s="80" t="n"/>
      <c r="L96" s="80" t="n"/>
      <c r="M96" s="80" t="n"/>
      <c r="N96" s="79" t="n"/>
    </row>
    <row r="97">
      <c r="A97" s="80" t="n">
        <v>96</v>
      </c>
      <c r="B97" s="79" t="n"/>
      <c r="C97" s="79" t="n"/>
      <c r="D97" s="79" t="n"/>
      <c r="E97" s="79" t="n"/>
      <c r="F97" s="80" t="n"/>
      <c r="G97" s="80" t="n"/>
      <c r="H97" s="80">
        <f>IF(OR(F97="",G97=""),"",F97*G97)</f>
        <v/>
      </c>
      <c r="I97" s="79" t="n"/>
      <c r="J97" s="79" t="n"/>
      <c r="K97" s="80" t="n"/>
      <c r="L97" s="80" t="n"/>
      <c r="M97" s="80" t="n"/>
      <c r="N97" s="79" t="n"/>
    </row>
    <row r="98">
      <c r="A98" s="80" t="n">
        <v>97</v>
      </c>
      <c r="B98" s="79" t="n"/>
      <c r="C98" s="79" t="n"/>
      <c r="D98" s="79" t="n"/>
      <c r="E98" s="79" t="n"/>
      <c r="F98" s="80" t="n"/>
      <c r="G98" s="80" t="n"/>
      <c r="H98" s="80">
        <f>IF(OR(F98="",G98=""),"",F98*G98)</f>
        <v/>
      </c>
      <c r="I98" s="79" t="n"/>
      <c r="J98" s="79" t="n"/>
      <c r="K98" s="80" t="n"/>
      <c r="L98" s="80" t="n"/>
      <c r="M98" s="80" t="n"/>
      <c r="N98" s="79" t="n"/>
    </row>
    <row r="99">
      <c r="A99" s="80" t="n">
        <v>98</v>
      </c>
      <c r="B99" s="79" t="n"/>
      <c r="C99" s="79" t="n"/>
      <c r="D99" s="79" t="n"/>
      <c r="E99" s="79" t="n"/>
      <c r="F99" s="80" t="n"/>
      <c r="G99" s="80" t="n"/>
      <c r="H99" s="80">
        <f>IF(OR(F99="",G99=""),"",F99*G99)</f>
        <v/>
      </c>
      <c r="I99" s="79" t="n"/>
      <c r="J99" s="79" t="n"/>
      <c r="K99" s="80" t="n"/>
      <c r="L99" s="80" t="n"/>
      <c r="M99" s="80" t="n"/>
      <c r="N99" s="79" t="n"/>
    </row>
    <row r="100">
      <c r="A100" s="80" t="n">
        <v>99</v>
      </c>
      <c r="B100" s="79" t="n"/>
      <c r="C100" s="79" t="n"/>
      <c r="D100" s="79" t="n"/>
      <c r="E100" s="79" t="n"/>
      <c r="F100" s="80" t="n"/>
      <c r="G100" s="80" t="n"/>
      <c r="H100" s="80">
        <f>IF(OR(F100="",G100=""),"",F100*G100)</f>
        <v/>
      </c>
      <c r="I100" s="79" t="n"/>
      <c r="J100" s="79" t="n"/>
      <c r="K100" s="80" t="n"/>
      <c r="L100" s="80" t="n"/>
      <c r="M100" s="80" t="n"/>
      <c r="N100" s="79" t="n"/>
    </row>
    <row r="101">
      <c r="A101" s="80" t="n">
        <v>100</v>
      </c>
      <c r="B101" s="79" t="n"/>
      <c r="C101" s="79" t="n"/>
      <c r="D101" s="79" t="n"/>
      <c r="E101" s="79" t="n"/>
      <c r="F101" s="80" t="n"/>
      <c r="G101" s="80" t="n"/>
      <c r="H101" s="80">
        <f>IF(OR(F101="",G101=""),"",F101*G101)</f>
        <v/>
      </c>
      <c r="I101" s="79" t="n"/>
      <c r="J101" s="79" t="n"/>
      <c r="K101" s="80" t="n"/>
      <c r="L101" s="80" t="n"/>
      <c r="M101" s="80" t="n"/>
      <c r="N101" s="79" t="n"/>
    </row>
    <row r="102">
      <c r="A102" s="80" t="n">
        <v>101</v>
      </c>
      <c r="B102" s="79" t="n"/>
      <c r="C102" s="79" t="n"/>
      <c r="D102" s="79" t="n"/>
      <c r="E102" s="79" t="n"/>
      <c r="F102" s="80" t="n"/>
      <c r="G102" s="80" t="n"/>
      <c r="H102" s="80">
        <f>IF(OR(F102="",G102=""),"",F102*G102)</f>
        <v/>
      </c>
      <c r="I102" s="79" t="n"/>
      <c r="J102" s="79" t="n"/>
      <c r="K102" s="80" t="n"/>
      <c r="L102" s="80" t="n"/>
      <c r="M102" s="80" t="n"/>
      <c r="N102" s="79" t="n"/>
    </row>
    <row r="103">
      <c r="A103" s="80" t="n">
        <v>102</v>
      </c>
      <c r="B103" s="79" t="n"/>
      <c r="C103" s="79" t="n"/>
      <c r="D103" s="79" t="n"/>
      <c r="E103" s="79" t="n"/>
      <c r="F103" s="80" t="n"/>
      <c r="G103" s="80" t="n"/>
      <c r="H103" s="80">
        <f>IF(OR(F103="",G103=""),"",F103*G103)</f>
        <v/>
      </c>
      <c r="I103" s="79" t="n"/>
      <c r="J103" s="79" t="n"/>
      <c r="K103" s="80" t="n"/>
      <c r="L103" s="80" t="n"/>
      <c r="M103" s="80" t="n"/>
      <c r="N103" s="79" t="n"/>
    </row>
    <row r="104">
      <c r="A104" s="80" t="n">
        <v>103</v>
      </c>
      <c r="B104" s="79" t="n"/>
      <c r="C104" s="79" t="n"/>
      <c r="D104" s="79" t="n"/>
      <c r="E104" s="79" t="n"/>
      <c r="F104" s="80" t="n"/>
      <c r="G104" s="80" t="n"/>
      <c r="H104" s="80">
        <f>IF(OR(F104="",G104=""),"",F104*G104)</f>
        <v/>
      </c>
      <c r="I104" s="79" t="n"/>
      <c r="J104" s="79" t="n"/>
      <c r="K104" s="80" t="n"/>
      <c r="L104" s="80" t="n"/>
      <c r="M104" s="80" t="n"/>
      <c r="N104" s="79" t="n"/>
    </row>
    <row r="105">
      <c r="A105" s="80" t="n">
        <v>104</v>
      </c>
      <c r="B105" s="79" t="n"/>
      <c r="C105" s="79" t="n"/>
      <c r="D105" s="79" t="n"/>
      <c r="E105" s="79" t="n"/>
      <c r="F105" s="80" t="n"/>
      <c r="G105" s="80" t="n"/>
      <c r="H105" s="80">
        <f>IF(OR(F105="",G105=""),"",F105*G105)</f>
        <v/>
      </c>
      <c r="I105" s="79" t="n"/>
      <c r="J105" s="79" t="n"/>
      <c r="K105" s="80" t="n"/>
      <c r="L105" s="80" t="n"/>
      <c r="M105" s="80" t="n"/>
      <c r="N105" s="79" t="n"/>
    </row>
    <row r="106">
      <c r="A106" s="80" t="n">
        <v>105</v>
      </c>
      <c r="B106" s="79" t="n"/>
      <c r="C106" s="79" t="n"/>
      <c r="D106" s="79" t="n"/>
      <c r="E106" s="79" t="n"/>
      <c r="F106" s="80" t="n"/>
      <c r="G106" s="80" t="n"/>
      <c r="H106" s="80">
        <f>IF(OR(F106="",G106=""),"",F106*G106)</f>
        <v/>
      </c>
      <c r="I106" s="79" t="n"/>
      <c r="J106" s="79" t="n"/>
      <c r="K106" s="80" t="n"/>
      <c r="L106" s="80" t="n"/>
      <c r="M106" s="80" t="n"/>
      <c r="N106" s="79" t="n"/>
    </row>
    <row r="107">
      <c r="A107" s="80" t="n">
        <v>106</v>
      </c>
      <c r="B107" s="79" t="n"/>
      <c r="C107" s="79" t="n"/>
      <c r="D107" s="79" t="n"/>
      <c r="E107" s="79" t="n"/>
      <c r="F107" s="80" t="n"/>
      <c r="G107" s="80" t="n"/>
      <c r="H107" s="80">
        <f>IF(OR(F107="",G107=""),"",F107*G107)</f>
        <v/>
      </c>
      <c r="I107" s="79" t="n"/>
      <c r="J107" s="79" t="n"/>
      <c r="K107" s="80" t="n"/>
      <c r="L107" s="80" t="n"/>
      <c r="M107" s="80" t="n"/>
      <c r="N107" s="79" t="n"/>
    </row>
    <row r="108">
      <c r="A108" s="80" t="n">
        <v>107</v>
      </c>
      <c r="B108" s="79" t="n"/>
      <c r="C108" s="79" t="n"/>
      <c r="D108" s="79" t="n"/>
      <c r="E108" s="79" t="n"/>
      <c r="F108" s="80" t="n"/>
      <c r="G108" s="80" t="n"/>
      <c r="H108" s="80">
        <f>IF(OR(F108="",G108=""),"",F108*G108)</f>
        <v/>
      </c>
      <c r="I108" s="79" t="n"/>
      <c r="J108" s="79" t="n"/>
      <c r="K108" s="80" t="n"/>
      <c r="L108" s="80" t="n"/>
      <c r="M108" s="80" t="n"/>
      <c r="N108" s="79" t="n"/>
    </row>
    <row r="109">
      <c r="A109" s="80" t="n">
        <v>108</v>
      </c>
      <c r="B109" s="79" t="n"/>
      <c r="C109" s="79" t="n"/>
      <c r="D109" s="79" t="n"/>
      <c r="E109" s="79" t="n"/>
      <c r="F109" s="80" t="n"/>
      <c r="G109" s="80" t="n"/>
      <c r="H109" s="80">
        <f>IF(OR(F109="",G109=""),"",F109*G109)</f>
        <v/>
      </c>
      <c r="I109" s="79" t="n"/>
      <c r="J109" s="79" t="n"/>
      <c r="K109" s="80" t="n"/>
      <c r="L109" s="80" t="n"/>
      <c r="M109" s="80" t="n"/>
      <c r="N109" s="79" t="n"/>
    </row>
    <row r="110">
      <c r="A110" s="80" t="n">
        <v>109</v>
      </c>
      <c r="B110" s="79" t="n"/>
      <c r="C110" s="79" t="n"/>
      <c r="D110" s="79" t="n"/>
      <c r="E110" s="79" t="n"/>
      <c r="F110" s="80" t="n"/>
      <c r="G110" s="80" t="n"/>
      <c r="H110" s="80">
        <f>IF(OR(F110="",G110=""),"",F110*G110)</f>
        <v/>
      </c>
      <c r="I110" s="79" t="n"/>
      <c r="J110" s="79" t="n"/>
      <c r="K110" s="80" t="n"/>
      <c r="L110" s="80" t="n"/>
      <c r="M110" s="80" t="n"/>
      <c r="N110" s="79" t="n"/>
    </row>
    <row r="111">
      <c r="A111" s="80" t="n">
        <v>110</v>
      </c>
      <c r="B111" s="79" t="n"/>
      <c r="C111" s="79" t="n"/>
      <c r="D111" s="79" t="n"/>
      <c r="E111" s="79" t="n"/>
      <c r="F111" s="80" t="n"/>
      <c r="G111" s="80" t="n"/>
      <c r="H111" s="80">
        <f>IF(OR(F111="",G111=""),"",F111*G111)</f>
        <v/>
      </c>
      <c r="I111" s="79" t="n"/>
      <c r="J111" s="79" t="n"/>
      <c r="K111" s="80" t="n"/>
      <c r="L111" s="80" t="n"/>
      <c r="M111" s="80" t="n"/>
      <c r="N111" s="79" t="n"/>
    </row>
    <row r="112">
      <c r="A112" s="80" t="n">
        <v>111</v>
      </c>
      <c r="B112" s="79" t="n"/>
      <c r="C112" s="79" t="n"/>
      <c r="D112" s="79" t="n"/>
      <c r="E112" s="79" t="n"/>
      <c r="F112" s="80" t="n"/>
      <c r="G112" s="80" t="n"/>
      <c r="H112" s="80">
        <f>IF(OR(F112="",G112=""),"",F112*G112)</f>
        <v/>
      </c>
      <c r="I112" s="79" t="n"/>
      <c r="J112" s="79" t="n"/>
      <c r="K112" s="80" t="n"/>
      <c r="L112" s="80" t="n"/>
      <c r="M112" s="80" t="n"/>
      <c r="N112" s="79" t="n"/>
    </row>
    <row r="113">
      <c r="A113" s="80" t="n">
        <v>112</v>
      </c>
      <c r="B113" s="79" t="n"/>
      <c r="C113" s="79" t="n"/>
      <c r="D113" s="79" t="n"/>
      <c r="E113" s="79" t="n"/>
      <c r="F113" s="80" t="n"/>
      <c r="G113" s="80" t="n"/>
      <c r="H113" s="80">
        <f>IF(OR(F113="",G113=""),"",F113*G113)</f>
        <v/>
      </c>
      <c r="I113" s="79" t="n"/>
      <c r="J113" s="79" t="n"/>
      <c r="K113" s="80" t="n"/>
      <c r="L113" s="80" t="n"/>
      <c r="M113" s="80" t="n"/>
      <c r="N113" s="79" t="n"/>
    </row>
    <row r="114">
      <c r="A114" s="80" t="n">
        <v>113</v>
      </c>
      <c r="B114" s="79" t="n"/>
      <c r="C114" s="79" t="n"/>
      <c r="D114" s="79" t="n"/>
      <c r="E114" s="79" t="n"/>
      <c r="F114" s="80" t="n"/>
      <c r="G114" s="80" t="n"/>
      <c r="H114" s="80">
        <f>IF(OR(F114="",G114=""),"",F114*G114)</f>
        <v/>
      </c>
      <c r="I114" s="79" t="n"/>
      <c r="J114" s="79" t="n"/>
      <c r="K114" s="80" t="n"/>
      <c r="L114" s="80" t="n"/>
      <c r="M114" s="80" t="n"/>
      <c r="N114" s="79" t="n"/>
    </row>
    <row r="115">
      <c r="A115" s="80" t="n">
        <v>114</v>
      </c>
      <c r="B115" s="79" t="n"/>
      <c r="C115" s="79" t="n"/>
      <c r="D115" s="79" t="n"/>
      <c r="E115" s="79" t="n"/>
      <c r="F115" s="80" t="n"/>
      <c r="G115" s="80" t="n"/>
      <c r="H115" s="80">
        <f>IF(OR(F115="",G115=""),"",F115*G115)</f>
        <v/>
      </c>
      <c r="I115" s="79" t="n"/>
      <c r="J115" s="79" t="n"/>
      <c r="K115" s="80" t="n"/>
      <c r="L115" s="80" t="n"/>
      <c r="M115" s="80" t="n"/>
      <c r="N115" s="79" t="n"/>
    </row>
    <row r="116">
      <c r="A116" s="80" t="n">
        <v>115</v>
      </c>
      <c r="B116" s="79" t="n"/>
      <c r="C116" s="79" t="n"/>
      <c r="D116" s="79" t="n"/>
      <c r="E116" s="79" t="n"/>
      <c r="F116" s="80" t="n"/>
      <c r="G116" s="80" t="n"/>
      <c r="H116" s="80">
        <f>IF(OR(F116="",G116=""),"",F116*G116)</f>
        <v/>
      </c>
      <c r="I116" s="79" t="n"/>
      <c r="J116" s="79" t="n"/>
      <c r="K116" s="80" t="n"/>
      <c r="L116" s="80" t="n"/>
      <c r="M116" s="80" t="n"/>
      <c r="N116" s="79" t="n"/>
    </row>
    <row r="117">
      <c r="A117" s="80" t="n">
        <v>116</v>
      </c>
      <c r="B117" s="79" t="n"/>
      <c r="C117" s="79" t="n"/>
      <c r="D117" s="79" t="n"/>
      <c r="E117" s="79" t="n"/>
      <c r="F117" s="80" t="n"/>
      <c r="G117" s="80" t="n"/>
      <c r="H117" s="80">
        <f>IF(OR(F117="",G117=""),"",F117*G117)</f>
        <v/>
      </c>
      <c r="I117" s="79" t="n"/>
      <c r="J117" s="79" t="n"/>
      <c r="K117" s="80" t="n"/>
      <c r="L117" s="80" t="n"/>
      <c r="M117" s="80" t="n"/>
      <c r="N117" s="79" t="n"/>
    </row>
    <row r="118">
      <c r="A118" s="80" t="n">
        <v>117</v>
      </c>
      <c r="B118" s="79" t="n"/>
      <c r="C118" s="79" t="n"/>
      <c r="D118" s="79" t="n"/>
      <c r="E118" s="79" t="n"/>
      <c r="F118" s="80" t="n"/>
      <c r="G118" s="80" t="n"/>
      <c r="H118" s="80">
        <f>IF(OR(F118="",G118=""),"",F118*G118)</f>
        <v/>
      </c>
      <c r="I118" s="79" t="n"/>
      <c r="J118" s="79" t="n"/>
      <c r="K118" s="80" t="n"/>
      <c r="L118" s="80" t="n"/>
      <c r="M118" s="80" t="n"/>
      <c r="N118" s="79" t="n"/>
    </row>
    <row r="119">
      <c r="A119" s="80" t="n">
        <v>118</v>
      </c>
      <c r="B119" s="79" t="n"/>
      <c r="C119" s="79" t="n"/>
      <c r="D119" s="79" t="n"/>
      <c r="E119" s="79" t="n"/>
      <c r="F119" s="80" t="n"/>
      <c r="G119" s="80" t="n"/>
      <c r="H119" s="80">
        <f>IF(OR(F119="",G119=""),"",F119*G119)</f>
        <v/>
      </c>
      <c r="I119" s="79" t="n"/>
      <c r="J119" s="79" t="n"/>
      <c r="K119" s="80" t="n"/>
      <c r="L119" s="80" t="n"/>
      <c r="M119" s="80" t="n"/>
      <c r="N119" s="79" t="n"/>
    </row>
    <row r="120">
      <c r="A120" s="80" t="n">
        <v>119</v>
      </c>
      <c r="B120" s="79" t="n"/>
      <c r="C120" s="79" t="n"/>
      <c r="D120" s="79" t="n"/>
      <c r="E120" s="79" t="n"/>
      <c r="F120" s="80" t="n"/>
      <c r="G120" s="80" t="n"/>
      <c r="H120" s="80">
        <f>IF(OR(F120="",G120=""),"",F120*G120)</f>
        <v/>
      </c>
      <c r="I120" s="79" t="n"/>
      <c r="J120" s="79" t="n"/>
      <c r="K120" s="80" t="n"/>
      <c r="L120" s="80" t="n"/>
      <c r="M120" s="80" t="n"/>
      <c r="N120" s="79" t="n"/>
    </row>
    <row r="121">
      <c r="A121" s="80" t="n">
        <v>120</v>
      </c>
      <c r="B121" s="79" t="n"/>
      <c r="C121" s="79" t="n"/>
      <c r="D121" s="79" t="n"/>
      <c r="E121" s="79" t="n"/>
      <c r="F121" s="80" t="n"/>
      <c r="G121" s="80" t="n"/>
      <c r="H121" s="80">
        <f>IF(OR(F121="",G121=""),"",F121*G121)</f>
        <v/>
      </c>
      <c r="I121" s="79" t="n"/>
      <c r="J121" s="79" t="n"/>
      <c r="K121" s="80" t="n"/>
      <c r="L121" s="80" t="n"/>
      <c r="M121" s="80" t="n"/>
      <c r="N121" s="79" t="n"/>
    </row>
    <row r="122">
      <c r="A122" s="80" t="n">
        <v>121</v>
      </c>
      <c r="B122" s="79" t="n"/>
      <c r="C122" s="79" t="n"/>
      <c r="D122" s="79" t="n"/>
      <c r="E122" s="79" t="n"/>
      <c r="F122" s="80" t="n"/>
      <c r="G122" s="80" t="n"/>
      <c r="H122" s="80">
        <f>IF(OR(F122="",G122=""),"",F122*G122)</f>
        <v/>
      </c>
      <c r="I122" s="79" t="n"/>
      <c r="J122" s="79" t="n"/>
      <c r="K122" s="80" t="n"/>
      <c r="L122" s="80" t="n"/>
      <c r="M122" s="80" t="n"/>
      <c r="N122" s="79" t="n"/>
    </row>
    <row r="123">
      <c r="A123" s="80" t="n">
        <v>122</v>
      </c>
      <c r="B123" s="79" t="n"/>
      <c r="C123" s="79" t="n"/>
      <c r="D123" s="79" t="n"/>
      <c r="E123" s="79" t="n"/>
      <c r="F123" s="80" t="n"/>
      <c r="G123" s="80" t="n"/>
      <c r="H123" s="80">
        <f>IF(OR(F123="",G123=""),"",F123*G123)</f>
        <v/>
      </c>
      <c r="I123" s="79" t="n"/>
      <c r="J123" s="79" t="n"/>
      <c r="K123" s="80" t="n"/>
      <c r="L123" s="80" t="n"/>
      <c r="M123" s="80" t="n"/>
      <c r="N123" s="79" t="n"/>
    </row>
    <row r="124">
      <c r="A124" s="80" t="n">
        <v>123</v>
      </c>
      <c r="B124" s="79" t="n"/>
      <c r="C124" s="79" t="n"/>
      <c r="D124" s="79" t="n"/>
      <c r="E124" s="79" t="n"/>
      <c r="F124" s="80" t="n"/>
      <c r="G124" s="80" t="n"/>
      <c r="H124" s="80">
        <f>IF(OR(F124="",G124=""),"",F124*G124)</f>
        <v/>
      </c>
      <c r="I124" s="79" t="n"/>
      <c r="J124" s="79" t="n"/>
      <c r="K124" s="80" t="n"/>
      <c r="L124" s="80" t="n"/>
      <c r="M124" s="80" t="n"/>
      <c r="N124" s="79" t="n"/>
    </row>
    <row r="125">
      <c r="A125" s="80" t="n">
        <v>124</v>
      </c>
      <c r="B125" s="79" t="n"/>
      <c r="C125" s="79" t="n"/>
      <c r="D125" s="79" t="n"/>
      <c r="E125" s="79" t="n"/>
      <c r="F125" s="80" t="n"/>
      <c r="G125" s="80" t="n"/>
      <c r="H125" s="80">
        <f>IF(OR(F125="",G125=""),"",F125*G125)</f>
        <v/>
      </c>
      <c r="I125" s="79" t="n"/>
      <c r="J125" s="79" t="n"/>
      <c r="K125" s="80" t="n"/>
      <c r="L125" s="80" t="n"/>
      <c r="M125" s="80" t="n"/>
      <c r="N125" s="79" t="n"/>
    </row>
    <row r="126">
      <c r="A126" s="80" t="n">
        <v>125</v>
      </c>
      <c r="B126" s="79" t="n"/>
      <c r="C126" s="79" t="n"/>
      <c r="D126" s="79" t="n"/>
      <c r="E126" s="79" t="n"/>
      <c r="F126" s="80" t="n"/>
      <c r="G126" s="80" t="n"/>
      <c r="H126" s="80">
        <f>IF(OR(F126="",G126=""),"",F126*G126)</f>
        <v/>
      </c>
      <c r="I126" s="79" t="n"/>
      <c r="J126" s="79" t="n"/>
      <c r="K126" s="80" t="n"/>
      <c r="L126" s="80" t="n"/>
      <c r="M126" s="80" t="n"/>
      <c r="N126" s="79" t="n"/>
    </row>
    <row r="127">
      <c r="A127" s="80" t="n">
        <v>126</v>
      </c>
      <c r="B127" s="79" t="n"/>
      <c r="C127" s="79" t="n"/>
      <c r="D127" s="79" t="n"/>
      <c r="E127" s="79" t="n"/>
      <c r="F127" s="80" t="n"/>
      <c r="G127" s="80" t="n"/>
      <c r="H127" s="80">
        <f>IF(OR(F127="",G127=""),"",F127*G127)</f>
        <v/>
      </c>
      <c r="I127" s="79" t="n"/>
      <c r="J127" s="79" t="n"/>
      <c r="K127" s="80" t="n"/>
      <c r="L127" s="80" t="n"/>
      <c r="M127" s="80" t="n"/>
      <c r="N127" s="79" t="n"/>
    </row>
    <row r="128">
      <c r="A128" s="80" t="n">
        <v>127</v>
      </c>
      <c r="B128" s="79" t="n"/>
      <c r="C128" s="79" t="n"/>
      <c r="D128" s="79" t="n"/>
      <c r="E128" s="79" t="n"/>
      <c r="F128" s="80" t="n"/>
      <c r="G128" s="80" t="n"/>
      <c r="H128" s="80">
        <f>IF(OR(F128="",G128=""),"",F128*G128)</f>
        <v/>
      </c>
      <c r="I128" s="79" t="n"/>
      <c r="J128" s="79" t="n"/>
      <c r="K128" s="80" t="n"/>
      <c r="L128" s="80" t="n"/>
      <c r="M128" s="80" t="n"/>
      <c r="N128" s="79" t="n"/>
    </row>
    <row r="129">
      <c r="A129" s="80" t="n">
        <v>128</v>
      </c>
      <c r="B129" s="79" t="n"/>
      <c r="C129" s="79" t="n"/>
      <c r="D129" s="79" t="n"/>
      <c r="E129" s="79" t="n"/>
      <c r="F129" s="80" t="n"/>
      <c r="G129" s="80" t="n"/>
      <c r="H129" s="80">
        <f>IF(OR(F129="",G129=""),"",F129*G129)</f>
        <v/>
      </c>
      <c r="I129" s="79" t="n"/>
      <c r="J129" s="79" t="n"/>
      <c r="K129" s="80" t="n"/>
      <c r="L129" s="80" t="n"/>
      <c r="M129" s="80" t="n"/>
      <c r="N129" s="79" t="n"/>
    </row>
    <row r="130">
      <c r="A130" s="80" t="n">
        <v>129</v>
      </c>
      <c r="B130" s="79" t="n"/>
      <c r="C130" s="79" t="n"/>
      <c r="D130" s="79" t="n"/>
      <c r="E130" s="79" t="n"/>
      <c r="F130" s="80" t="n"/>
      <c r="G130" s="80" t="n"/>
      <c r="H130" s="80">
        <f>IF(OR(F130="",G130=""),"",F130*G130)</f>
        <v/>
      </c>
      <c r="I130" s="79" t="n"/>
      <c r="J130" s="79" t="n"/>
      <c r="K130" s="80" t="n"/>
      <c r="L130" s="80" t="n"/>
      <c r="M130" s="80" t="n"/>
      <c r="N130" s="79" t="n"/>
    </row>
    <row r="131">
      <c r="A131" s="80" t="n">
        <v>130</v>
      </c>
      <c r="B131" s="79" t="n"/>
      <c r="C131" s="79" t="n"/>
      <c r="D131" s="79" t="n"/>
      <c r="E131" s="79" t="n"/>
      <c r="F131" s="80" t="n"/>
      <c r="G131" s="80" t="n"/>
      <c r="H131" s="80">
        <f>IF(OR(F131="",G131=""),"",F131*G131)</f>
        <v/>
      </c>
      <c r="I131" s="79" t="n"/>
      <c r="J131" s="79" t="n"/>
      <c r="K131" s="80" t="n"/>
      <c r="L131" s="80" t="n"/>
      <c r="M131" s="80" t="n"/>
      <c r="N131" s="79" t="n"/>
    </row>
    <row r="132">
      <c r="A132" s="80" t="n">
        <v>131</v>
      </c>
      <c r="B132" s="79" t="n"/>
      <c r="C132" s="79" t="n"/>
      <c r="D132" s="79" t="n"/>
      <c r="E132" s="79" t="n"/>
      <c r="F132" s="80" t="n"/>
      <c r="G132" s="80" t="n"/>
      <c r="H132" s="80">
        <f>IF(OR(F132="",G132=""),"",F132*G132)</f>
        <v/>
      </c>
      <c r="I132" s="79" t="n"/>
      <c r="J132" s="79" t="n"/>
      <c r="K132" s="80" t="n"/>
      <c r="L132" s="80" t="n"/>
      <c r="M132" s="80" t="n"/>
      <c r="N132" s="79" t="n"/>
    </row>
    <row r="133">
      <c r="A133" s="80" t="n">
        <v>132</v>
      </c>
      <c r="B133" s="79" t="n"/>
      <c r="C133" s="79" t="n"/>
      <c r="D133" s="79" t="n"/>
      <c r="E133" s="79" t="n"/>
      <c r="F133" s="80" t="n"/>
      <c r="G133" s="80" t="n"/>
      <c r="H133" s="80">
        <f>IF(OR(F133="",G133=""),"",F133*G133)</f>
        <v/>
      </c>
      <c r="I133" s="79" t="n"/>
      <c r="J133" s="79" t="n"/>
      <c r="K133" s="80" t="n"/>
      <c r="L133" s="80" t="n"/>
      <c r="M133" s="80" t="n"/>
      <c r="N133" s="79" t="n"/>
    </row>
    <row r="134">
      <c r="A134" s="80" t="n">
        <v>133</v>
      </c>
      <c r="B134" s="79" t="n"/>
      <c r="C134" s="79" t="n"/>
      <c r="D134" s="79" t="n"/>
      <c r="E134" s="79" t="n"/>
      <c r="F134" s="80" t="n"/>
      <c r="G134" s="80" t="n"/>
      <c r="H134" s="80">
        <f>IF(OR(F134="",G134=""),"",F134*G134)</f>
        <v/>
      </c>
      <c r="I134" s="79" t="n"/>
      <c r="J134" s="79" t="n"/>
      <c r="K134" s="80" t="n"/>
      <c r="L134" s="80" t="n"/>
      <c r="M134" s="80" t="n"/>
      <c r="N134" s="79" t="n"/>
    </row>
    <row r="135">
      <c r="A135" s="80" t="n">
        <v>134</v>
      </c>
      <c r="B135" s="79" t="n"/>
      <c r="C135" s="79" t="n"/>
      <c r="D135" s="79" t="n"/>
      <c r="E135" s="79" t="n"/>
      <c r="F135" s="80" t="n"/>
      <c r="G135" s="80" t="n"/>
      <c r="H135" s="80">
        <f>IF(OR(F135="",G135=""),"",F135*G135)</f>
        <v/>
      </c>
      <c r="I135" s="79" t="n"/>
      <c r="J135" s="79" t="n"/>
      <c r="K135" s="80" t="n"/>
      <c r="L135" s="80" t="n"/>
      <c r="M135" s="80" t="n"/>
      <c r="N135" s="79" t="n"/>
    </row>
    <row r="136">
      <c r="A136" s="80" t="n">
        <v>135</v>
      </c>
      <c r="B136" s="79" t="n"/>
      <c r="C136" s="79" t="n"/>
      <c r="D136" s="79" t="n"/>
      <c r="E136" s="79" t="n"/>
      <c r="F136" s="80" t="n"/>
      <c r="G136" s="80" t="n"/>
      <c r="H136" s="80">
        <f>IF(OR(F136="",G136=""),"",F136*G136)</f>
        <v/>
      </c>
      <c r="I136" s="79" t="n"/>
      <c r="J136" s="79" t="n"/>
      <c r="K136" s="80" t="n"/>
      <c r="L136" s="80" t="n"/>
      <c r="M136" s="80" t="n"/>
      <c r="N136" s="79" t="n"/>
    </row>
    <row r="137">
      <c r="A137" s="80" t="n">
        <v>136</v>
      </c>
      <c r="B137" s="79" t="n"/>
      <c r="C137" s="79" t="n"/>
      <c r="D137" s="79" t="n"/>
      <c r="E137" s="79" t="n"/>
      <c r="F137" s="80" t="n"/>
      <c r="G137" s="80" t="n"/>
      <c r="H137" s="80">
        <f>IF(OR(F137="",G137=""),"",F137*G137)</f>
        <v/>
      </c>
      <c r="I137" s="79" t="n"/>
      <c r="J137" s="79" t="n"/>
      <c r="K137" s="80" t="n"/>
      <c r="L137" s="80" t="n"/>
      <c r="M137" s="80" t="n"/>
      <c r="N137" s="79" t="n"/>
    </row>
    <row r="138">
      <c r="A138" s="80" t="n">
        <v>137</v>
      </c>
      <c r="B138" s="79" t="n"/>
      <c r="C138" s="79" t="n"/>
      <c r="D138" s="79" t="n"/>
      <c r="E138" s="79" t="n"/>
      <c r="F138" s="80" t="n"/>
      <c r="G138" s="80" t="n"/>
      <c r="H138" s="80">
        <f>IF(OR(F138="",G138=""),"",F138*G138)</f>
        <v/>
      </c>
      <c r="I138" s="79" t="n"/>
      <c r="J138" s="79" t="n"/>
      <c r="K138" s="80" t="n"/>
      <c r="L138" s="80" t="n"/>
      <c r="M138" s="80" t="n"/>
      <c r="N138" s="79" t="n"/>
    </row>
    <row r="139">
      <c r="A139" s="80" t="n">
        <v>138</v>
      </c>
      <c r="B139" s="79" t="n"/>
      <c r="C139" s="79" t="n"/>
      <c r="D139" s="79" t="n"/>
      <c r="E139" s="79" t="n"/>
      <c r="F139" s="80" t="n"/>
      <c r="G139" s="80" t="n"/>
      <c r="H139" s="80">
        <f>IF(OR(F139="",G139=""),"",F139*G139)</f>
        <v/>
      </c>
      <c r="I139" s="79" t="n"/>
      <c r="J139" s="79" t="n"/>
      <c r="K139" s="80" t="n"/>
      <c r="L139" s="80" t="n"/>
      <c r="M139" s="80" t="n"/>
      <c r="N139" s="79" t="n"/>
    </row>
    <row r="140">
      <c r="A140" s="80" t="n">
        <v>139</v>
      </c>
      <c r="B140" s="79" t="n"/>
      <c r="C140" s="79" t="n"/>
      <c r="D140" s="79" t="n"/>
      <c r="E140" s="79" t="n"/>
      <c r="F140" s="80" t="n"/>
      <c r="G140" s="80" t="n"/>
      <c r="H140" s="80">
        <f>IF(OR(F140="",G140=""),"",F140*G140)</f>
        <v/>
      </c>
      <c r="I140" s="79" t="n"/>
      <c r="J140" s="79" t="n"/>
      <c r="K140" s="80" t="n"/>
      <c r="L140" s="80" t="n"/>
      <c r="M140" s="80" t="n"/>
      <c r="N140" s="79" t="n"/>
    </row>
    <row r="141">
      <c r="A141" s="80" t="n">
        <v>140</v>
      </c>
      <c r="B141" s="79" t="n"/>
      <c r="C141" s="79" t="n"/>
      <c r="D141" s="79" t="n"/>
      <c r="E141" s="79" t="n"/>
      <c r="F141" s="80" t="n"/>
      <c r="G141" s="80" t="n"/>
      <c r="H141" s="80">
        <f>IF(OR(F141="",G141=""),"",F141*G141)</f>
        <v/>
      </c>
      <c r="I141" s="79" t="n"/>
      <c r="J141" s="79" t="n"/>
      <c r="K141" s="80" t="n"/>
      <c r="L141" s="80" t="n"/>
      <c r="M141" s="80" t="n"/>
      <c r="N141" s="79" t="n"/>
    </row>
    <row r="142">
      <c r="A142" s="80" t="n">
        <v>141</v>
      </c>
      <c r="B142" s="79" t="n"/>
      <c r="C142" s="79" t="n"/>
      <c r="D142" s="79" t="n"/>
      <c r="E142" s="79" t="n"/>
      <c r="F142" s="80" t="n"/>
      <c r="G142" s="80" t="n"/>
      <c r="H142" s="80">
        <f>IF(OR(F142="",G142=""),"",F142*G142)</f>
        <v/>
      </c>
      <c r="I142" s="79" t="n"/>
      <c r="J142" s="79" t="n"/>
      <c r="K142" s="80" t="n"/>
      <c r="L142" s="80" t="n"/>
      <c r="M142" s="80" t="n"/>
      <c r="N142" s="79" t="n"/>
    </row>
    <row r="143">
      <c r="A143" s="80" t="n">
        <v>142</v>
      </c>
      <c r="B143" s="79" t="n"/>
      <c r="C143" s="79" t="n"/>
      <c r="D143" s="79" t="n"/>
      <c r="E143" s="79" t="n"/>
      <c r="F143" s="80" t="n"/>
      <c r="G143" s="80" t="n"/>
      <c r="H143" s="80">
        <f>IF(OR(F143="",G143=""),"",F143*G143)</f>
        <v/>
      </c>
      <c r="I143" s="79" t="n"/>
      <c r="J143" s="79" t="n"/>
      <c r="K143" s="80" t="n"/>
      <c r="L143" s="80" t="n"/>
      <c r="M143" s="80" t="n"/>
      <c r="N143" s="79" t="n"/>
    </row>
    <row r="144">
      <c r="A144" s="80" t="n">
        <v>143</v>
      </c>
      <c r="B144" s="79" t="n"/>
      <c r="C144" s="79" t="n"/>
      <c r="D144" s="79" t="n"/>
      <c r="E144" s="79" t="n"/>
      <c r="F144" s="80" t="n"/>
      <c r="G144" s="80" t="n"/>
      <c r="H144" s="80">
        <f>IF(OR(F144="",G144=""),"",F144*G144)</f>
        <v/>
      </c>
      <c r="I144" s="79" t="n"/>
      <c r="J144" s="79" t="n"/>
      <c r="K144" s="80" t="n"/>
      <c r="L144" s="80" t="n"/>
      <c r="M144" s="80" t="n"/>
      <c r="N144" s="79" t="n"/>
    </row>
    <row r="145">
      <c r="A145" s="80" t="n">
        <v>144</v>
      </c>
      <c r="B145" s="79" t="n"/>
      <c r="C145" s="79" t="n"/>
      <c r="D145" s="79" t="n"/>
      <c r="E145" s="79" t="n"/>
      <c r="F145" s="80" t="n"/>
      <c r="G145" s="80" t="n"/>
      <c r="H145" s="80">
        <f>IF(OR(F145="",G145=""),"",F145*G145)</f>
        <v/>
      </c>
      <c r="I145" s="79" t="n"/>
      <c r="J145" s="79" t="n"/>
      <c r="K145" s="80" t="n"/>
      <c r="L145" s="80" t="n"/>
      <c r="M145" s="80" t="n"/>
      <c r="N145" s="79" t="n"/>
    </row>
    <row r="146">
      <c r="A146" s="80" t="n">
        <v>145</v>
      </c>
      <c r="B146" s="79" t="n"/>
      <c r="C146" s="79" t="n"/>
      <c r="D146" s="79" t="n"/>
      <c r="E146" s="79" t="n"/>
      <c r="F146" s="80" t="n"/>
      <c r="G146" s="80" t="n"/>
      <c r="H146" s="80">
        <f>IF(OR(F146="",G146=""),"",F146*G146)</f>
        <v/>
      </c>
      <c r="I146" s="79" t="n"/>
      <c r="J146" s="79" t="n"/>
      <c r="K146" s="80" t="n"/>
      <c r="L146" s="80" t="n"/>
      <c r="M146" s="80" t="n"/>
      <c r="N146" s="79" t="n"/>
    </row>
    <row r="147">
      <c r="A147" s="80" t="n">
        <v>146</v>
      </c>
      <c r="B147" s="79" t="n"/>
      <c r="C147" s="79" t="n"/>
      <c r="D147" s="79" t="n"/>
      <c r="E147" s="79" t="n"/>
      <c r="F147" s="80" t="n"/>
      <c r="G147" s="80" t="n"/>
      <c r="H147" s="80">
        <f>IF(OR(F147="",G147=""),"",F147*G147)</f>
        <v/>
      </c>
      <c r="I147" s="79" t="n"/>
      <c r="J147" s="79" t="n"/>
      <c r="K147" s="80" t="n"/>
      <c r="L147" s="80" t="n"/>
      <c r="M147" s="80" t="n"/>
      <c r="N147" s="79" t="n"/>
    </row>
    <row r="148">
      <c r="A148" s="80" t="n">
        <v>147</v>
      </c>
      <c r="B148" s="79" t="n"/>
      <c r="C148" s="79" t="n"/>
      <c r="D148" s="79" t="n"/>
      <c r="E148" s="79" t="n"/>
      <c r="F148" s="80" t="n"/>
      <c r="G148" s="80" t="n"/>
      <c r="H148" s="80">
        <f>IF(OR(F148="",G148=""),"",F148*G148)</f>
        <v/>
      </c>
      <c r="I148" s="79" t="n"/>
      <c r="J148" s="79" t="n"/>
      <c r="K148" s="80" t="n"/>
      <c r="L148" s="80" t="n"/>
      <c r="M148" s="80" t="n"/>
      <c r="N148" s="79" t="n"/>
    </row>
    <row r="149">
      <c r="A149" s="80" t="n">
        <v>148</v>
      </c>
      <c r="B149" s="79" t="n"/>
      <c r="C149" s="79" t="n"/>
      <c r="D149" s="79" t="n"/>
      <c r="E149" s="79" t="n"/>
      <c r="F149" s="80" t="n"/>
      <c r="G149" s="80" t="n"/>
      <c r="H149" s="80">
        <f>IF(OR(F149="",G149=""),"",F149*G149)</f>
        <v/>
      </c>
      <c r="I149" s="79" t="n"/>
      <c r="J149" s="79" t="n"/>
      <c r="K149" s="80" t="n"/>
      <c r="L149" s="80" t="n"/>
      <c r="M149" s="80" t="n"/>
      <c r="N149" s="79" t="n"/>
    </row>
    <row r="150">
      <c r="A150" s="80" t="n">
        <v>149</v>
      </c>
      <c r="B150" s="79" t="n"/>
      <c r="C150" s="79" t="n"/>
      <c r="D150" s="79" t="n"/>
      <c r="E150" s="79" t="n"/>
      <c r="F150" s="80" t="n"/>
      <c r="G150" s="80" t="n"/>
      <c r="H150" s="80">
        <f>IF(OR(F150="",G150=""),"",F150*G150)</f>
        <v/>
      </c>
      <c r="I150" s="79" t="n"/>
      <c r="J150" s="79" t="n"/>
      <c r="K150" s="80" t="n"/>
      <c r="L150" s="80" t="n"/>
      <c r="M150" s="80" t="n"/>
      <c r="N150" s="79" t="n"/>
    </row>
    <row r="151">
      <c r="A151" s="80" t="n">
        <v>150</v>
      </c>
      <c r="B151" s="79" t="n"/>
      <c r="C151" s="79" t="n"/>
      <c r="D151" s="79" t="n"/>
      <c r="E151" s="79" t="n"/>
      <c r="F151" s="80" t="n"/>
      <c r="G151" s="80" t="n"/>
      <c r="H151" s="80">
        <f>IF(OR(F151="",G151=""),"",F151*G151)</f>
        <v/>
      </c>
      <c r="I151" s="79" t="n"/>
      <c r="J151" s="79" t="n"/>
      <c r="K151" s="80" t="n"/>
      <c r="L151" s="80" t="n"/>
      <c r="M151" s="80" t="n"/>
      <c r="N151" s="79" t="n"/>
    </row>
    <row r="152">
      <c r="A152" s="80" t="n">
        <v>151</v>
      </c>
      <c r="B152" s="79" t="n"/>
      <c r="C152" s="79" t="n"/>
      <c r="D152" s="79" t="n"/>
      <c r="E152" s="79" t="n"/>
      <c r="F152" s="80" t="n"/>
      <c r="G152" s="80" t="n"/>
      <c r="H152" s="80">
        <f>IF(OR(F152="",G152=""),"",F152*G152)</f>
        <v/>
      </c>
      <c r="I152" s="79" t="n"/>
      <c r="J152" s="79" t="n"/>
      <c r="K152" s="80" t="n"/>
      <c r="L152" s="80" t="n"/>
      <c r="M152" s="80" t="n"/>
      <c r="N152" s="79" t="n"/>
    </row>
    <row r="153">
      <c r="A153" s="80" t="n">
        <v>152</v>
      </c>
      <c r="B153" s="79" t="n"/>
      <c r="C153" s="79" t="n"/>
      <c r="D153" s="79" t="n"/>
      <c r="E153" s="79" t="n"/>
      <c r="F153" s="80" t="n"/>
      <c r="G153" s="80" t="n"/>
      <c r="H153" s="80">
        <f>IF(OR(F153="",G153=""),"",F153*G153)</f>
        <v/>
      </c>
      <c r="I153" s="79" t="n"/>
      <c r="J153" s="79" t="n"/>
      <c r="K153" s="80" t="n"/>
      <c r="L153" s="80" t="n"/>
      <c r="M153" s="80" t="n"/>
      <c r="N153" s="79" t="n"/>
    </row>
    <row r="154">
      <c r="A154" s="80" t="n">
        <v>153</v>
      </c>
      <c r="B154" s="79" t="n"/>
      <c r="C154" s="79" t="n"/>
      <c r="D154" s="79" t="n"/>
      <c r="E154" s="79" t="n"/>
      <c r="F154" s="80" t="n"/>
      <c r="G154" s="80" t="n"/>
      <c r="H154" s="80">
        <f>IF(OR(F154="",G154=""),"",F154*G154)</f>
        <v/>
      </c>
      <c r="I154" s="79" t="n"/>
      <c r="J154" s="79" t="n"/>
      <c r="K154" s="80" t="n"/>
      <c r="L154" s="80" t="n"/>
      <c r="M154" s="80" t="n"/>
      <c r="N154" s="79" t="n"/>
    </row>
    <row r="155">
      <c r="A155" s="80" t="n">
        <v>154</v>
      </c>
      <c r="B155" s="79" t="n"/>
      <c r="C155" s="79" t="n"/>
      <c r="D155" s="79" t="n"/>
      <c r="E155" s="79" t="n"/>
      <c r="F155" s="80" t="n"/>
      <c r="G155" s="80" t="n"/>
      <c r="H155" s="80">
        <f>IF(OR(F155="",G155=""),"",F155*G155)</f>
        <v/>
      </c>
      <c r="I155" s="79" t="n"/>
      <c r="J155" s="79" t="n"/>
      <c r="K155" s="80" t="n"/>
      <c r="L155" s="80" t="n"/>
      <c r="M155" s="80" t="n"/>
      <c r="N155" s="79" t="n"/>
    </row>
    <row r="156">
      <c r="A156" s="80" t="n">
        <v>155</v>
      </c>
      <c r="B156" s="79" t="n"/>
      <c r="C156" s="79" t="n"/>
      <c r="D156" s="79" t="n"/>
      <c r="E156" s="79" t="n"/>
      <c r="F156" s="80" t="n"/>
      <c r="G156" s="80" t="n"/>
      <c r="H156" s="80">
        <f>IF(OR(F156="",G156=""),"",F156*G156)</f>
        <v/>
      </c>
      <c r="I156" s="79" t="n"/>
      <c r="J156" s="79" t="n"/>
      <c r="K156" s="80" t="n"/>
      <c r="L156" s="80" t="n"/>
      <c r="M156" s="80" t="n"/>
      <c r="N156" s="79" t="n"/>
    </row>
    <row r="157">
      <c r="A157" s="80" t="n">
        <v>156</v>
      </c>
      <c r="B157" s="79" t="n"/>
      <c r="C157" s="79" t="n"/>
      <c r="D157" s="79" t="n"/>
      <c r="E157" s="79" t="n"/>
      <c r="F157" s="80" t="n"/>
      <c r="G157" s="80" t="n"/>
      <c r="H157" s="80">
        <f>IF(OR(F157="",G157=""),"",F157*G157)</f>
        <v/>
      </c>
      <c r="I157" s="79" t="n"/>
      <c r="J157" s="79" t="n"/>
      <c r="K157" s="80" t="n"/>
      <c r="L157" s="80" t="n"/>
      <c r="M157" s="80" t="n"/>
      <c r="N157" s="79" t="n"/>
    </row>
    <row r="158">
      <c r="A158" s="80" t="n">
        <v>157</v>
      </c>
      <c r="B158" s="79" t="n"/>
      <c r="C158" s="79" t="n"/>
      <c r="D158" s="79" t="n"/>
      <c r="E158" s="79" t="n"/>
      <c r="F158" s="80" t="n"/>
      <c r="G158" s="80" t="n"/>
      <c r="H158" s="80">
        <f>IF(OR(F158="",G158=""),"",F158*G158)</f>
        <v/>
      </c>
      <c r="I158" s="79" t="n"/>
      <c r="J158" s="79" t="n"/>
      <c r="K158" s="80" t="n"/>
      <c r="L158" s="80" t="n"/>
      <c r="M158" s="80" t="n"/>
      <c r="N158" s="79" t="n"/>
    </row>
    <row r="159">
      <c r="A159" s="80" t="n">
        <v>158</v>
      </c>
      <c r="B159" s="79" t="n"/>
      <c r="C159" s="79" t="n"/>
      <c r="D159" s="79" t="n"/>
      <c r="E159" s="79" t="n"/>
      <c r="F159" s="80" t="n"/>
      <c r="G159" s="80" t="n"/>
      <c r="H159" s="80">
        <f>IF(OR(F159="",G159=""),"",F159*G159)</f>
        <v/>
      </c>
      <c r="I159" s="79" t="n"/>
      <c r="J159" s="79" t="n"/>
      <c r="K159" s="80" t="n"/>
      <c r="L159" s="80" t="n"/>
      <c r="M159" s="80" t="n"/>
      <c r="N159" s="79" t="n"/>
    </row>
    <row r="160">
      <c r="A160" s="80" t="n">
        <v>159</v>
      </c>
      <c r="B160" s="79" t="n"/>
      <c r="C160" s="79" t="n"/>
      <c r="D160" s="79" t="n"/>
      <c r="E160" s="79" t="n"/>
      <c r="F160" s="80" t="n"/>
      <c r="G160" s="80" t="n"/>
      <c r="H160" s="80">
        <f>IF(OR(F160="",G160=""),"",F160*G160)</f>
        <v/>
      </c>
      <c r="I160" s="79" t="n"/>
      <c r="J160" s="79" t="n"/>
      <c r="K160" s="80" t="n"/>
      <c r="L160" s="80" t="n"/>
      <c r="M160" s="80" t="n"/>
      <c r="N160" s="79" t="n"/>
    </row>
    <row r="161">
      <c r="A161" s="80" t="n">
        <v>160</v>
      </c>
      <c r="B161" s="79" t="n"/>
      <c r="C161" s="79" t="n"/>
      <c r="D161" s="79" t="n"/>
      <c r="E161" s="79" t="n"/>
      <c r="F161" s="80" t="n"/>
      <c r="G161" s="80" t="n"/>
      <c r="H161" s="80">
        <f>IF(OR(F161="",G161=""),"",F161*G161)</f>
        <v/>
      </c>
      <c r="I161" s="79" t="n"/>
      <c r="J161" s="79" t="n"/>
      <c r="K161" s="80" t="n"/>
      <c r="L161" s="80" t="n"/>
      <c r="M161" s="80" t="n"/>
      <c r="N161" s="79" t="n"/>
    </row>
    <row r="162">
      <c r="A162" s="80" t="n">
        <v>161</v>
      </c>
      <c r="B162" s="79" t="n"/>
      <c r="C162" s="79" t="n"/>
      <c r="D162" s="79" t="n"/>
      <c r="E162" s="79" t="n"/>
      <c r="F162" s="80" t="n"/>
      <c r="G162" s="80" t="n"/>
      <c r="H162" s="80">
        <f>IF(OR(F162="",G162=""),"",F162*G162)</f>
        <v/>
      </c>
      <c r="I162" s="79" t="n"/>
      <c r="J162" s="79" t="n"/>
      <c r="K162" s="80" t="n"/>
      <c r="L162" s="80" t="n"/>
      <c r="M162" s="80" t="n"/>
      <c r="N162" s="79" t="n"/>
    </row>
    <row r="163">
      <c r="A163" s="80" t="n">
        <v>162</v>
      </c>
      <c r="B163" s="79" t="n"/>
      <c r="C163" s="79" t="n"/>
      <c r="D163" s="79" t="n"/>
      <c r="E163" s="79" t="n"/>
      <c r="F163" s="80" t="n"/>
      <c r="G163" s="80" t="n"/>
      <c r="H163" s="80">
        <f>IF(OR(F163="",G163=""),"",F163*G163)</f>
        <v/>
      </c>
      <c r="I163" s="79" t="n"/>
      <c r="J163" s="79" t="n"/>
      <c r="K163" s="80" t="n"/>
      <c r="L163" s="80" t="n"/>
      <c r="M163" s="80" t="n"/>
      <c r="N163" s="79" t="n"/>
    </row>
    <row r="164">
      <c r="A164" s="80" t="n">
        <v>163</v>
      </c>
      <c r="B164" s="79" t="n"/>
      <c r="C164" s="79" t="n"/>
      <c r="D164" s="79" t="n"/>
      <c r="E164" s="79" t="n"/>
      <c r="F164" s="80" t="n"/>
      <c r="G164" s="80" t="n"/>
      <c r="H164" s="80">
        <f>IF(OR(F164="",G164=""),"",F164*G164)</f>
        <v/>
      </c>
      <c r="I164" s="79" t="n"/>
      <c r="J164" s="79" t="n"/>
      <c r="K164" s="80" t="n"/>
      <c r="L164" s="80" t="n"/>
      <c r="M164" s="80" t="n"/>
      <c r="N164" s="79" t="n"/>
    </row>
    <row r="165">
      <c r="A165" s="80" t="n">
        <v>164</v>
      </c>
      <c r="B165" s="79" t="n"/>
      <c r="C165" s="79" t="n"/>
      <c r="D165" s="79" t="n"/>
      <c r="E165" s="79" t="n"/>
      <c r="F165" s="80" t="n"/>
      <c r="G165" s="80" t="n"/>
      <c r="H165" s="80">
        <f>IF(OR(F165="",G165=""),"",F165*G165)</f>
        <v/>
      </c>
      <c r="I165" s="79" t="n"/>
      <c r="J165" s="79" t="n"/>
      <c r="K165" s="80" t="n"/>
      <c r="L165" s="80" t="n"/>
      <c r="M165" s="80" t="n"/>
      <c r="N165" s="79" t="n"/>
    </row>
    <row r="166">
      <c r="A166" s="80" t="n">
        <v>165</v>
      </c>
      <c r="B166" s="79" t="n"/>
      <c r="C166" s="79" t="n"/>
      <c r="D166" s="79" t="n"/>
      <c r="E166" s="79" t="n"/>
      <c r="F166" s="80" t="n"/>
      <c r="G166" s="80" t="n"/>
      <c r="H166" s="80">
        <f>IF(OR(F166="",G166=""),"",F166*G166)</f>
        <v/>
      </c>
      <c r="I166" s="79" t="n"/>
      <c r="J166" s="79" t="n"/>
      <c r="K166" s="80" t="n"/>
      <c r="L166" s="80" t="n"/>
      <c r="M166" s="80" t="n"/>
      <c r="N166" s="79" t="n"/>
    </row>
    <row r="167">
      <c r="A167" s="80" t="n">
        <v>166</v>
      </c>
      <c r="B167" s="79" t="n"/>
      <c r="C167" s="79" t="n"/>
      <c r="D167" s="79" t="n"/>
      <c r="E167" s="79" t="n"/>
      <c r="F167" s="80" t="n"/>
      <c r="G167" s="80" t="n"/>
      <c r="H167" s="80">
        <f>IF(OR(F167="",G167=""),"",F167*G167)</f>
        <v/>
      </c>
      <c r="I167" s="79" t="n"/>
      <c r="J167" s="79" t="n"/>
      <c r="K167" s="80" t="n"/>
      <c r="L167" s="80" t="n"/>
      <c r="M167" s="80" t="n"/>
      <c r="N167" s="79" t="n"/>
    </row>
    <row r="168">
      <c r="A168" s="80" t="n">
        <v>167</v>
      </c>
      <c r="B168" s="79" t="n"/>
      <c r="C168" s="79" t="n"/>
      <c r="D168" s="79" t="n"/>
      <c r="E168" s="79" t="n"/>
      <c r="F168" s="80" t="n"/>
      <c r="G168" s="80" t="n"/>
      <c r="H168" s="80">
        <f>IF(OR(F168="",G168=""),"",F168*G168)</f>
        <v/>
      </c>
      <c r="I168" s="79" t="n"/>
      <c r="J168" s="79" t="n"/>
      <c r="K168" s="80" t="n"/>
      <c r="L168" s="80" t="n"/>
      <c r="M168" s="80" t="n"/>
      <c r="N168" s="79" t="n"/>
    </row>
    <row r="169">
      <c r="A169" s="80" t="n">
        <v>168</v>
      </c>
      <c r="B169" s="79" t="n"/>
      <c r="C169" s="79" t="n"/>
      <c r="D169" s="79" t="n"/>
      <c r="E169" s="79" t="n"/>
      <c r="F169" s="80" t="n"/>
      <c r="G169" s="80" t="n"/>
      <c r="H169" s="80">
        <f>IF(OR(F169="",G169=""),"",F169*G169)</f>
        <v/>
      </c>
      <c r="I169" s="79" t="n"/>
      <c r="J169" s="79" t="n"/>
      <c r="K169" s="80" t="n"/>
      <c r="L169" s="80" t="n"/>
      <c r="M169" s="80" t="n"/>
      <c r="N169" s="79" t="n"/>
    </row>
    <row r="170">
      <c r="A170" s="80" t="n">
        <v>169</v>
      </c>
      <c r="B170" s="79" t="n"/>
      <c r="C170" s="79" t="n"/>
      <c r="D170" s="79" t="n"/>
      <c r="E170" s="79" t="n"/>
      <c r="F170" s="80" t="n"/>
      <c r="G170" s="80" t="n"/>
      <c r="H170" s="80">
        <f>IF(OR(F170="",G170=""),"",F170*G170)</f>
        <v/>
      </c>
      <c r="I170" s="79" t="n"/>
      <c r="J170" s="79" t="n"/>
      <c r="K170" s="80" t="n"/>
      <c r="L170" s="80" t="n"/>
      <c r="M170" s="80" t="n"/>
      <c r="N170" s="79" t="n"/>
    </row>
    <row r="171">
      <c r="A171" s="80" t="n">
        <v>170</v>
      </c>
      <c r="B171" s="79" t="n"/>
      <c r="C171" s="79" t="n"/>
      <c r="D171" s="79" t="n"/>
      <c r="E171" s="79" t="n"/>
      <c r="F171" s="80" t="n"/>
      <c r="G171" s="80" t="n"/>
      <c r="H171" s="80">
        <f>IF(OR(F171="",G171=""),"",F171*G171)</f>
        <v/>
      </c>
      <c r="I171" s="79" t="n"/>
      <c r="J171" s="79" t="n"/>
      <c r="K171" s="80" t="n"/>
      <c r="L171" s="80" t="n"/>
      <c r="M171" s="80" t="n"/>
      <c r="N171" s="79" t="n"/>
    </row>
    <row r="172">
      <c r="A172" s="80" t="n">
        <v>171</v>
      </c>
      <c r="B172" s="79" t="n"/>
      <c r="C172" s="79" t="n"/>
      <c r="D172" s="79" t="n"/>
      <c r="E172" s="79" t="n"/>
      <c r="F172" s="80" t="n"/>
      <c r="G172" s="80" t="n"/>
      <c r="H172" s="80">
        <f>IF(OR(F172="",G172=""),"",F172*G172)</f>
        <v/>
      </c>
      <c r="I172" s="79" t="n"/>
      <c r="J172" s="79" t="n"/>
      <c r="K172" s="80" t="n"/>
      <c r="L172" s="80" t="n"/>
      <c r="M172" s="80" t="n"/>
      <c r="N172" s="79" t="n"/>
    </row>
    <row r="173">
      <c r="A173" s="80" t="n">
        <v>172</v>
      </c>
      <c r="B173" s="79" t="n"/>
      <c r="C173" s="79" t="n"/>
      <c r="D173" s="79" t="n"/>
      <c r="E173" s="79" t="n"/>
      <c r="F173" s="80" t="n"/>
      <c r="G173" s="80" t="n"/>
      <c r="H173" s="80">
        <f>IF(OR(F173="",G173=""),"",F173*G173)</f>
        <v/>
      </c>
      <c r="I173" s="79" t="n"/>
      <c r="J173" s="79" t="n"/>
      <c r="K173" s="80" t="n"/>
      <c r="L173" s="80" t="n"/>
      <c r="M173" s="80" t="n"/>
      <c r="N173" s="79" t="n"/>
    </row>
    <row r="174">
      <c r="A174" s="80" t="n">
        <v>173</v>
      </c>
      <c r="B174" s="79" t="n"/>
      <c r="C174" s="79" t="n"/>
      <c r="D174" s="79" t="n"/>
      <c r="E174" s="79" t="n"/>
      <c r="F174" s="80" t="n"/>
      <c r="G174" s="80" t="n"/>
      <c r="H174" s="80">
        <f>IF(OR(F174="",G174=""),"",F174*G174)</f>
        <v/>
      </c>
      <c r="I174" s="79" t="n"/>
      <c r="J174" s="79" t="n"/>
      <c r="K174" s="80" t="n"/>
      <c r="L174" s="80" t="n"/>
      <c r="M174" s="80" t="n"/>
      <c r="N174" s="79" t="n"/>
    </row>
    <row r="175">
      <c r="A175" s="80" t="n">
        <v>174</v>
      </c>
      <c r="B175" s="79" t="n"/>
      <c r="C175" s="79" t="n"/>
      <c r="D175" s="79" t="n"/>
      <c r="E175" s="79" t="n"/>
      <c r="F175" s="80" t="n"/>
      <c r="G175" s="80" t="n"/>
      <c r="H175" s="80">
        <f>IF(OR(F175="",G175=""),"",F175*G175)</f>
        <v/>
      </c>
      <c r="I175" s="79" t="n"/>
      <c r="J175" s="79" t="n"/>
      <c r="K175" s="80" t="n"/>
      <c r="L175" s="80" t="n"/>
      <c r="M175" s="80" t="n"/>
      <c r="N175" s="79" t="n"/>
    </row>
    <row r="176">
      <c r="A176" s="80" t="n">
        <v>175</v>
      </c>
      <c r="B176" s="79" t="n"/>
      <c r="C176" s="79" t="n"/>
      <c r="D176" s="79" t="n"/>
      <c r="E176" s="79" t="n"/>
      <c r="F176" s="80" t="n"/>
      <c r="G176" s="80" t="n"/>
      <c r="H176" s="80">
        <f>IF(OR(F176="",G176=""),"",F176*G176)</f>
        <v/>
      </c>
      <c r="I176" s="79" t="n"/>
      <c r="J176" s="79" t="n"/>
      <c r="K176" s="80" t="n"/>
      <c r="L176" s="80" t="n"/>
      <c r="M176" s="80" t="n"/>
      <c r="N176" s="79" t="n"/>
    </row>
    <row r="177">
      <c r="A177" s="80" t="n">
        <v>176</v>
      </c>
      <c r="B177" s="79" t="n"/>
      <c r="C177" s="79" t="n"/>
      <c r="D177" s="79" t="n"/>
      <c r="E177" s="79" t="n"/>
      <c r="F177" s="80" t="n"/>
      <c r="G177" s="80" t="n"/>
      <c r="H177" s="80">
        <f>IF(OR(F177="",G177=""),"",F177*G177)</f>
        <v/>
      </c>
      <c r="I177" s="79" t="n"/>
      <c r="J177" s="79" t="n"/>
      <c r="K177" s="80" t="n"/>
      <c r="L177" s="80" t="n"/>
      <c r="M177" s="80" t="n"/>
      <c r="N177" s="79" t="n"/>
    </row>
    <row r="178">
      <c r="A178" s="80" t="n">
        <v>177</v>
      </c>
      <c r="B178" s="79" t="n"/>
      <c r="C178" s="79" t="n"/>
      <c r="D178" s="79" t="n"/>
      <c r="E178" s="79" t="n"/>
      <c r="F178" s="80" t="n"/>
      <c r="G178" s="80" t="n"/>
      <c r="H178" s="80">
        <f>IF(OR(F178="",G178=""),"",F178*G178)</f>
        <v/>
      </c>
      <c r="I178" s="79" t="n"/>
      <c r="J178" s="79" t="n"/>
      <c r="K178" s="80" t="n"/>
      <c r="L178" s="80" t="n"/>
      <c r="M178" s="80" t="n"/>
      <c r="N178" s="79" t="n"/>
    </row>
    <row r="179">
      <c r="A179" s="80" t="n">
        <v>178</v>
      </c>
      <c r="B179" s="79" t="n"/>
      <c r="C179" s="79" t="n"/>
      <c r="D179" s="79" t="n"/>
      <c r="E179" s="79" t="n"/>
      <c r="F179" s="80" t="n"/>
      <c r="G179" s="80" t="n"/>
      <c r="H179" s="80">
        <f>IF(OR(F179="",G179=""),"",F179*G179)</f>
        <v/>
      </c>
      <c r="I179" s="79" t="n"/>
      <c r="J179" s="79" t="n"/>
      <c r="K179" s="80" t="n"/>
      <c r="L179" s="80" t="n"/>
      <c r="M179" s="80" t="n"/>
      <c r="N179" s="79" t="n"/>
    </row>
    <row r="180">
      <c r="A180" s="80" t="n">
        <v>179</v>
      </c>
      <c r="B180" s="79" t="n"/>
      <c r="C180" s="79" t="n"/>
      <c r="D180" s="79" t="n"/>
      <c r="E180" s="79" t="n"/>
      <c r="F180" s="80" t="n"/>
      <c r="G180" s="80" t="n"/>
      <c r="H180" s="80">
        <f>IF(OR(F180="",G180=""),"",F180*G180)</f>
        <v/>
      </c>
      <c r="I180" s="79" t="n"/>
      <c r="J180" s="79" t="n"/>
      <c r="K180" s="80" t="n"/>
      <c r="L180" s="80" t="n"/>
      <c r="M180" s="80" t="n"/>
      <c r="N180" s="79" t="n"/>
    </row>
    <row r="181">
      <c r="A181" s="80" t="n">
        <v>180</v>
      </c>
      <c r="B181" s="79" t="n"/>
      <c r="C181" s="79" t="n"/>
      <c r="D181" s="79" t="n"/>
      <c r="E181" s="79" t="n"/>
      <c r="F181" s="80" t="n"/>
      <c r="G181" s="80" t="n"/>
      <c r="H181" s="80">
        <f>IF(OR(F181="",G181=""),"",F181*G181)</f>
        <v/>
      </c>
      <c r="I181" s="79" t="n"/>
      <c r="J181" s="79" t="n"/>
      <c r="K181" s="80" t="n"/>
      <c r="L181" s="80" t="n"/>
      <c r="M181" s="80" t="n"/>
      <c r="N181" s="79" t="n"/>
    </row>
    <row r="182">
      <c r="A182" s="80" t="n">
        <v>181</v>
      </c>
      <c r="B182" s="79" t="n"/>
      <c r="C182" s="79" t="n"/>
      <c r="D182" s="79" t="n"/>
      <c r="E182" s="79" t="n"/>
      <c r="F182" s="80" t="n"/>
      <c r="G182" s="80" t="n"/>
      <c r="H182" s="80">
        <f>IF(OR(F182="",G182=""),"",F182*G182)</f>
        <v/>
      </c>
      <c r="I182" s="79" t="n"/>
      <c r="J182" s="79" t="n"/>
      <c r="K182" s="80" t="n"/>
      <c r="L182" s="80" t="n"/>
      <c r="M182" s="80" t="n"/>
      <c r="N182" s="79" t="n"/>
    </row>
    <row r="183">
      <c r="A183" s="80" t="n">
        <v>182</v>
      </c>
      <c r="B183" s="79" t="n"/>
      <c r="C183" s="79" t="n"/>
      <c r="D183" s="79" t="n"/>
      <c r="E183" s="79" t="n"/>
      <c r="F183" s="80" t="n"/>
      <c r="G183" s="80" t="n"/>
      <c r="H183" s="80">
        <f>IF(OR(F183="",G183=""),"",F183*G183)</f>
        <v/>
      </c>
      <c r="I183" s="79" t="n"/>
      <c r="J183" s="79" t="n"/>
      <c r="K183" s="80" t="n"/>
      <c r="L183" s="80" t="n"/>
      <c r="M183" s="80" t="n"/>
      <c r="N183" s="79" t="n"/>
    </row>
    <row r="184">
      <c r="A184" s="80" t="n">
        <v>183</v>
      </c>
      <c r="B184" s="79" t="n"/>
      <c r="C184" s="79" t="n"/>
      <c r="D184" s="79" t="n"/>
      <c r="E184" s="79" t="n"/>
      <c r="F184" s="80" t="n"/>
      <c r="G184" s="80" t="n"/>
      <c r="H184" s="80">
        <f>IF(OR(F184="",G184=""),"",F184*G184)</f>
        <v/>
      </c>
      <c r="I184" s="79" t="n"/>
      <c r="J184" s="79" t="n"/>
      <c r="K184" s="80" t="n"/>
      <c r="L184" s="80" t="n"/>
      <c r="M184" s="80" t="n"/>
      <c r="N184" s="79" t="n"/>
    </row>
    <row r="185">
      <c r="A185" s="80" t="n">
        <v>184</v>
      </c>
      <c r="B185" s="79" t="n"/>
      <c r="C185" s="79" t="n"/>
      <c r="D185" s="79" t="n"/>
      <c r="E185" s="79" t="n"/>
      <c r="F185" s="80" t="n"/>
      <c r="G185" s="80" t="n"/>
      <c r="H185" s="80">
        <f>IF(OR(F185="",G185=""),"",F185*G185)</f>
        <v/>
      </c>
      <c r="I185" s="79" t="n"/>
      <c r="J185" s="79" t="n"/>
      <c r="K185" s="80" t="n"/>
      <c r="L185" s="80" t="n"/>
      <c r="M185" s="80" t="n"/>
      <c r="N185" s="79" t="n"/>
    </row>
    <row r="186">
      <c r="A186" s="80" t="n">
        <v>185</v>
      </c>
      <c r="B186" s="79" t="n"/>
      <c r="C186" s="79" t="n"/>
      <c r="D186" s="79" t="n"/>
      <c r="E186" s="79" t="n"/>
      <c r="F186" s="80" t="n"/>
      <c r="G186" s="80" t="n"/>
      <c r="H186" s="80">
        <f>IF(OR(F186="",G186=""),"",F186*G186)</f>
        <v/>
      </c>
      <c r="I186" s="79" t="n"/>
      <c r="J186" s="79" t="n"/>
      <c r="K186" s="80" t="n"/>
      <c r="L186" s="80" t="n"/>
      <c r="M186" s="80" t="n"/>
      <c r="N186" s="79" t="n"/>
    </row>
    <row r="187">
      <c r="A187" s="80" t="n">
        <v>186</v>
      </c>
      <c r="B187" s="79" t="n"/>
      <c r="C187" s="79" t="n"/>
      <c r="D187" s="79" t="n"/>
      <c r="E187" s="79" t="n"/>
      <c r="F187" s="80" t="n"/>
      <c r="G187" s="80" t="n"/>
      <c r="H187" s="80">
        <f>IF(OR(F187="",G187=""),"",F187*G187)</f>
        <v/>
      </c>
      <c r="I187" s="79" t="n"/>
      <c r="J187" s="79" t="n"/>
      <c r="K187" s="80" t="n"/>
      <c r="L187" s="80" t="n"/>
      <c r="M187" s="80" t="n"/>
      <c r="N187" s="79" t="n"/>
    </row>
    <row r="188">
      <c r="A188" s="80" t="n">
        <v>187</v>
      </c>
      <c r="B188" s="79" t="n"/>
      <c r="C188" s="79" t="n"/>
      <c r="D188" s="79" t="n"/>
      <c r="E188" s="79" t="n"/>
      <c r="F188" s="80" t="n"/>
      <c r="G188" s="80" t="n"/>
      <c r="H188" s="80">
        <f>IF(OR(F188="",G188=""),"",F188*G188)</f>
        <v/>
      </c>
      <c r="I188" s="79" t="n"/>
      <c r="J188" s="79" t="n"/>
      <c r="K188" s="80" t="n"/>
      <c r="L188" s="80" t="n"/>
      <c r="M188" s="80" t="n"/>
      <c r="N188" s="79" t="n"/>
    </row>
    <row r="189">
      <c r="A189" s="80" t="n">
        <v>188</v>
      </c>
      <c r="B189" s="79" t="n"/>
      <c r="C189" s="79" t="n"/>
      <c r="D189" s="79" t="n"/>
      <c r="E189" s="79" t="n"/>
      <c r="F189" s="80" t="n"/>
      <c r="G189" s="80" t="n"/>
      <c r="H189" s="80">
        <f>IF(OR(F189="",G189=""),"",F189*G189)</f>
        <v/>
      </c>
      <c r="I189" s="79" t="n"/>
      <c r="J189" s="79" t="n"/>
      <c r="K189" s="80" t="n"/>
      <c r="L189" s="80" t="n"/>
      <c r="M189" s="80" t="n"/>
      <c r="N189" s="79" t="n"/>
    </row>
    <row r="190">
      <c r="A190" s="80" t="n">
        <v>189</v>
      </c>
      <c r="B190" s="79" t="n"/>
      <c r="C190" s="79" t="n"/>
      <c r="D190" s="79" t="n"/>
      <c r="E190" s="79" t="n"/>
      <c r="F190" s="80" t="n"/>
      <c r="G190" s="80" t="n"/>
      <c r="H190" s="80">
        <f>IF(OR(F190="",G190=""),"",F190*G190)</f>
        <v/>
      </c>
      <c r="I190" s="79" t="n"/>
      <c r="J190" s="79" t="n"/>
      <c r="K190" s="80" t="n"/>
      <c r="L190" s="80" t="n"/>
      <c r="M190" s="80" t="n"/>
      <c r="N190" s="79" t="n"/>
    </row>
    <row r="191">
      <c r="A191" s="80" t="n">
        <v>190</v>
      </c>
      <c r="B191" s="79" t="n"/>
      <c r="C191" s="79" t="n"/>
      <c r="D191" s="79" t="n"/>
      <c r="E191" s="79" t="n"/>
      <c r="F191" s="80" t="n"/>
      <c r="G191" s="80" t="n"/>
      <c r="H191" s="80">
        <f>IF(OR(F191="",G191=""),"",F191*G191)</f>
        <v/>
      </c>
      <c r="I191" s="79" t="n"/>
      <c r="J191" s="79" t="n"/>
      <c r="K191" s="80" t="n"/>
      <c r="L191" s="80" t="n"/>
      <c r="M191" s="80" t="n"/>
      <c r="N191" s="79" t="n"/>
    </row>
    <row r="192">
      <c r="A192" s="80" t="n">
        <v>191</v>
      </c>
      <c r="B192" s="79" t="n"/>
      <c r="C192" s="79" t="n"/>
      <c r="D192" s="79" t="n"/>
      <c r="E192" s="79" t="n"/>
      <c r="F192" s="80" t="n"/>
      <c r="G192" s="80" t="n"/>
      <c r="H192" s="80">
        <f>IF(OR(F192="",G192=""),"",F192*G192)</f>
        <v/>
      </c>
      <c r="I192" s="79" t="n"/>
      <c r="J192" s="79" t="n"/>
      <c r="K192" s="80" t="n"/>
      <c r="L192" s="80" t="n"/>
      <c r="M192" s="80" t="n"/>
      <c r="N192" s="79" t="n"/>
    </row>
    <row r="193">
      <c r="A193" s="80" t="n">
        <v>192</v>
      </c>
      <c r="B193" s="79" t="n"/>
      <c r="C193" s="79" t="n"/>
      <c r="D193" s="79" t="n"/>
      <c r="E193" s="79" t="n"/>
      <c r="F193" s="80" t="n"/>
      <c r="G193" s="80" t="n"/>
      <c r="H193" s="80">
        <f>IF(OR(F193="",G193=""),"",F193*G193)</f>
        <v/>
      </c>
      <c r="I193" s="79" t="n"/>
      <c r="J193" s="79" t="n"/>
      <c r="K193" s="80" t="n"/>
      <c r="L193" s="80" t="n"/>
      <c r="M193" s="80" t="n"/>
      <c r="N193" s="79" t="n"/>
    </row>
    <row r="194">
      <c r="A194" s="80" t="n">
        <v>193</v>
      </c>
      <c r="B194" s="79" t="n"/>
      <c r="C194" s="79" t="n"/>
      <c r="D194" s="79" t="n"/>
      <c r="E194" s="79" t="n"/>
      <c r="F194" s="80" t="n"/>
      <c r="G194" s="80" t="n"/>
      <c r="H194" s="80">
        <f>IF(OR(F194="",G194=""),"",F194*G194)</f>
        <v/>
      </c>
      <c r="I194" s="79" t="n"/>
      <c r="J194" s="79" t="n"/>
      <c r="K194" s="80" t="n"/>
      <c r="L194" s="80" t="n"/>
      <c r="M194" s="80" t="n"/>
      <c r="N194" s="79" t="n"/>
    </row>
    <row r="195">
      <c r="A195" s="80" t="n">
        <v>194</v>
      </c>
      <c r="B195" s="79" t="n"/>
      <c r="C195" s="79" t="n"/>
      <c r="D195" s="79" t="n"/>
      <c r="E195" s="79" t="n"/>
      <c r="F195" s="80" t="n"/>
      <c r="G195" s="80" t="n"/>
      <c r="H195" s="80">
        <f>IF(OR(F195="",G195=""),"",F195*G195)</f>
        <v/>
      </c>
      <c r="I195" s="79" t="n"/>
      <c r="J195" s="79" t="n"/>
      <c r="K195" s="80" t="n"/>
      <c r="L195" s="80" t="n"/>
      <c r="M195" s="80" t="n"/>
      <c r="N195" s="79" t="n"/>
    </row>
    <row r="196">
      <c r="A196" s="80" t="n">
        <v>195</v>
      </c>
      <c r="B196" s="79" t="n"/>
      <c r="C196" s="79" t="n"/>
      <c r="D196" s="79" t="n"/>
      <c r="E196" s="79" t="n"/>
      <c r="F196" s="80" t="n"/>
      <c r="G196" s="80" t="n"/>
      <c r="H196" s="80">
        <f>IF(OR(F196="",G196=""),"",F196*G196)</f>
        <v/>
      </c>
      <c r="I196" s="79" t="n"/>
      <c r="J196" s="79" t="n"/>
      <c r="K196" s="80" t="n"/>
      <c r="L196" s="80" t="n"/>
      <c r="M196" s="80" t="n"/>
      <c r="N196" s="79" t="n"/>
    </row>
    <row r="197">
      <c r="A197" s="80" t="n">
        <v>196</v>
      </c>
      <c r="B197" s="79" t="n"/>
      <c r="C197" s="79" t="n"/>
      <c r="D197" s="79" t="n"/>
      <c r="E197" s="79" t="n"/>
      <c r="F197" s="80" t="n"/>
      <c r="G197" s="80" t="n"/>
      <c r="H197" s="80">
        <f>IF(OR(F197="",G197=""),"",F197*G197)</f>
        <v/>
      </c>
      <c r="I197" s="79" t="n"/>
      <c r="J197" s="79" t="n"/>
      <c r="K197" s="80" t="n"/>
      <c r="L197" s="80" t="n"/>
      <c r="M197" s="80" t="n"/>
      <c r="N197" s="79" t="n"/>
    </row>
    <row r="198">
      <c r="A198" s="80" t="n">
        <v>197</v>
      </c>
      <c r="B198" s="79" t="n"/>
      <c r="C198" s="79" t="n"/>
      <c r="D198" s="79" t="n"/>
      <c r="E198" s="79" t="n"/>
      <c r="F198" s="80" t="n"/>
      <c r="G198" s="80" t="n"/>
      <c r="H198" s="80">
        <f>IF(OR(F198="",G198=""),"",F198*G198)</f>
        <v/>
      </c>
      <c r="I198" s="79" t="n"/>
      <c r="J198" s="79" t="n"/>
      <c r="K198" s="80" t="n"/>
      <c r="L198" s="80" t="n"/>
      <c r="M198" s="80" t="n"/>
      <c r="N198" s="79" t="n"/>
    </row>
    <row r="199">
      <c r="A199" s="80" t="n">
        <v>198</v>
      </c>
      <c r="B199" s="79" t="n"/>
      <c r="C199" s="79" t="n"/>
      <c r="D199" s="79" t="n"/>
      <c r="E199" s="79" t="n"/>
      <c r="F199" s="80" t="n"/>
      <c r="G199" s="80" t="n"/>
      <c r="H199" s="80">
        <f>IF(OR(F199="",G199=""),"",F199*G199)</f>
        <v/>
      </c>
      <c r="I199" s="79" t="n"/>
      <c r="J199" s="79" t="n"/>
      <c r="K199" s="80" t="n"/>
      <c r="L199" s="80" t="n"/>
      <c r="M199" s="80" t="n"/>
      <c r="N199" s="79" t="n"/>
    </row>
    <row r="200">
      <c r="A200" s="80" t="n">
        <v>199</v>
      </c>
      <c r="B200" s="79" t="n"/>
      <c r="C200" s="79" t="n"/>
      <c r="D200" s="79" t="n"/>
      <c r="E200" s="79" t="n"/>
      <c r="F200" s="80" t="n"/>
      <c r="G200" s="80" t="n"/>
      <c r="H200" s="80">
        <f>IF(OR(F200="",G200=""),"",F200*G200)</f>
        <v/>
      </c>
      <c r="I200" s="79" t="n"/>
      <c r="J200" s="79" t="n"/>
      <c r="K200" s="80" t="n"/>
      <c r="L200" s="80" t="n"/>
      <c r="M200" s="80" t="n"/>
      <c r="N200" s="79" t="n"/>
    </row>
    <row r="201">
      <c r="A201" s="80" t="n">
        <v>200</v>
      </c>
      <c r="B201" s="79" t="n"/>
      <c r="C201" s="79" t="n"/>
      <c r="D201" s="79" t="n"/>
      <c r="E201" s="79" t="n"/>
      <c r="F201" s="80" t="n"/>
      <c r="G201" s="80" t="n"/>
      <c r="H201" s="80">
        <f>IF(OR(F201="",G201=""),"",F201*G201)</f>
        <v/>
      </c>
      <c r="I201" s="79" t="n"/>
      <c r="J201" s="79" t="n"/>
      <c r="K201" s="80" t="n"/>
      <c r="L201" s="80" t="n"/>
      <c r="M201" s="80" t="n"/>
      <c r="N201" s="79" t="n"/>
    </row>
  </sheetData>
  <dataValidations count="4">
    <dataValidation sqref="B2:B201" showDropDown="0" showInputMessage="0" showErrorMessage="0" allowBlank="0" type="list">
      <formula1>"Risk,Assumption,Issue,Dependency"</formula1>
    </dataValidation>
    <dataValidation sqref="I2:I201" showDropDown="0" showInputMessage="0" showErrorMessage="0" allowBlank="0" type="list">
      <formula1>"Open,In Progress,Mitigated,Closed"</formula1>
    </dataValidation>
    <dataValidation sqref="F2:F201" showDropDown="0" showInputMessage="0" showErrorMessage="0" allowBlank="1" type="whole" operator="between">
      <formula1>1</formula1>
      <formula2>5</formula2>
    </dataValidation>
    <dataValidation sqref="G2:G201" showDropDown="0" showInputMessage="0" showErrorMessage="0" allowBlank="1" type="whole" operator="between">
      <formula1>1</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993"/>
  <sheetViews>
    <sheetView workbookViewId="0">
      <selection activeCell="A1" sqref="A1"/>
    </sheetView>
  </sheetViews>
  <sheetFormatPr baseColWidth="8" defaultColWidth="14.43" defaultRowHeight="15" customHeight="1"/>
  <cols>
    <col width="79.86" customWidth="1" style="74" min="1" max="1"/>
    <col width="8" customWidth="1" style="74" min="2" max="6"/>
    <col width="8.710000000000001" customWidth="1" style="74" min="7" max="26"/>
  </cols>
  <sheetData>
    <row r="1">
      <c r="A1" s="1" t="inlineStr">
        <is>
          <t>Adobe Resource Planning Model v2.0 — How to:</t>
        </is>
      </c>
    </row>
    <row r="2">
      <c r="A2" s="13" t="n"/>
    </row>
    <row r="3">
      <c r="A3" s="3" t="inlineStr">
        <is>
          <t xml:space="preserve">1) Review the Plan Tab </t>
        </is>
      </c>
    </row>
    <row r="4">
      <c r="A4" s="4" t="inlineStr">
        <is>
          <t xml:space="preserve">   - Milestone Plan Tab drives the Proposed Solutions tab: Rollups by Role for review</t>
        </is>
      </c>
    </row>
    <row r="5">
      <c r="A5" s="3" t="inlineStr">
        <is>
          <t xml:space="preserve">2) Adjust the Accountable Party Column F </t>
        </is>
      </c>
    </row>
    <row r="6">
      <c r="A6" s="4" t="inlineStr">
        <is>
          <t xml:space="preserve">   - Amber took a first pass at the scrub - Angelie and team take it away!</t>
        </is>
      </c>
    </row>
    <row r="7">
      <c r="A7" s="3" t="inlineStr">
        <is>
          <t>3 ) Review the Summary Tab to understand the impact on the Resource Model</t>
        </is>
      </c>
    </row>
    <row r="8">
      <c r="A8" s="4" t="inlineStr">
        <is>
          <t>- The RACI align with where we land on scope in the Procurement phase we are currently in</t>
        </is>
      </c>
    </row>
    <row r="9">
      <c r="A9" s="13" t="n"/>
    </row>
    <row r="10">
      <c r="A10" s="13" t="n"/>
    </row>
    <row r="11">
      <c r="A11" s="13" t="n"/>
    </row>
    <row r="12">
      <c r="A12" s="13" t="n"/>
    </row>
    <row r="13">
      <c r="A13" s="13" t="n"/>
    </row>
    <row r="14" ht="15.75" customHeight="1" s="74">
      <c r="A14" s="13" t="n"/>
    </row>
    <row r="15" ht="15.75" customHeight="1" s="74">
      <c r="A15" s="13" t="n"/>
    </row>
    <row r="16" ht="15.75" customHeight="1" s="74">
      <c r="A16" s="13" t="n"/>
    </row>
    <row r="17" ht="15.75" customHeight="1" s="74">
      <c r="A17" s="13" t="n"/>
    </row>
    <row r="18" ht="15.75" customHeight="1" s="74">
      <c r="A18" s="13" t="n"/>
    </row>
    <row r="19" ht="15.75" customHeight="1" s="74">
      <c r="A19" s="13" t="n"/>
    </row>
    <row r="20" ht="15.75" customHeight="1" s="74">
      <c r="A20" s="13" t="n"/>
    </row>
    <row r="21" ht="15.75" customHeight="1" s="74">
      <c r="A21" s="13" t="n"/>
    </row>
    <row r="22" ht="15.75" customHeight="1" s="74">
      <c r="A22" s="13" t="n"/>
    </row>
    <row r="23" ht="15.75" customHeight="1" s="74">
      <c r="A23" s="13" t="n"/>
    </row>
    <row r="24" ht="15.75" customHeight="1" s="74">
      <c r="A24" s="13" t="n"/>
    </row>
    <row r="25" ht="15.75" customHeight="1" s="74">
      <c r="A25" s="13" t="n"/>
    </row>
    <row r="26" ht="15.75" customHeight="1" s="74">
      <c r="A26" s="13" t="n"/>
    </row>
    <row r="27" ht="15.75" customHeight="1" s="74">
      <c r="A27" s="13" t="n"/>
    </row>
    <row r="28" ht="15.75" customHeight="1" s="74">
      <c r="A28" s="13" t="n"/>
    </row>
    <row r="29" ht="15.75" customHeight="1" s="74">
      <c r="A29" s="13" t="n"/>
    </row>
    <row r="30" ht="15.75" customHeight="1" s="74">
      <c r="A30" s="13" t="n"/>
    </row>
    <row r="31" ht="15.75" customHeight="1" s="74">
      <c r="A31" s="13" t="n"/>
    </row>
    <row r="32" ht="15.75" customHeight="1" s="74">
      <c r="A32" s="13" t="n"/>
    </row>
    <row r="33" ht="15.75" customHeight="1" s="74">
      <c r="A33" s="13" t="n"/>
    </row>
    <row r="34" ht="15.75" customHeight="1" s="74">
      <c r="A34" s="13" t="n"/>
    </row>
    <row r="35" ht="15.75" customHeight="1" s="74">
      <c r="A35" s="13" t="n"/>
    </row>
    <row r="36" ht="15.75" customHeight="1" s="74">
      <c r="A36" s="13" t="n"/>
    </row>
    <row r="37" ht="15.75" customHeight="1" s="74">
      <c r="A37" s="13" t="n"/>
    </row>
    <row r="38" ht="15.75" customHeight="1" s="74">
      <c r="A38" s="13" t="n"/>
    </row>
    <row r="39" ht="15.75" customHeight="1" s="74">
      <c r="A39" s="13" t="n"/>
    </row>
    <row r="40" ht="15.75" customHeight="1" s="74">
      <c r="A40" s="13" t="n"/>
    </row>
    <row r="41" ht="15.75" customHeight="1" s="74">
      <c r="A41" s="13" t="n"/>
    </row>
    <row r="42" ht="15.75" customHeight="1" s="74">
      <c r="A42" s="13" t="n"/>
    </row>
    <row r="43" ht="15.75" customHeight="1" s="74">
      <c r="A43" s="13" t="n"/>
    </row>
    <row r="44" ht="15.75" customHeight="1" s="74">
      <c r="A44" s="13" t="n"/>
    </row>
    <row r="45" ht="15.75" customHeight="1" s="74">
      <c r="A45" s="13" t="n"/>
    </row>
    <row r="46" ht="15.75" customHeight="1" s="74">
      <c r="A46" s="13" t="n"/>
    </row>
    <row r="47" ht="15.75" customHeight="1" s="74">
      <c r="A47" s="13" t="n"/>
    </row>
    <row r="48" ht="15.75" customHeight="1" s="74">
      <c r="A48" s="13" t="n"/>
    </row>
    <row r="49" ht="15.75" customHeight="1" s="74">
      <c r="A49" s="13" t="n"/>
    </row>
    <row r="50" ht="15.75" customHeight="1" s="74">
      <c r="A50" s="13" t="n"/>
    </row>
    <row r="51" ht="15.75" customHeight="1" s="74">
      <c r="A51" s="13" t="n"/>
    </row>
    <row r="52" ht="15.75" customHeight="1" s="74">
      <c r="A52" s="13" t="n"/>
    </row>
    <row r="53" ht="15.75" customHeight="1" s="74">
      <c r="A53" s="13" t="n"/>
    </row>
    <row r="54" ht="15.75" customHeight="1" s="74">
      <c r="A54" s="13" t="n"/>
    </row>
    <row r="55" ht="15.75" customHeight="1" s="74">
      <c r="A55" s="13" t="n"/>
    </row>
    <row r="56" ht="15.75" customHeight="1" s="74">
      <c r="A56" s="13" t="n"/>
    </row>
    <row r="57" ht="15.75" customHeight="1" s="74">
      <c r="A57" s="13" t="n"/>
    </row>
    <row r="58" ht="15.75" customHeight="1" s="74">
      <c r="A58" s="13" t="n"/>
    </row>
    <row r="59" ht="15.75" customHeight="1" s="74">
      <c r="A59" s="13" t="n"/>
    </row>
    <row r="60" ht="15.75" customHeight="1" s="74">
      <c r="A60" s="13" t="n"/>
    </row>
    <row r="61" ht="15.75" customHeight="1" s="74">
      <c r="A61" s="13" t="n"/>
    </row>
    <row r="62" ht="15.75" customHeight="1" s="74">
      <c r="A62" s="13" t="n"/>
    </row>
    <row r="63" ht="15.75" customHeight="1" s="74">
      <c r="A63" s="13" t="n"/>
    </row>
    <row r="64" ht="15.75" customHeight="1" s="74">
      <c r="A64" s="13" t="n"/>
    </row>
    <row r="65" ht="15.75" customHeight="1" s="74">
      <c r="A65" s="13" t="n"/>
    </row>
    <row r="66" ht="15.75" customHeight="1" s="74">
      <c r="A66" s="13" t="n"/>
    </row>
    <row r="67" ht="15.75" customHeight="1" s="74">
      <c r="A67" s="13" t="n"/>
    </row>
    <row r="68" ht="15.75" customHeight="1" s="74">
      <c r="A68" s="13" t="n"/>
    </row>
    <row r="69" ht="15.75" customHeight="1" s="74">
      <c r="A69" s="13" t="n"/>
    </row>
    <row r="70" ht="15.75" customHeight="1" s="74">
      <c r="A70" s="13" t="n"/>
    </row>
    <row r="71" ht="15.75" customHeight="1" s="74">
      <c r="A71" s="13" t="n"/>
    </row>
    <row r="72" ht="15.75" customHeight="1" s="74">
      <c r="A72" s="13" t="n"/>
    </row>
    <row r="73" ht="15.75" customHeight="1" s="74">
      <c r="A73" s="13" t="n"/>
    </row>
    <row r="74" ht="15.75" customHeight="1" s="74">
      <c r="A74" s="13" t="n"/>
    </row>
    <row r="75" ht="15.75" customHeight="1" s="74">
      <c r="A75" s="13" t="n"/>
    </row>
    <row r="76" ht="15.75" customHeight="1" s="74">
      <c r="A76" s="13" t="n"/>
    </row>
    <row r="77" ht="15.75" customHeight="1" s="74">
      <c r="A77" s="13" t="n"/>
    </row>
    <row r="78" ht="15.75" customHeight="1" s="74">
      <c r="A78" s="13" t="n"/>
    </row>
    <row r="79" ht="15.75" customHeight="1" s="74">
      <c r="A79" s="13" t="n"/>
    </row>
    <row r="80" ht="15.75" customHeight="1" s="74">
      <c r="A80" s="13" t="n"/>
    </row>
    <row r="81" ht="15.75" customHeight="1" s="74">
      <c r="A81" s="13" t="n"/>
    </row>
    <row r="82" ht="15.75" customHeight="1" s="74">
      <c r="A82" s="13" t="n"/>
    </row>
    <row r="83" ht="15.75" customHeight="1" s="74">
      <c r="A83" s="13" t="n"/>
    </row>
    <row r="84" ht="15.75" customHeight="1" s="74">
      <c r="A84" s="13" t="n"/>
    </row>
    <row r="85" ht="15.75" customHeight="1" s="74">
      <c r="A85" s="13" t="n"/>
    </row>
    <row r="86" ht="15.75" customHeight="1" s="74">
      <c r="A86" s="13" t="n"/>
    </row>
    <row r="87" ht="15.75" customHeight="1" s="74">
      <c r="A87" s="13" t="n"/>
    </row>
    <row r="88" ht="15.75" customHeight="1" s="74">
      <c r="A88" s="13" t="n"/>
    </row>
    <row r="89" ht="15.75" customHeight="1" s="74">
      <c r="A89" s="13" t="n"/>
    </row>
    <row r="90" ht="15.75" customHeight="1" s="74">
      <c r="A90" s="13" t="n"/>
    </row>
    <row r="91" ht="15.75" customHeight="1" s="74">
      <c r="A91" s="13" t="n"/>
    </row>
    <row r="92" ht="15.75" customHeight="1" s="74">
      <c r="A92" s="13" t="n"/>
    </row>
    <row r="93" ht="15.75" customHeight="1" s="74">
      <c r="A93" s="13" t="n"/>
    </row>
    <row r="94" ht="15.75" customHeight="1" s="74">
      <c r="A94" s="13" t="n"/>
    </row>
    <row r="95" ht="15.75" customHeight="1" s="74">
      <c r="A95" s="13" t="n"/>
    </row>
    <row r="96" ht="15.75" customHeight="1" s="74">
      <c r="A96" s="13" t="n"/>
    </row>
    <row r="97" ht="15.75" customHeight="1" s="74">
      <c r="A97" s="13" t="n"/>
    </row>
    <row r="98" ht="15.75" customHeight="1" s="74">
      <c r="A98" s="13" t="n"/>
    </row>
    <row r="99" ht="15.75" customHeight="1" s="74">
      <c r="A99" s="13" t="n"/>
    </row>
    <row r="100" ht="15.75" customHeight="1" s="74">
      <c r="A100" s="13" t="n"/>
    </row>
    <row r="101" ht="15.75" customHeight="1" s="74">
      <c r="A101" s="13" t="n"/>
    </row>
    <row r="102" ht="15.75" customHeight="1" s="74">
      <c r="A102" s="13" t="n"/>
    </row>
    <row r="103" ht="15.75" customHeight="1" s="74">
      <c r="A103" s="13" t="n"/>
    </row>
    <row r="104" ht="15.75" customHeight="1" s="74">
      <c r="A104" s="13" t="n"/>
    </row>
    <row r="105" ht="15.75" customHeight="1" s="74">
      <c r="A105" s="13" t="n"/>
    </row>
    <row r="106" ht="15.75" customHeight="1" s="74">
      <c r="A106" s="13" t="n"/>
    </row>
    <row r="107" ht="15.75" customHeight="1" s="74">
      <c r="A107" s="13" t="n"/>
    </row>
    <row r="108" ht="15.75" customHeight="1" s="74">
      <c r="A108" s="13" t="n"/>
    </row>
    <row r="109" ht="15.75" customHeight="1" s="74">
      <c r="A109" s="13" t="n"/>
    </row>
    <row r="110" ht="15.75" customHeight="1" s="74">
      <c r="A110" s="13" t="n"/>
    </row>
    <row r="111" ht="15.75" customHeight="1" s="74">
      <c r="A111" s="13" t="n"/>
    </row>
    <row r="112" ht="15.75" customHeight="1" s="74">
      <c r="A112" s="13" t="n"/>
    </row>
    <row r="113" ht="15.75" customHeight="1" s="74">
      <c r="A113" s="13" t="n"/>
    </row>
    <row r="114" ht="15.75" customHeight="1" s="74">
      <c r="A114" s="13" t="n"/>
    </row>
    <row r="115" ht="15.75" customHeight="1" s="74">
      <c r="A115" s="13" t="n"/>
    </row>
    <row r="116" ht="15.75" customHeight="1" s="74">
      <c r="A116" s="13" t="n"/>
    </row>
    <row r="117" ht="15.75" customHeight="1" s="74">
      <c r="A117" s="13" t="n"/>
    </row>
    <row r="118" ht="15.75" customHeight="1" s="74">
      <c r="A118" s="13" t="n"/>
    </row>
    <row r="119" ht="15.75" customHeight="1" s="74">
      <c r="A119" s="13" t="n"/>
    </row>
    <row r="120" ht="15.75" customHeight="1" s="74">
      <c r="A120" s="13" t="n"/>
    </row>
    <row r="121" ht="15.75" customHeight="1" s="74">
      <c r="A121" s="13" t="n"/>
    </row>
    <row r="122" ht="15.75" customHeight="1" s="74">
      <c r="A122" s="13" t="n"/>
    </row>
    <row r="123" ht="15.75" customHeight="1" s="74">
      <c r="A123" s="13" t="n"/>
    </row>
    <row r="124" ht="15.75" customHeight="1" s="74">
      <c r="A124" s="13" t="n"/>
    </row>
    <row r="125" ht="15.75" customHeight="1" s="74">
      <c r="A125" s="13" t="n"/>
    </row>
    <row r="126" ht="15.75" customHeight="1" s="74">
      <c r="A126" s="13" t="n"/>
    </row>
    <row r="127" ht="15.75" customHeight="1" s="74">
      <c r="A127" s="13" t="n"/>
    </row>
    <row r="128" ht="15.75" customHeight="1" s="74">
      <c r="A128" s="13" t="n"/>
    </row>
    <row r="129" ht="15.75" customHeight="1" s="74">
      <c r="A129" s="13" t="n"/>
    </row>
    <row r="130" ht="15.75" customHeight="1" s="74">
      <c r="A130" s="13" t="n"/>
    </row>
    <row r="131" ht="15.75" customHeight="1" s="74">
      <c r="A131" s="13" t="n"/>
    </row>
    <row r="132" ht="15.75" customHeight="1" s="74">
      <c r="A132" s="13" t="n"/>
    </row>
    <row r="133" ht="15.75" customHeight="1" s="74">
      <c r="A133" s="13" t="n"/>
    </row>
    <row r="134" ht="15.75" customHeight="1" s="74">
      <c r="A134" s="13" t="n"/>
    </row>
    <row r="135" ht="15.75" customHeight="1" s="74">
      <c r="A135" s="13" t="n"/>
    </row>
    <row r="136" ht="15.75" customHeight="1" s="74">
      <c r="A136" s="13" t="n"/>
    </row>
    <row r="137" ht="15.75" customHeight="1" s="74">
      <c r="A137" s="13" t="n"/>
    </row>
    <row r="138" ht="15.75" customHeight="1" s="74">
      <c r="A138" s="13" t="n"/>
    </row>
    <row r="139" ht="15.75" customHeight="1" s="74">
      <c r="A139" s="13" t="n"/>
    </row>
    <row r="140" ht="15.75" customHeight="1" s="74">
      <c r="A140" s="13" t="n"/>
    </row>
    <row r="141" ht="15.75" customHeight="1" s="74">
      <c r="A141" s="13" t="n"/>
    </row>
    <row r="142" ht="15.75" customHeight="1" s="74">
      <c r="A142" s="13" t="n"/>
    </row>
    <row r="143" ht="15.75" customHeight="1" s="74">
      <c r="A143" s="13" t="n"/>
    </row>
    <row r="144" ht="15.75" customHeight="1" s="74">
      <c r="A144" s="13" t="n"/>
    </row>
    <row r="145" ht="15.75" customHeight="1" s="74">
      <c r="A145" s="13" t="n"/>
    </row>
    <row r="146" ht="15.75" customHeight="1" s="74">
      <c r="A146" s="13" t="n"/>
    </row>
    <row r="147" ht="15.75" customHeight="1" s="74">
      <c r="A147" s="13" t="n"/>
    </row>
    <row r="148" ht="15.75" customHeight="1" s="74">
      <c r="A148" s="13" t="n"/>
    </row>
    <row r="149" ht="15.75" customHeight="1" s="74">
      <c r="A149" s="13" t="n"/>
    </row>
    <row r="150" ht="15.75" customHeight="1" s="74">
      <c r="A150" s="13" t="n"/>
    </row>
    <row r="151" ht="15.75" customHeight="1" s="74">
      <c r="A151" s="13" t="n"/>
    </row>
    <row r="152" ht="15.75" customHeight="1" s="74">
      <c r="A152" s="13" t="n"/>
    </row>
    <row r="153" ht="15.75" customHeight="1" s="74">
      <c r="A153" s="13" t="n"/>
    </row>
    <row r="154" ht="15.75" customHeight="1" s="74">
      <c r="A154" s="13" t="n"/>
    </row>
    <row r="155" ht="15.75" customHeight="1" s="74">
      <c r="A155" s="13" t="n"/>
    </row>
    <row r="156" ht="15.75" customHeight="1" s="74">
      <c r="A156" s="13" t="n"/>
    </row>
    <row r="157" ht="15.75" customHeight="1" s="74">
      <c r="A157" s="13" t="n"/>
    </row>
    <row r="158" ht="15.75" customHeight="1" s="74">
      <c r="A158" s="13" t="n"/>
    </row>
    <row r="159" ht="15.75" customHeight="1" s="74">
      <c r="A159" s="13" t="n"/>
    </row>
    <row r="160" ht="15.75" customHeight="1" s="74">
      <c r="A160" s="13" t="n"/>
    </row>
    <row r="161" ht="15.75" customHeight="1" s="74">
      <c r="A161" s="13" t="n"/>
    </row>
    <row r="162" ht="15.75" customHeight="1" s="74">
      <c r="A162" s="13" t="n"/>
    </row>
    <row r="163" ht="15.75" customHeight="1" s="74">
      <c r="A163" s="13" t="n"/>
    </row>
    <row r="164" ht="15.75" customHeight="1" s="74">
      <c r="A164" s="13" t="n"/>
    </row>
    <row r="165" ht="15.75" customHeight="1" s="74">
      <c r="A165" s="13" t="n"/>
    </row>
    <row r="166" ht="15.75" customHeight="1" s="74">
      <c r="A166" s="13" t="n"/>
    </row>
    <row r="167" ht="15.75" customHeight="1" s="74">
      <c r="A167" s="13" t="n"/>
    </row>
    <row r="168" ht="15.75" customHeight="1" s="74">
      <c r="A168" s="13" t="n"/>
    </row>
    <row r="169" ht="15.75" customHeight="1" s="74">
      <c r="A169" s="13" t="n"/>
    </row>
    <row r="170" ht="15.75" customHeight="1" s="74">
      <c r="A170" s="13" t="n"/>
    </row>
    <row r="171" ht="15.75" customHeight="1" s="74">
      <c r="A171" s="13" t="n"/>
    </row>
    <row r="172" ht="15.75" customHeight="1" s="74">
      <c r="A172" s="13" t="n"/>
    </row>
    <row r="173" ht="15.75" customHeight="1" s="74">
      <c r="A173" s="13" t="n"/>
    </row>
    <row r="174" ht="15.75" customHeight="1" s="74">
      <c r="A174" s="13" t="n"/>
    </row>
    <row r="175" ht="15.75" customHeight="1" s="74">
      <c r="A175" s="13" t="n"/>
    </row>
    <row r="176" ht="15.75" customHeight="1" s="74">
      <c r="A176" s="13" t="n"/>
    </row>
    <row r="177" ht="15.75" customHeight="1" s="74">
      <c r="A177" s="13" t="n"/>
    </row>
    <row r="178" ht="15.75" customHeight="1" s="74">
      <c r="A178" s="13" t="n"/>
    </row>
    <row r="179" ht="15.75" customHeight="1" s="74">
      <c r="A179" s="13" t="n"/>
    </row>
    <row r="180" ht="15.75" customHeight="1" s="74">
      <c r="A180" s="13" t="n"/>
    </row>
    <row r="181" ht="15.75" customHeight="1" s="74">
      <c r="A181" s="13" t="n"/>
    </row>
    <row r="182" ht="15.75" customHeight="1" s="74">
      <c r="A182" s="13" t="n"/>
    </row>
    <row r="183" ht="15.75" customHeight="1" s="74">
      <c r="A183" s="13" t="n"/>
    </row>
    <row r="184" ht="15.75" customHeight="1" s="74">
      <c r="A184" s="13" t="n"/>
    </row>
    <row r="185" ht="15.75" customHeight="1" s="74">
      <c r="A185" s="13" t="n"/>
    </row>
    <row r="186" ht="15.75" customHeight="1" s="74">
      <c r="A186" s="13" t="n"/>
    </row>
    <row r="187" ht="15.75" customHeight="1" s="74">
      <c r="A187" s="13" t="n"/>
    </row>
    <row r="188" ht="15.75" customHeight="1" s="74">
      <c r="A188" s="13" t="n"/>
    </row>
    <row r="189" ht="15.75" customHeight="1" s="74">
      <c r="A189" s="13" t="n"/>
    </row>
    <row r="190" ht="15.75" customHeight="1" s="74">
      <c r="A190" s="13" t="n"/>
    </row>
    <row r="191" ht="15.75" customHeight="1" s="74">
      <c r="A191" s="13" t="n"/>
    </row>
    <row r="192" ht="15.75" customHeight="1" s="74">
      <c r="A192" s="13" t="n"/>
    </row>
    <row r="193" ht="15.75" customHeight="1" s="74">
      <c r="A193" s="13" t="n"/>
    </row>
    <row r="194" ht="15.75" customHeight="1" s="74">
      <c r="A194" s="13" t="n"/>
    </row>
    <row r="195" ht="15.75" customHeight="1" s="74">
      <c r="A195" s="13" t="n"/>
    </row>
    <row r="196" ht="15.75" customHeight="1" s="74">
      <c r="A196" s="13" t="n"/>
    </row>
    <row r="197" ht="15.75" customHeight="1" s="74">
      <c r="A197" s="13" t="n"/>
    </row>
    <row r="198" ht="15.75" customHeight="1" s="74">
      <c r="A198" s="13" t="n"/>
    </row>
    <row r="199" ht="15.75" customHeight="1" s="74">
      <c r="A199" s="13" t="n"/>
    </row>
    <row r="200" ht="15.75" customHeight="1" s="74">
      <c r="A200" s="13" t="n"/>
    </row>
    <row r="201" ht="15.75" customHeight="1" s="74">
      <c r="A201" s="13" t="n"/>
    </row>
    <row r="202" ht="15.75" customHeight="1" s="74">
      <c r="A202" s="13" t="n"/>
    </row>
    <row r="203" ht="15.75" customHeight="1" s="74">
      <c r="A203" s="13" t="n"/>
    </row>
    <row r="204" ht="15.75" customHeight="1" s="74">
      <c r="A204" s="13" t="n"/>
    </row>
    <row r="205" ht="15.75" customHeight="1" s="74">
      <c r="A205" s="13" t="n"/>
    </row>
    <row r="206" ht="15.75" customHeight="1" s="74">
      <c r="A206" s="13" t="n"/>
    </row>
    <row r="207" ht="15.75" customHeight="1" s="74">
      <c r="A207" s="13" t="n"/>
    </row>
    <row r="208" ht="15.75" customHeight="1" s="74">
      <c r="A208" s="13" t="n"/>
    </row>
    <row r="209" ht="15.75" customHeight="1" s="74">
      <c r="A209" s="13" t="n"/>
    </row>
    <row r="210" ht="15.75" customHeight="1" s="74">
      <c r="A210" s="13" t="n"/>
    </row>
    <row r="211" ht="15.75" customHeight="1" s="74">
      <c r="A211" s="13" t="n"/>
    </row>
    <row r="212" ht="15.75" customHeight="1" s="74">
      <c r="A212" s="13" t="n"/>
    </row>
    <row r="213" ht="15.75" customHeight="1" s="74">
      <c r="A213" s="13" t="n"/>
    </row>
    <row r="214" ht="15.75" customHeight="1" s="74">
      <c r="A214" s="13" t="n"/>
    </row>
    <row r="215" ht="15.75" customHeight="1" s="74">
      <c r="A215" s="13" t="n"/>
    </row>
    <row r="216" ht="15.75" customHeight="1" s="74">
      <c r="A216" s="13" t="n"/>
    </row>
    <row r="217" ht="15.75" customHeight="1" s="74">
      <c r="A217" s="13" t="n"/>
    </row>
    <row r="218" ht="15.75" customHeight="1" s="74">
      <c r="A218" s="13" t="n"/>
    </row>
    <row r="219" ht="15.75" customHeight="1" s="74">
      <c r="A219" s="13" t="n"/>
    </row>
    <row r="220" ht="15.75" customHeight="1" s="74">
      <c r="A220" s="13" t="n"/>
    </row>
    <row r="221" ht="15.75" customHeight="1" s="74">
      <c r="A221" s="13" t="n"/>
    </row>
    <row r="222" ht="15.75" customHeight="1" s="74">
      <c r="A222" s="13" t="n"/>
    </row>
    <row r="223" ht="15.75" customHeight="1" s="74">
      <c r="A223" s="13" t="n"/>
    </row>
    <row r="224" ht="15.75" customHeight="1" s="74">
      <c r="A224" s="13" t="n"/>
    </row>
    <row r="225" ht="15.75" customHeight="1" s="74">
      <c r="A225" s="13" t="n"/>
    </row>
    <row r="226" ht="15.75" customHeight="1" s="74">
      <c r="A226" s="13" t="n"/>
    </row>
    <row r="227" ht="15.75" customHeight="1" s="74">
      <c r="A227" s="13" t="n"/>
    </row>
    <row r="228" ht="15.75" customHeight="1" s="74">
      <c r="A228" s="13" t="n"/>
    </row>
    <row r="229" ht="15.75" customHeight="1" s="74">
      <c r="A229" s="13" t="n"/>
    </row>
    <row r="230" ht="15.75" customHeight="1" s="74">
      <c r="A230" s="13" t="n"/>
    </row>
    <row r="231" ht="15.75" customHeight="1" s="74">
      <c r="A231" s="13" t="n"/>
    </row>
    <row r="232" ht="15.75" customHeight="1" s="74">
      <c r="A232" s="13" t="n"/>
    </row>
    <row r="233" ht="15.75" customHeight="1" s="74">
      <c r="A233" s="13" t="n"/>
    </row>
    <row r="234" ht="15.75" customHeight="1" s="74">
      <c r="A234" s="13" t="n"/>
    </row>
    <row r="235" ht="15.75" customHeight="1" s="74">
      <c r="A235" s="13" t="n"/>
    </row>
    <row r="236" ht="15.75" customHeight="1" s="74">
      <c r="A236" s="13" t="n"/>
    </row>
    <row r="237" ht="15.75" customHeight="1" s="74">
      <c r="A237" s="13" t="n"/>
    </row>
    <row r="238" ht="15.75" customHeight="1" s="74">
      <c r="A238" s="13" t="n"/>
    </row>
    <row r="239" ht="15.75" customHeight="1" s="74">
      <c r="A239" s="13" t="n"/>
    </row>
    <row r="240" ht="15.75" customHeight="1" s="74">
      <c r="A240" s="13" t="n"/>
    </row>
    <row r="241" ht="15.75" customHeight="1" s="74">
      <c r="A241" s="13" t="n"/>
    </row>
    <row r="242" ht="15.75" customHeight="1" s="74">
      <c r="A242" s="13" t="n"/>
    </row>
    <row r="243" ht="15.75" customHeight="1" s="74">
      <c r="A243" s="13" t="n"/>
    </row>
    <row r="244" ht="15.75" customHeight="1" s="74">
      <c r="A244" s="13" t="n"/>
    </row>
    <row r="245" ht="15.75" customHeight="1" s="74">
      <c r="A245" s="13" t="n"/>
    </row>
    <row r="246" ht="15.75" customHeight="1" s="74">
      <c r="A246" s="13" t="n"/>
    </row>
    <row r="247" ht="15.75" customHeight="1" s="74">
      <c r="A247" s="13" t="n"/>
    </row>
    <row r="248" ht="15.75" customHeight="1" s="74">
      <c r="A248" s="13" t="n"/>
    </row>
    <row r="249" ht="15.75" customHeight="1" s="74">
      <c r="A249" s="13" t="n"/>
    </row>
    <row r="250" ht="15.75" customHeight="1" s="74">
      <c r="A250" s="13" t="n"/>
    </row>
    <row r="251" ht="15.75" customHeight="1" s="74">
      <c r="A251" s="13" t="n"/>
    </row>
    <row r="252" ht="15.75" customHeight="1" s="74">
      <c r="A252" s="13" t="n"/>
    </row>
    <row r="253" ht="15.75" customHeight="1" s="74">
      <c r="A253" s="13" t="n"/>
    </row>
    <row r="254" ht="15.75" customHeight="1" s="74">
      <c r="A254" s="13" t="n"/>
    </row>
    <row r="255" ht="15.75" customHeight="1" s="74">
      <c r="A255" s="13" t="n"/>
    </row>
    <row r="256" ht="15.75" customHeight="1" s="74">
      <c r="A256" s="13" t="n"/>
    </row>
    <row r="257" ht="15.75" customHeight="1" s="74">
      <c r="A257" s="13" t="n"/>
    </row>
    <row r="258" ht="15.75" customHeight="1" s="74">
      <c r="A258" s="13" t="n"/>
    </row>
    <row r="259" ht="15.75" customHeight="1" s="74">
      <c r="A259" s="13" t="n"/>
    </row>
    <row r="260" ht="15.75" customHeight="1" s="74">
      <c r="A260" s="13" t="n"/>
    </row>
    <row r="261" ht="15.75" customHeight="1" s="74">
      <c r="A261" s="13" t="n"/>
    </row>
    <row r="262" ht="15.75" customHeight="1" s="74">
      <c r="A262" s="13" t="n"/>
    </row>
    <row r="263" ht="15.75" customHeight="1" s="74">
      <c r="A263" s="13" t="n"/>
    </row>
    <row r="264" ht="15.75" customHeight="1" s="74">
      <c r="A264" s="13" t="n"/>
    </row>
    <row r="265" ht="15.75" customHeight="1" s="74">
      <c r="A265" s="13" t="n"/>
    </row>
    <row r="266" ht="15.75" customHeight="1" s="74">
      <c r="A266" s="13" t="n"/>
    </row>
    <row r="267" ht="15.75" customHeight="1" s="74">
      <c r="A267" s="13" t="n"/>
    </row>
    <row r="268" ht="15.75" customHeight="1" s="74">
      <c r="A268" s="13" t="n"/>
    </row>
    <row r="269" ht="15.75" customHeight="1" s="74">
      <c r="A269" s="13" t="n"/>
    </row>
    <row r="270" ht="15.75" customHeight="1" s="74">
      <c r="A270" s="13" t="n"/>
    </row>
    <row r="271" ht="15.75" customHeight="1" s="74">
      <c r="A271" s="13" t="n"/>
    </row>
    <row r="272" ht="15.75" customHeight="1" s="74">
      <c r="A272" s="13" t="n"/>
    </row>
    <row r="273" ht="15.75" customHeight="1" s="74">
      <c r="A273" s="13" t="n"/>
    </row>
    <row r="274" ht="15.75" customHeight="1" s="74">
      <c r="A274" s="13" t="n"/>
    </row>
    <row r="275" ht="15.75" customHeight="1" s="74">
      <c r="A275" s="13" t="n"/>
    </row>
    <row r="276" ht="15.75" customHeight="1" s="74">
      <c r="A276" s="13" t="n"/>
    </row>
    <row r="277" ht="15.75" customHeight="1" s="74">
      <c r="A277" s="13" t="n"/>
    </row>
    <row r="278" ht="15.75" customHeight="1" s="74">
      <c r="A278" s="13" t="n"/>
    </row>
    <row r="279" ht="15.75" customHeight="1" s="74">
      <c r="A279" s="13" t="n"/>
    </row>
    <row r="280" ht="15.75" customHeight="1" s="74">
      <c r="A280" s="13" t="n"/>
    </row>
    <row r="281" ht="15.75" customHeight="1" s="74">
      <c r="A281" s="13" t="n"/>
    </row>
    <row r="282" ht="15.75" customHeight="1" s="74">
      <c r="A282" s="13" t="n"/>
    </row>
    <row r="283" ht="15.75" customHeight="1" s="74">
      <c r="A283" s="13" t="n"/>
    </row>
    <row r="284" ht="15.75" customHeight="1" s="74">
      <c r="A284" s="13" t="n"/>
    </row>
    <row r="285" ht="15.75" customHeight="1" s="74">
      <c r="A285" s="13" t="n"/>
    </row>
    <row r="286" ht="15.75" customHeight="1" s="74">
      <c r="A286" s="13" t="n"/>
    </row>
    <row r="287" ht="15.75" customHeight="1" s="74">
      <c r="A287" s="13" t="n"/>
    </row>
    <row r="288" ht="15.75" customHeight="1" s="74">
      <c r="A288" s="13" t="n"/>
    </row>
    <row r="289" ht="15.75" customHeight="1" s="74">
      <c r="A289" s="13" t="n"/>
    </row>
    <row r="290" ht="15.75" customHeight="1" s="74">
      <c r="A290" s="13" t="n"/>
    </row>
    <row r="291" ht="15.75" customHeight="1" s="74">
      <c r="A291" s="13" t="n"/>
    </row>
    <row r="292" ht="15.75" customHeight="1" s="74">
      <c r="A292" s="13" t="n"/>
    </row>
    <row r="293" ht="15.75" customHeight="1" s="74">
      <c r="A293" s="13" t="n"/>
    </row>
    <row r="294" ht="15.75" customHeight="1" s="74">
      <c r="A294" s="13" t="n"/>
    </row>
    <row r="295" ht="15.75" customHeight="1" s="74">
      <c r="A295" s="13" t="n"/>
    </row>
    <row r="296" ht="15.75" customHeight="1" s="74">
      <c r="A296" s="13" t="n"/>
    </row>
    <row r="297" ht="15.75" customHeight="1" s="74">
      <c r="A297" s="13" t="n"/>
    </row>
    <row r="298" ht="15.75" customHeight="1" s="74">
      <c r="A298" s="13" t="n"/>
    </row>
    <row r="299" ht="15.75" customHeight="1" s="74">
      <c r="A299" s="13" t="n"/>
    </row>
    <row r="300" ht="15.75" customHeight="1" s="74">
      <c r="A300" s="13" t="n"/>
    </row>
    <row r="301" ht="15.75" customHeight="1" s="74">
      <c r="A301" s="13" t="n"/>
    </row>
    <row r="302" ht="15.75" customHeight="1" s="74">
      <c r="A302" s="13" t="n"/>
    </row>
    <row r="303" ht="15.75" customHeight="1" s="74">
      <c r="A303" s="13" t="n"/>
    </row>
    <row r="304" ht="15.75" customHeight="1" s="74">
      <c r="A304" s="13" t="n"/>
    </row>
    <row r="305" ht="15.75" customHeight="1" s="74">
      <c r="A305" s="13" t="n"/>
    </row>
    <row r="306" ht="15.75" customHeight="1" s="74">
      <c r="A306" s="13" t="n"/>
    </row>
    <row r="307" ht="15.75" customHeight="1" s="74">
      <c r="A307" s="13" t="n"/>
    </row>
    <row r="308" ht="15.75" customHeight="1" s="74">
      <c r="A308" s="13" t="n"/>
    </row>
    <row r="309" ht="15.75" customHeight="1" s="74">
      <c r="A309" s="13" t="n"/>
    </row>
    <row r="310" ht="15.75" customHeight="1" s="74">
      <c r="A310" s="13" t="n"/>
    </row>
    <row r="311" ht="15.75" customHeight="1" s="74">
      <c r="A311" s="13" t="n"/>
    </row>
    <row r="312" ht="15.75" customHeight="1" s="74">
      <c r="A312" s="13" t="n"/>
    </row>
    <row r="313" ht="15.75" customHeight="1" s="74">
      <c r="A313" s="13" t="n"/>
    </row>
    <row r="314" ht="15.75" customHeight="1" s="74">
      <c r="A314" s="13" t="n"/>
    </row>
    <row r="315" ht="15.75" customHeight="1" s="74">
      <c r="A315" s="13" t="n"/>
    </row>
    <row r="316" ht="15.75" customHeight="1" s="74">
      <c r="A316" s="13" t="n"/>
    </row>
    <row r="317" ht="15.75" customHeight="1" s="74">
      <c r="A317" s="13" t="n"/>
    </row>
    <row r="318" ht="15.75" customHeight="1" s="74">
      <c r="A318" s="13" t="n"/>
    </row>
    <row r="319" ht="15.75" customHeight="1" s="74">
      <c r="A319" s="13" t="n"/>
    </row>
    <row r="320" ht="15.75" customHeight="1" s="74">
      <c r="A320" s="13" t="n"/>
    </row>
    <row r="321" ht="15.75" customHeight="1" s="74">
      <c r="A321" s="13" t="n"/>
    </row>
    <row r="322" ht="15.75" customHeight="1" s="74">
      <c r="A322" s="13" t="n"/>
    </row>
    <row r="323" ht="15.75" customHeight="1" s="74">
      <c r="A323" s="13" t="n"/>
    </row>
    <row r="324" ht="15.75" customHeight="1" s="74">
      <c r="A324" s="13" t="n"/>
    </row>
    <row r="325" ht="15.75" customHeight="1" s="74">
      <c r="A325" s="13" t="n"/>
    </row>
    <row r="326" ht="15.75" customHeight="1" s="74">
      <c r="A326" s="13" t="n"/>
    </row>
    <row r="327" ht="15.75" customHeight="1" s="74">
      <c r="A327" s="13" t="n"/>
    </row>
    <row r="328" ht="15.75" customHeight="1" s="74">
      <c r="A328" s="13" t="n"/>
    </row>
    <row r="329" ht="15.75" customHeight="1" s="74">
      <c r="A329" s="13" t="n"/>
    </row>
    <row r="330" ht="15.75" customHeight="1" s="74">
      <c r="A330" s="13" t="n"/>
    </row>
    <row r="331" ht="15.75" customHeight="1" s="74">
      <c r="A331" s="13" t="n"/>
    </row>
    <row r="332" ht="15.75" customHeight="1" s="74">
      <c r="A332" s="13" t="n"/>
    </row>
    <row r="333" ht="15.75" customHeight="1" s="74">
      <c r="A333" s="13" t="n"/>
    </row>
    <row r="334" ht="15.75" customHeight="1" s="74">
      <c r="A334" s="13" t="n"/>
    </row>
    <row r="335" ht="15.75" customHeight="1" s="74">
      <c r="A335" s="13" t="n"/>
    </row>
    <row r="336" ht="15.75" customHeight="1" s="74">
      <c r="A336" s="13" t="n"/>
    </row>
    <row r="337" ht="15.75" customHeight="1" s="74">
      <c r="A337" s="13" t="n"/>
    </row>
    <row r="338" ht="15.75" customHeight="1" s="74">
      <c r="A338" s="13" t="n"/>
    </row>
    <row r="339" ht="15.75" customHeight="1" s="74">
      <c r="A339" s="13" t="n"/>
    </row>
    <row r="340" ht="15.75" customHeight="1" s="74">
      <c r="A340" s="13" t="n"/>
    </row>
    <row r="341" ht="15.75" customHeight="1" s="74">
      <c r="A341" s="13" t="n"/>
    </row>
    <row r="342" ht="15.75" customHeight="1" s="74">
      <c r="A342" s="13" t="n"/>
    </row>
    <row r="343" ht="15.75" customHeight="1" s="74">
      <c r="A343" s="13" t="n"/>
    </row>
    <row r="344" ht="15.75" customHeight="1" s="74">
      <c r="A344" s="13" t="n"/>
    </row>
    <row r="345" ht="15.75" customHeight="1" s="74">
      <c r="A345" s="13" t="n"/>
    </row>
    <row r="346" ht="15.75" customHeight="1" s="74">
      <c r="A346" s="13" t="n"/>
    </row>
    <row r="347" ht="15.75" customHeight="1" s="74">
      <c r="A347" s="13" t="n"/>
    </row>
    <row r="348" ht="15.75" customHeight="1" s="74">
      <c r="A348" s="13" t="n"/>
    </row>
    <row r="349" ht="15.75" customHeight="1" s="74">
      <c r="A349" s="13" t="n"/>
    </row>
    <row r="350" ht="15.75" customHeight="1" s="74">
      <c r="A350" s="13" t="n"/>
    </row>
    <row r="351" ht="15.75" customHeight="1" s="74">
      <c r="A351" s="13" t="n"/>
    </row>
    <row r="352" ht="15.75" customHeight="1" s="74">
      <c r="A352" s="13" t="n"/>
    </row>
    <row r="353" ht="15.75" customHeight="1" s="74">
      <c r="A353" s="13" t="n"/>
    </row>
    <row r="354" ht="15.75" customHeight="1" s="74">
      <c r="A354" s="13" t="n"/>
    </row>
    <row r="355" ht="15.75" customHeight="1" s="74">
      <c r="A355" s="13" t="n"/>
    </row>
    <row r="356" ht="15.75" customHeight="1" s="74">
      <c r="A356" s="13" t="n"/>
    </row>
    <row r="357" ht="15.75" customHeight="1" s="74">
      <c r="A357" s="13" t="n"/>
    </row>
    <row r="358" ht="15.75" customHeight="1" s="74">
      <c r="A358" s="13" t="n"/>
    </row>
    <row r="359" ht="15.75" customHeight="1" s="74">
      <c r="A359" s="13" t="n"/>
    </row>
    <row r="360" ht="15.75" customHeight="1" s="74">
      <c r="A360" s="13" t="n"/>
    </row>
    <row r="361" ht="15.75" customHeight="1" s="74">
      <c r="A361" s="13" t="n"/>
    </row>
    <row r="362" ht="15.75" customHeight="1" s="74">
      <c r="A362" s="13" t="n"/>
    </row>
    <row r="363" ht="15.75" customHeight="1" s="74">
      <c r="A363" s="13" t="n"/>
    </row>
    <row r="364" ht="15.75" customHeight="1" s="74">
      <c r="A364" s="13" t="n"/>
    </row>
    <row r="365" ht="15.75" customHeight="1" s="74">
      <c r="A365" s="13" t="n"/>
    </row>
    <row r="366" ht="15.75" customHeight="1" s="74">
      <c r="A366" s="13" t="n"/>
    </row>
    <row r="367" ht="15.75" customHeight="1" s="74">
      <c r="A367" s="13" t="n"/>
    </row>
    <row r="368" ht="15.75" customHeight="1" s="74">
      <c r="A368" s="13" t="n"/>
    </row>
    <row r="369" ht="15.75" customHeight="1" s="74">
      <c r="A369" s="13" t="n"/>
    </row>
    <row r="370" ht="15.75" customHeight="1" s="74">
      <c r="A370" s="13" t="n"/>
    </row>
    <row r="371" ht="15.75" customHeight="1" s="74">
      <c r="A371" s="13" t="n"/>
    </row>
    <row r="372" ht="15.75" customHeight="1" s="74">
      <c r="A372" s="13" t="n"/>
    </row>
    <row r="373" ht="15.75" customHeight="1" s="74">
      <c r="A373" s="13" t="n"/>
    </row>
    <row r="374" ht="15.75" customHeight="1" s="74">
      <c r="A374" s="13" t="n"/>
    </row>
    <row r="375" ht="15.75" customHeight="1" s="74">
      <c r="A375" s="13" t="n"/>
    </row>
    <row r="376" ht="15.75" customHeight="1" s="74">
      <c r="A376" s="13" t="n"/>
    </row>
    <row r="377" ht="15.75" customHeight="1" s="74">
      <c r="A377" s="13" t="n"/>
    </row>
    <row r="378" ht="15.75" customHeight="1" s="74">
      <c r="A378" s="13" t="n"/>
    </row>
    <row r="379" ht="15.75" customHeight="1" s="74">
      <c r="A379" s="13" t="n"/>
    </row>
    <row r="380" ht="15.75" customHeight="1" s="74">
      <c r="A380" s="13" t="n"/>
    </row>
    <row r="381" ht="15.75" customHeight="1" s="74">
      <c r="A381" s="13" t="n"/>
    </row>
    <row r="382" ht="15.75" customHeight="1" s="74">
      <c r="A382" s="13" t="n"/>
    </row>
    <row r="383" ht="15.75" customHeight="1" s="74">
      <c r="A383" s="13" t="n"/>
    </row>
    <row r="384" ht="15.75" customHeight="1" s="74">
      <c r="A384" s="13" t="n"/>
    </row>
    <row r="385" ht="15.75" customHeight="1" s="74">
      <c r="A385" s="13" t="n"/>
    </row>
    <row r="386" ht="15.75" customHeight="1" s="74">
      <c r="A386" s="13" t="n"/>
    </row>
    <row r="387" ht="15.75" customHeight="1" s="74">
      <c r="A387" s="13" t="n"/>
    </row>
    <row r="388" ht="15.75" customHeight="1" s="74">
      <c r="A388" s="13" t="n"/>
    </row>
    <row r="389" ht="15.75" customHeight="1" s="74">
      <c r="A389" s="13" t="n"/>
    </row>
    <row r="390" ht="15.75" customHeight="1" s="74">
      <c r="A390" s="13" t="n"/>
    </row>
    <row r="391" ht="15.75" customHeight="1" s="74">
      <c r="A391" s="13" t="n"/>
    </row>
    <row r="392" ht="15.75" customHeight="1" s="74">
      <c r="A392" s="13" t="n"/>
    </row>
    <row r="393" ht="15.75" customHeight="1" s="74">
      <c r="A393" s="13" t="n"/>
    </row>
    <row r="394" ht="15.75" customHeight="1" s="74">
      <c r="A394" s="13" t="n"/>
    </row>
    <row r="395" ht="15.75" customHeight="1" s="74">
      <c r="A395" s="13" t="n"/>
    </row>
    <row r="396" ht="15.75" customHeight="1" s="74">
      <c r="A396" s="13" t="n"/>
    </row>
    <row r="397" ht="15.75" customHeight="1" s="74">
      <c r="A397" s="13" t="n"/>
    </row>
    <row r="398" ht="15.75" customHeight="1" s="74">
      <c r="A398" s="13" t="n"/>
    </row>
    <row r="399" ht="15.75" customHeight="1" s="74">
      <c r="A399" s="13" t="n"/>
    </row>
    <row r="400" ht="15.75" customHeight="1" s="74">
      <c r="A400" s="13" t="n"/>
    </row>
    <row r="401" ht="15.75" customHeight="1" s="74">
      <c r="A401" s="13" t="n"/>
    </row>
    <row r="402" ht="15.75" customHeight="1" s="74">
      <c r="A402" s="13" t="n"/>
    </row>
    <row r="403" ht="15.75" customHeight="1" s="74">
      <c r="A403" s="13" t="n"/>
    </row>
    <row r="404" ht="15.75" customHeight="1" s="74">
      <c r="A404" s="13" t="n"/>
    </row>
    <row r="405" ht="15.75" customHeight="1" s="74">
      <c r="A405" s="13" t="n"/>
    </row>
    <row r="406" ht="15.75" customHeight="1" s="74">
      <c r="A406" s="13" t="n"/>
    </row>
    <row r="407" ht="15.75" customHeight="1" s="74">
      <c r="A407" s="13" t="n"/>
    </row>
    <row r="408" ht="15.75" customHeight="1" s="74">
      <c r="A408" s="13" t="n"/>
    </row>
    <row r="409" ht="15.75" customHeight="1" s="74">
      <c r="A409" s="13" t="n"/>
    </row>
    <row r="410" ht="15.75" customHeight="1" s="74">
      <c r="A410" s="13" t="n"/>
    </row>
    <row r="411" ht="15.75" customHeight="1" s="74">
      <c r="A411" s="13" t="n"/>
    </row>
    <row r="412" ht="15.75" customHeight="1" s="74">
      <c r="A412" s="13" t="n"/>
    </row>
    <row r="413" ht="15.75" customHeight="1" s="74">
      <c r="A413" s="13" t="n"/>
    </row>
    <row r="414" ht="15.75" customHeight="1" s="74">
      <c r="A414" s="13" t="n"/>
    </row>
    <row r="415" ht="15.75" customHeight="1" s="74">
      <c r="A415" s="13" t="n"/>
    </row>
    <row r="416" ht="15.75" customHeight="1" s="74">
      <c r="A416" s="13" t="n"/>
    </row>
    <row r="417" ht="15.75" customHeight="1" s="74">
      <c r="A417" s="13" t="n"/>
    </row>
    <row r="418" ht="15.75" customHeight="1" s="74">
      <c r="A418" s="13" t="n"/>
    </row>
    <row r="419" ht="15.75" customHeight="1" s="74">
      <c r="A419" s="13" t="n"/>
    </row>
    <row r="420" ht="15.75" customHeight="1" s="74">
      <c r="A420" s="13" t="n"/>
    </row>
    <row r="421" ht="15.75" customHeight="1" s="74">
      <c r="A421" s="13" t="n"/>
    </row>
    <row r="422" ht="15.75" customHeight="1" s="74">
      <c r="A422" s="13" t="n"/>
    </row>
    <row r="423" ht="15.75" customHeight="1" s="74">
      <c r="A423" s="13" t="n"/>
    </row>
    <row r="424" ht="15.75" customHeight="1" s="74">
      <c r="A424" s="13" t="n"/>
    </row>
    <row r="425" ht="15.75" customHeight="1" s="74">
      <c r="A425" s="13" t="n"/>
    </row>
    <row r="426" ht="15.75" customHeight="1" s="74">
      <c r="A426" s="13" t="n"/>
    </row>
    <row r="427" ht="15.75" customHeight="1" s="74">
      <c r="A427" s="13" t="n"/>
    </row>
    <row r="428" ht="15.75" customHeight="1" s="74">
      <c r="A428" s="13" t="n"/>
    </row>
    <row r="429" ht="15.75" customHeight="1" s="74">
      <c r="A429" s="13" t="n"/>
    </row>
    <row r="430" ht="15.75" customHeight="1" s="74">
      <c r="A430" s="13" t="n"/>
    </row>
    <row r="431" ht="15.75" customHeight="1" s="74">
      <c r="A431" s="13" t="n"/>
    </row>
    <row r="432" ht="15.75" customHeight="1" s="74">
      <c r="A432" s="13" t="n"/>
    </row>
    <row r="433" ht="15.75" customHeight="1" s="74">
      <c r="A433" s="13" t="n"/>
    </row>
    <row r="434" ht="15.75" customHeight="1" s="74">
      <c r="A434" s="13" t="n"/>
    </row>
    <row r="435" ht="15.75" customHeight="1" s="74">
      <c r="A435" s="13" t="n"/>
    </row>
    <row r="436" ht="15.75" customHeight="1" s="74">
      <c r="A436" s="13" t="n"/>
    </row>
    <row r="437" ht="15.75" customHeight="1" s="74">
      <c r="A437" s="13" t="n"/>
    </row>
    <row r="438" ht="15.75" customHeight="1" s="74">
      <c r="A438" s="13" t="n"/>
    </row>
    <row r="439" ht="15.75" customHeight="1" s="74">
      <c r="A439" s="13" t="n"/>
    </row>
    <row r="440" ht="15.75" customHeight="1" s="74">
      <c r="A440" s="13" t="n"/>
    </row>
    <row r="441" ht="15.75" customHeight="1" s="74">
      <c r="A441" s="13" t="n"/>
    </row>
    <row r="442" ht="15.75" customHeight="1" s="74">
      <c r="A442" s="13" t="n"/>
    </row>
    <row r="443" ht="15.75" customHeight="1" s="74">
      <c r="A443" s="13" t="n"/>
    </row>
    <row r="444" ht="15.75" customHeight="1" s="74">
      <c r="A444" s="13" t="n"/>
    </row>
    <row r="445" ht="15.75" customHeight="1" s="74">
      <c r="A445" s="13" t="n"/>
    </row>
    <row r="446" ht="15.75" customHeight="1" s="74">
      <c r="A446" s="13" t="n"/>
    </row>
    <row r="447" ht="15.75" customHeight="1" s="74">
      <c r="A447" s="13" t="n"/>
    </row>
    <row r="448" ht="15.75" customHeight="1" s="74">
      <c r="A448" s="13" t="n"/>
    </row>
    <row r="449" ht="15.75" customHeight="1" s="74">
      <c r="A449" s="13" t="n"/>
    </row>
    <row r="450" ht="15.75" customHeight="1" s="74">
      <c r="A450" s="13" t="n"/>
    </row>
    <row r="451" ht="15.75" customHeight="1" s="74">
      <c r="A451" s="13" t="n"/>
    </row>
    <row r="452" ht="15.75" customHeight="1" s="74">
      <c r="A452" s="13" t="n"/>
    </row>
    <row r="453" ht="15.75" customHeight="1" s="74">
      <c r="A453" s="13" t="n"/>
    </row>
    <row r="454" ht="15.75" customHeight="1" s="74">
      <c r="A454" s="13" t="n"/>
    </row>
    <row r="455" ht="15.75" customHeight="1" s="74">
      <c r="A455" s="13" t="n"/>
    </row>
    <row r="456" ht="15.75" customHeight="1" s="74">
      <c r="A456" s="13" t="n"/>
    </row>
    <row r="457" ht="15.75" customHeight="1" s="74">
      <c r="A457" s="13" t="n"/>
    </row>
    <row r="458" ht="15.75" customHeight="1" s="74">
      <c r="A458" s="13" t="n"/>
    </row>
    <row r="459" ht="15.75" customHeight="1" s="74">
      <c r="A459" s="13" t="n"/>
    </row>
    <row r="460" ht="15.75" customHeight="1" s="74">
      <c r="A460" s="13" t="n"/>
    </row>
    <row r="461" ht="15.75" customHeight="1" s="74">
      <c r="A461" s="13" t="n"/>
    </row>
    <row r="462" ht="15.75" customHeight="1" s="74">
      <c r="A462" s="13" t="n"/>
    </row>
    <row r="463" ht="15.75" customHeight="1" s="74">
      <c r="A463" s="13" t="n"/>
    </row>
    <row r="464" ht="15.75" customHeight="1" s="74">
      <c r="A464" s="13" t="n"/>
    </row>
    <row r="465" ht="15.75" customHeight="1" s="74">
      <c r="A465" s="13" t="n"/>
    </row>
    <row r="466" ht="15.75" customHeight="1" s="74">
      <c r="A466" s="13" t="n"/>
    </row>
    <row r="467" ht="15.75" customHeight="1" s="74">
      <c r="A467" s="13" t="n"/>
    </row>
    <row r="468" ht="15.75" customHeight="1" s="74">
      <c r="A468" s="13" t="n"/>
    </row>
    <row r="469" ht="15.75" customHeight="1" s="74">
      <c r="A469" s="13" t="n"/>
    </row>
    <row r="470" ht="15.75" customHeight="1" s="74">
      <c r="A470" s="13" t="n"/>
    </row>
    <row r="471" ht="15.75" customHeight="1" s="74">
      <c r="A471" s="13" t="n"/>
    </row>
    <row r="472" ht="15.75" customHeight="1" s="74">
      <c r="A472" s="13" t="n"/>
    </row>
    <row r="473" ht="15.75" customHeight="1" s="74">
      <c r="A473" s="13" t="n"/>
    </row>
    <row r="474" ht="15.75" customHeight="1" s="74">
      <c r="A474" s="13" t="n"/>
    </row>
    <row r="475" ht="15.75" customHeight="1" s="74">
      <c r="A475" s="13" t="n"/>
    </row>
    <row r="476" ht="15.75" customHeight="1" s="74">
      <c r="A476" s="13" t="n"/>
    </row>
    <row r="477" ht="15.75" customHeight="1" s="74">
      <c r="A477" s="13" t="n"/>
    </row>
    <row r="478" ht="15.75" customHeight="1" s="74">
      <c r="A478" s="13" t="n"/>
    </row>
    <row r="479" ht="15.75" customHeight="1" s="74">
      <c r="A479" s="13" t="n"/>
    </row>
    <row r="480" ht="15.75" customHeight="1" s="74">
      <c r="A480" s="13" t="n"/>
    </row>
    <row r="481" ht="15.75" customHeight="1" s="74">
      <c r="A481" s="13" t="n"/>
    </row>
    <row r="482" ht="15.75" customHeight="1" s="74">
      <c r="A482" s="13" t="n"/>
    </row>
    <row r="483" ht="15.75" customHeight="1" s="74">
      <c r="A483" s="13" t="n"/>
    </row>
    <row r="484" ht="15.75" customHeight="1" s="74">
      <c r="A484" s="13" t="n"/>
    </row>
    <row r="485" ht="15.75" customHeight="1" s="74">
      <c r="A485" s="13" t="n"/>
    </row>
    <row r="486" ht="15.75" customHeight="1" s="74">
      <c r="A486" s="13" t="n"/>
    </row>
    <row r="487" ht="15.75" customHeight="1" s="74">
      <c r="A487" s="13" t="n"/>
    </row>
    <row r="488" ht="15.75" customHeight="1" s="74">
      <c r="A488" s="13" t="n"/>
    </row>
    <row r="489" ht="15.75" customHeight="1" s="74">
      <c r="A489" s="13" t="n"/>
    </row>
    <row r="490" ht="15.75" customHeight="1" s="74">
      <c r="A490" s="13" t="n"/>
    </row>
    <row r="491" ht="15.75" customHeight="1" s="74">
      <c r="A491" s="13" t="n"/>
    </row>
    <row r="492" ht="15.75" customHeight="1" s="74">
      <c r="A492" s="13" t="n"/>
    </row>
    <row r="493" ht="15.75" customHeight="1" s="74">
      <c r="A493" s="13" t="n"/>
    </row>
    <row r="494" ht="15.75" customHeight="1" s="74">
      <c r="A494" s="13" t="n"/>
    </row>
    <row r="495" ht="15.75" customHeight="1" s="74">
      <c r="A495" s="13" t="n"/>
    </row>
    <row r="496" ht="15.75" customHeight="1" s="74">
      <c r="A496" s="13" t="n"/>
    </row>
    <row r="497" ht="15.75" customHeight="1" s="74">
      <c r="A497" s="13" t="n"/>
    </row>
    <row r="498" ht="15.75" customHeight="1" s="74">
      <c r="A498" s="13" t="n"/>
    </row>
    <row r="499" ht="15.75" customHeight="1" s="74">
      <c r="A499" s="13" t="n"/>
    </row>
    <row r="500" ht="15.75" customHeight="1" s="74">
      <c r="A500" s="13" t="n"/>
    </row>
    <row r="501" ht="15.75" customHeight="1" s="74">
      <c r="A501" s="13" t="n"/>
    </row>
    <row r="502" ht="15.75" customHeight="1" s="74">
      <c r="A502" s="13" t="n"/>
    </row>
    <row r="503" ht="15.75" customHeight="1" s="74">
      <c r="A503" s="13" t="n"/>
    </row>
    <row r="504" ht="15.75" customHeight="1" s="74">
      <c r="A504" s="13" t="n"/>
    </row>
    <row r="505" ht="15.75" customHeight="1" s="74">
      <c r="A505" s="13" t="n"/>
    </row>
    <row r="506" ht="15.75" customHeight="1" s="74">
      <c r="A506" s="13" t="n"/>
    </row>
    <row r="507" ht="15.75" customHeight="1" s="74">
      <c r="A507" s="13" t="n"/>
    </row>
    <row r="508" ht="15.75" customHeight="1" s="74">
      <c r="A508" s="13" t="n"/>
    </row>
    <row r="509" ht="15.75" customHeight="1" s="74">
      <c r="A509" s="13" t="n"/>
    </row>
    <row r="510" ht="15.75" customHeight="1" s="74">
      <c r="A510" s="13" t="n"/>
    </row>
    <row r="511" ht="15.75" customHeight="1" s="74">
      <c r="A511" s="13" t="n"/>
    </row>
    <row r="512" ht="15.75" customHeight="1" s="74">
      <c r="A512" s="13" t="n"/>
    </row>
    <row r="513" ht="15.75" customHeight="1" s="74">
      <c r="A513" s="13" t="n"/>
    </row>
    <row r="514" ht="15.75" customHeight="1" s="74">
      <c r="A514" s="13" t="n"/>
    </row>
    <row r="515" ht="15.75" customHeight="1" s="74">
      <c r="A515" s="13" t="n"/>
    </row>
    <row r="516" ht="15.75" customHeight="1" s="74">
      <c r="A516" s="13" t="n"/>
    </row>
    <row r="517" ht="15.75" customHeight="1" s="74">
      <c r="A517" s="13" t="n"/>
    </row>
    <row r="518" ht="15.75" customHeight="1" s="74">
      <c r="A518" s="13" t="n"/>
    </row>
    <row r="519" ht="15.75" customHeight="1" s="74">
      <c r="A519" s="13" t="n"/>
    </row>
    <row r="520" ht="15.75" customHeight="1" s="74">
      <c r="A520" s="13" t="n"/>
    </row>
    <row r="521" ht="15.75" customHeight="1" s="74">
      <c r="A521" s="13" t="n"/>
    </row>
    <row r="522" ht="15.75" customHeight="1" s="74">
      <c r="A522" s="13" t="n"/>
    </row>
    <row r="523" ht="15.75" customHeight="1" s="74">
      <c r="A523" s="13" t="n"/>
    </row>
    <row r="524" ht="15.75" customHeight="1" s="74">
      <c r="A524" s="13" t="n"/>
    </row>
    <row r="525" ht="15.75" customHeight="1" s="74">
      <c r="A525" s="13" t="n"/>
    </row>
    <row r="526" ht="15.75" customHeight="1" s="74">
      <c r="A526" s="13" t="n"/>
    </row>
    <row r="527" ht="15.75" customHeight="1" s="74">
      <c r="A527" s="13" t="n"/>
    </row>
    <row r="528" ht="15.75" customHeight="1" s="74">
      <c r="A528" s="13" t="n"/>
    </row>
    <row r="529" ht="15.75" customHeight="1" s="74">
      <c r="A529" s="13" t="n"/>
    </row>
    <row r="530" ht="15.75" customHeight="1" s="74">
      <c r="A530" s="13" t="n"/>
    </row>
    <row r="531" ht="15.75" customHeight="1" s="74">
      <c r="A531" s="13" t="n"/>
    </row>
    <row r="532" ht="15.75" customHeight="1" s="74">
      <c r="A532" s="13" t="n"/>
    </row>
    <row r="533" ht="15.75" customHeight="1" s="74">
      <c r="A533" s="13" t="n"/>
    </row>
    <row r="534" ht="15.75" customHeight="1" s="74">
      <c r="A534" s="13" t="n"/>
    </row>
    <row r="535" ht="15.75" customHeight="1" s="74">
      <c r="A535" s="13" t="n"/>
    </row>
    <row r="536" ht="15.75" customHeight="1" s="74">
      <c r="A536" s="13" t="n"/>
    </row>
    <row r="537" ht="15.75" customHeight="1" s="74">
      <c r="A537" s="13" t="n"/>
    </row>
    <row r="538" ht="15.75" customHeight="1" s="74">
      <c r="A538" s="13" t="n"/>
    </row>
    <row r="539" ht="15.75" customHeight="1" s="74">
      <c r="A539" s="13" t="n"/>
    </row>
    <row r="540" ht="15.75" customHeight="1" s="74">
      <c r="A540" s="13" t="n"/>
    </row>
    <row r="541" ht="15.75" customHeight="1" s="74">
      <c r="A541" s="13" t="n"/>
    </row>
    <row r="542" ht="15.75" customHeight="1" s="74">
      <c r="A542" s="13" t="n"/>
    </row>
    <row r="543" ht="15.75" customHeight="1" s="74">
      <c r="A543" s="13" t="n"/>
    </row>
    <row r="544" ht="15.75" customHeight="1" s="74">
      <c r="A544" s="13" t="n"/>
    </row>
    <row r="545" ht="15.75" customHeight="1" s="74">
      <c r="A545" s="13" t="n"/>
    </row>
    <row r="546" ht="15.75" customHeight="1" s="74">
      <c r="A546" s="13" t="n"/>
    </row>
    <row r="547" ht="15.75" customHeight="1" s="74">
      <c r="A547" s="13" t="n"/>
    </row>
    <row r="548" ht="15.75" customHeight="1" s="74">
      <c r="A548" s="13" t="n"/>
    </row>
    <row r="549" ht="15.75" customHeight="1" s="74">
      <c r="A549" s="13" t="n"/>
    </row>
    <row r="550" ht="15.75" customHeight="1" s="74">
      <c r="A550" s="13" t="n"/>
    </row>
    <row r="551" ht="15.75" customHeight="1" s="74">
      <c r="A551" s="13" t="n"/>
    </row>
    <row r="552" ht="15.75" customHeight="1" s="74">
      <c r="A552" s="13" t="n"/>
    </row>
    <row r="553" ht="15.75" customHeight="1" s="74">
      <c r="A553" s="13" t="n"/>
    </row>
    <row r="554" ht="15.75" customHeight="1" s="74">
      <c r="A554" s="13" t="n"/>
    </row>
    <row r="555" ht="15.75" customHeight="1" s="74">
      <c r="A555" s="13" t="n"/>
    </row>
    <row r="556" ht="15.75" customHeight="1" s="74">
      <c r="A556" s="13" t="n"/>
    </row>
    <row r="557" ht="15.75" customHeight="1" s="74">
      <c r="A557" s="13" t="n"/>
    </row>
    <row r="558" ht="15.75" customHeight="1" s="74">
      <c r="A558" s="13" t="n"/>
    </row>
    <row r="559" ht="15.75" customHeight="1" s="74">
      <c r="A559" s="13" t="n"/>
    </row>
    <row r="560" ht="15.75" customHeight="1" s="74">
      <c r="A560" s="13" t="n"/>
    </row>
    <row r="561" ht="15.75" customHeight="1" s="74">
      <c r="A561" s="13" t="n"/>
    </row>
    <row r="562" ht="15.75" customHeight="1" s="74">
      <c r="A562" s="13" t="n"/>
    </row>
    <row r="563" ht="15.75" customHeight="1" s="74">
      <c r="A563" s="13" t="n"/>
    </row>
    <row r="564" ht="15.75" customHeight="1" s="74">
      <c r="A564" s="13" t="n"/>
    </row>
    <row r="565" ht="15.75" customHeight="1" s="74">
      <c r="A565" s="13" t="n"/>
    </row>
    <row r="566" ht="15.75" customHeight="1" s="74">
      <c r="A566" s="13" t="n"/>
    </row>
    <row r="567" ht="15.75" customHeight="1" s="74">
      <c r="A567" s="13" t="n"/>
    </row>
    <row r="568" ht="15.75" customHeight="1" s="74">
      <c r="A568" s="13" t="n"/>
    </row>
    <row r="569" ht="15.75" customHeight="1" s="74">
      <c r="A569" s="13" t="n"/>
    </row>
    <row r="570" ht="15.75" customHeight="1" s="74">
      <c r="A570" s="13" t="n"/>
    </row>
    <row r="571" ht="15.75" customHeight="1" s="74">
      <c r="A571" s="13" t="n"/>
    </row>
    <row r="572" ht="15.75" customHeight="1" s="74">
      <c r="A572" s="13" t="n"/>
    </row>
    <row r="573" ht="15.75" customHeight="1" s="74">
      <c r="A573" s="13" t="n"/>
    </row>
    <row r="574" ht="15.75" customHeight="1" s="74">
      <c r="A574" s="13" t="n"/>
    </row>
    <row r="575" ht="15.75" customHeight="1" s="74">
      <c r="A575" s="13" t="n"/>
    </row>
    <row r="576" ht="15.75" customHeight="1" s="74">
      <c r="A576" s="13" t="n"/>
    </row>
    <row r="577" ht="15.75" customHeight="1" s="74">
      <c r="A577" s="13" t="n"/>
    </row>
    <row r="578" ht="15.75" customHeight="1" s="74">
      <c r="A578" s="13" t="n"/>
    </row>
    <row r="579" ht="15.75" customHeight="1" s="74">
      <c r="A579" s="13" t="n"/>
    </row>
    <row r="580" ht="15.75" customHeight="1" s="74">
      <c r="A580" s="13" t="n"/>
    </row>
    <row r="581" ht="15.75" customHeight="1" s="74">
      <c r="A581" s="13" t="n"/>
    </row>
    <row r="582" ht="15.75" customHeight="1" s="74">
      <c r="A582" s="13" t="n"/>
    </row>
    <row r="583" ht="15.75" customHeight="1" s="74">
      <c r="A583" s="13" t="n"/>
    </row>
    <row r="584" ht="15.75" customHeight="1" s="74">
      <c r="A584" s="13" t="n"/>
    </row>
    <row r="585" ht="15.75" customHeight="1" s="74">
      <c r="A585" s="13" t="n"/>
    </row>
    <row r="586" ht="15.75" customHeight="1" s="74">
      <c r="A586" s="13" t="n"/>
    </row>
    <row r="587" ht="15.75" customHeight="1" s="74">
      <c r="A587" s="13" t="n"/>
    </row>
    <row r="588" ht="15.75" customHeight="1" s="74">
      <c r="A588" s="13" t="n"/>
    </row>
    <row r="589" ht="15.75" customHeight="1" s="74">
      <c r="A589" s="13" t="n"/>
    </row>
    <row r="590" ht="15.75" customHeight="1" s="74">
      <c r="A590" s="13" t="n"/>
    </row>
    <row r="591" ht="15.75" customHeight="1" s="74">
      <c r="A591" s="13" t="n"/>
    </row>
    <row r="592" ht="15.75" customHeight="1" s="74">
      <c r="A592" s="13" t="n"/>
    </row>
    <row r="593" ht="15.75" customHeight="1" s="74">
      <c r="A593" s="13" t="n"/>
    </row>
    <row r="594" ht="15.75" customHeight="1" s="74">
      <c r="A594" s="13" t="n"/>
    </row>
    <row r="595" ht="15.75" customHeight="1" s="74">
      <c r="A595" s="13" t="n"/>
    </row>
    <row r="596" ht="15.75" customHeight="1" s="74">
      <c r="A596" s="13" t="n"/>
    </row>
    <row r="597" ht="15.75" customHeight="1" s="74">
      <c r="A597" s="13" t="n"/>
    </row>
    <row r="598" ht="15.75" customHeight="1" s="74">
      <c r="A598" s="13" t="n"/>
    </row>
    <row r="599" ht="15.75" customHeight="1" s="74">
      <c r="A599" s="13" t="n"/>
    </row>
    <row r="600" ht="15.75" customHeight="1" s="74">
      <c r="A600" s="13" t="n"/>
    </row>
    <row r="601" ht="15.75" customHeight="1" s="74">
      <c r="A601" s="13" t="n"/>
    </row>
    <row r="602" ht="15.75" customHeight="1" s="74">
      <c r="A602" s="13" t="n"/>
    </row>
    <row r="603" ht="15.75" customHeight="1" s="74">
      <c r="A603" s="13" t="n"/>
    </row>
    <row r="604" ht="15.75" customHeight="1" s="74">
      <c r="A604" s="13" t="n"/>
    </row>
    <row r="605" ht="15.75" customHeight="1" s="74">
      <c r="A605" s="13" t="n"/>
    </row>
    <row r="606" ht="15.75" customHeight="1" s="74">
      <c r="A606" s="13" t="n"/>
    </row>
    <row r="607" ht="15.75" customHeight="1" s="74">
      <c r="A607" s="13" t="n"/>
    </row>
    <row r="608" ht="15.75" customHeight="1" s="74">
      <c r="A608" s="13" t="n"/>
    </row>
    <row r="609" ht="15.75" customHeight="1" s="74">
      <c r="A609" s="13" t="n"/>
    </row>
    <row r="610" ht="15.75" customHeight="1" s="74">
      <c r="A610" s="13" t="n"/>
    </row>
    <row r="611" ht="15.75" customHeight="1" s="74">
      <c r="A611" s="13" t="n"/>
    </row>
    <row r="612" ht="15.75" customHeight="1" s="74">
      <c r="A612" s="13" t="n"/>
    </row>
    <row r="613" ht="15.75" customHeight="1" s="74">
      <c r="A613" s="13" t="n"/>
    </row>
    <row r="614" ht="15.75" customHeight="1" s="74">
      <c r="A614" s="13" t="n"/>
    </row>
    <row r="615" ht="15.75" customHeight="1" s="74">
      <c r="A615" s="13" t="n"/>
    </row>
    <row r="616" ht="15.75" customHeight="1" s="74">
      <c r="A616" s="13" t="n"/>
    </row>
    <row r="617" ht="15.75" customHeight="1" s="74">
      <c r="A617" s="13" t="n"/>
    </row>
    <row r="618" ht="15.75" customHeight="1" s="74">
      <c r="A618" s="13" t="n"/>
    </row>
    <row r="619" ht="15.75" customHeight="1" s="74">
      <c r="A619" s="13" t="n"/>
    </row>
    <row r="620" ht="15.75" customHeight="1" s="74">
      <c r="A620" s="13" t="n"/>
    </row>
    <row r="621" ht="15.75" customHeight="1" s="74">
      <c r="A621" s="13" t="n"/>
    </row>
    <row r="622" ht="15.75" customHeight="1" s="74">
      <c r="A622" s="13" t="n"/>
    </row>
    <row r="623" ht="15.75" customHeight="1" s="74">
      <c r="A623" s="13" t="n"/>
    </row>
    <row r="624" ht="15.75" customHeight="1" s="74">
      <c r="A624" s="13" t="n"/>
    </row>
    <row r="625" ht="15.75" customHeight="1" s="74">
      <c r="A625" s="13" t="n"/>
    </row>
    <row r="626" ht="15.75" customHeight="1" s="74">
      <c r="A626" s="13" t="n"/>
    </row>
    <row r="627" ht="15.75" customHeight="1" s="74">
      <c r="A627" s="13" t="n"/>
    </row>
    <row r="628" ht="15.75" customHeight="1" s="74">
      <c r="A628" s="13" t="n"/>
    </row>
    <row r="629" ht="15.75" customHeight="1" s="74">
      <c r="A629" s="13" t="n"/>
    </row>
    <row r="630" ht="15.75" customHeight="1" s="74">
      <c r="A630" s="13" t="n"/>
    </row>
    <row r="631" ht="15.75" customHeight="1" s="74">
      <c r="A631" s="13" t="n"/>
    </row>
    <row r="632" ht="15.75" customHeight="1" s="74">
      <c r="A632" s="13" t="n"/>
    </row>
    <row r="633" ht="15.75" customHeight="1" s="74">
      <c r="A633" s="13" t="n"/>
    </row>
    <row r="634" ht="15.75" customHeight="1" s="74">
      <c r="A634" s="13" t="n"/>
    </row>
    <row r="635" ht="15.75" customHeight="1" s="74">
      <c r="A635" s="13" t="n"/>
    </row>
    <row r="636" ht="15.75" customHeight="1" s="74">
      <c r="A636" s="13" t="n"/>
    </row>
    <row r="637" ht="15.75" customHeight="1" s="74">
      <c r="A637" s="13" t="n"/>
    </row>
    <row r="638" ht="15.75" customHeight="1" s="74">
      <c r="A638" s="13" t="n"/>
    </row>
    <row r="639" ht="15.75" customHeight="1" s="74">
      <c r="A639" s="13" t="n"/>
    </row>
    <row r="640" ht="15.75" customHeight="1" s="74">
      <c r="A640" s="13" t="n"/>
    </row>
    <row r="641" ht="15.75" customHeight="1" s="74">
      <c r="A641" s="13" t="n"/>
    </row>
    <row r="642" ht="15.75" customHeight="1" s="74">
      <c r="A642" s="13" t="n"/>
    </row>
    <row r="643" ht="15.75" customHeight="1" s="74">
      <c r="A643" s="13" t="n"/>
    </row>
    <row r="644" ht="15.75" customHeight="1" s="74">
      <c r="A644" s="13" t="n"/>
    </row>
    <row r="645" ht="15.75" customHeight="1" s="74">
      <c r="A645" s="13" t="n"/>
    </row>
    <row r="646" ht="15.75" customHeight="1" s="74">
      <c r="A646" s="13" t="n"/>
    </row>
    <row r="647" ht="15.75" customHeight="1" s="74">
      <c r="A647" s="13" t="n"/>
    </row>
    <row r="648" ht="15.75" customHeight="1" s="74">
      <c r="A648" s="13" t="n"/>
    </row>
    <row r="649" ht="15.75" customHeight="1" s="74">
      <c r="A649" s="13" t="n"/>
    </row>
    <row r="650" ht="15.75" customHeight="1" s="74">
      <c r="A650" s="13" t="n"/>
    </row>
    <row r="651" ht="15.75" customHeight="1" s="74">
      <c r="A651" s="13" t="n"/>
    </row>
    <row r="652" ht="15.75" customHeight="1" s="74">
      <c r="A652" s="13" t="n"/>
    </row>
    <row r="653" ht="15.75" customHeight="1" s="74">
      <c r="A653" s="13" t="n"/>
    </row>
    <row r="654" ht="15.75" customHeight="1" s="74">
      <c r="A654" s="13" t="n"/>
    </row>
    <row r="655" ht="15.75" customHeight="1" s="74">
      <c r="A655" s="13" t="n"/>
    </row>
    <row r="656" ht="15.75" customHeight="1" s="74">
      <c r="A656" s="13" t="n"/>
    </row>
    <row r="657" ht="15.75" customHeight="1" s="74">
      <c r="A657" s="13" t="n"/>
    </row>
    <row r="658" ht="15.75" customHeight="1" s="74">
      <c r="A658" s="13" t="n"/>
    </row>
    <row r="659" ht="15.75" customHeight="1" s="74">
      <c r="A659" s="13" t="n"/>
    </row>
    <row r="660" ht="15.75" customHeight="1" s="74">
      <c r="A660" s="13" t="n"/>
    </row>
    <row r="661" ht="15.75" customHeight="1" s="74">
      <c r="A661" s="13" t="n"/>
    </row>
    <row r="662" ht="15.75" customHeight="1" s="74">
      <c r="A662" s="13" t="n"/>
    </row>
    <row r="663" ht="15.75" customHeight="1" s="74">
      <c r="A663" s="13" t="n"/>
    </row>
    <row r="664" ht="15.75" customHeight="1" s="74">
      <c r="A664" s="13" t="n"/>
    </row>
    <row r="665" ht="15.75" customHeight="1" s="74">
      <c r="A665" s="13" t="n"/>
    </row>
    <row r="666" ht="15.75" customHeight="1" s="74">
      <c r="A666" s="13" t="n"/>
    </row>
    <row r="667" ht="15.75" customHeight="1" s="74">
      <c r="A667" s="13" t="n"/>
    </row>
    <row r="668" ht="15.75" customHeight="1" s="74">
      <c r="A668" s="13" t="n"/>
    </row>
    <row r="669" ht="15.75" customHeight="1" s="74">
      <c r="A669" s="13" t="n"/>
    </row>
    <row r="670" ht="15.75" customHeight="1" s="74">
      <c r="A670" s="13" t="n"/>
    </row>
    <row r="671" ht="15.75" customHeight="1" s="74">
      <c r="A671" s="13" t="n"/>
    </row>
    <row r="672" ht="15.75" customHeight="1" s="74">
      <c r="A672" s="13" t="n"/>
    </row>
    <row r="673" ht="15.75" customHeight="1" s="74">
      <c r="A673" s="13" t="n"/>
    </row>
    <row r="674" ht="15.75" customHeight="1" s="74">
      <c r="A674" s="13" t="n"/>
    </row>
    <row r="675" ht="15.75" customHeight="1" s="74">
      <c r="A675" s="13" t="n"/>
    </row>
    <row r="676" ht="15.75" customHeight="1" s="74">
      <c r="A676" s="13" t="n"/>
    </row>
    <row r="677" ht="15.75" customHeight="1" s="74">
      <c r="A677" s="13" t="n"/>
    </row>
    <row r="678" ht="15.75" customHeight="1" s="74">
      <c r="A678" s="13" t="n"/>
    </row>
    <row r="679" ht="15.75" customHeight="1" s="74">
      <c r="A679" s="13" t="n"/>
    </row>
    <row r="680" ht="15.75" customHeight="1" s="74">
      <c r="A680" s="13" t="n"/>
    </row>
    <row r="681" ht="15.75" customHeight="1" s="74">
      <c r="A681" s="13" t="n"/>
    </row>
    <row r="682" ht="15.75" customHeight="1" s="74">
      <c r="A682" s="13" t="n"/>
    </row>
    <row r="683" ht="15.75" customHeight="1" s="74">
      <c r="A683" s="13" t="n"/>
    </row>
    <row r="684" ht="15.75" customHeight="1" s="74">
      <c r="A684" s="13" t="n"/>
    </row>
    <row r="685" ht="15.75" customHeight="1" s="74">
      <c r="A685" s="13" t="n"/>
    </row>
    <row r="686" ht="15.75" customHeight="1" s="74">
      <c r="A686" s="13" t="n"/>
    </row>
    <row r="687" ht="15.75" customHeight="1" s="74">
      <c r="A687" s="13" t="n"/>
    </row>
    <row r="688" ht="15.75" customHeight="1" s="74">
      <c r="A688" s="13" t="n"/>
    </row>
    <row r="689" ht="15.75" customHeight="1" s="74">
      <c r="A689" s="13" t="n"/>
    </row>
    <row r="690" ht="15.75" customHeight="1" s="74">
      <c r="A690" s="13" t="n"/>
    </row>
    <row r="691" ht="15.75" customHeight="1" s="74">
      <c r="A691" s="13" t="n"/>
    </row>
    <row r="692" ht="15.75" customHeight="1" s="74">
      <c r="A692" s="13" t="n"/>
    </row>
    <row r="693" ht="15.75" customHeight="1" s="74">
      <c r="A693" s="13" t="n"/>
    </row>
    <row r="694" ht="15.75" customHeight="1" s="74">
      <c r="A694" s="13" t="n"/>
    </row>
    <row r="695" ht="15.75" customHeight="1" s="74">
      <c r="A695" s="13" t="n"/>
    </row>
    <row r="696" ht="15.75" customHeight="1" s="74">
      <c r="A696" s="13" t="n"/>
    </row>
    <row r="697" ht="15.75" customHeight="1" s="74">
      <c r="A697" s="13" t="n"/>
    </row>
    <row r="698" ht="15.75" customHeight="1" s="74">
      <c r="A698" s="13" t="n"/>
    </row>
    <row r="699" ht="15.75" customHeight="1" s="74">
      <c r="A699" s="13" t="n"/>
    </row>
    <row r="700" ht="15.75" customHeight="1" s="74">
      <c r="A700" s="13" t="n"/>
    </row>
    <row r="701" ht="15.75" customHeight="1" s="74">
      <c r="A701" s="13" t="n"/>
    </row>
    <row r="702" ht="15.75" customHeight="1" s="74">
      <c r="A702" s="13" t="n"/>
    </row>
    <row r="703" ht="15.75" customHeight="1" s="74">
      <c r="A703" s="13" t="n"/>
    </row>
    <row r="704" ht="15.75" customHeight="1" s="74">
      <c r="A704" s="13" t="n"/>
    </row>
    <row r="705" ht="15.75" customHeight="1" s="74">
      <c r="A705" s="13" t="n"/>
    </row>
    <row r="706" ht="15.75" customHeight="1" s="74">
      <c r="A706" s="13" t="n"/>
    </row>
    <row r="707" ht="15.75" customHeight="1" s="74">
      <c r="A707" s="13" t="n"/>
    </row>
    <row r="708" ht="15.75" customHeight="1" s="74">
      <c r="A708" s="13" t="n"/>
    </row>
    <row r="709" ht="15.75" customHeight="1" s="74">
      <c r="A709" s="13" t="n"/>
    </row>
    <row r="710" ht="15.75" customHeight="1" s="74">
      <c r="A710" s="13" t="n"/>
    </row>
    <row r="711" ht="15.75" customHeight="1" s="74">
      <c r="A711" s="13" t="n"/>
    </row>
    <row r="712" ht="15.75" customHeight="1" s="74">
      <c r="A712" s="13" t="n"/>
    </row>
    <row r="713" ht="15.75" customHeight="1" s="74">
      <c r="A713" s="13" t="n"/>
    </row>
    <row r="714" ht="15.75" customHeight="1" s="74">
      <c r="A714" s="13" t="n"/>
    </row>
    <row r="715" ht="15.75" customHeight="1" s="74">
      <c r="A715" s="13" t="n"/>
    </row>
    <row r="716" ht="15.75" customHeight="1" s="74">
      <c r="A716" s="13" t="n"/>
    </row>
    <row r="717" ht="15.75" customHeight="1" s="74">
      <c r="A717" s="13" t="n"/>
    </row>
    <row r="718" ht="15.75" customHeight="1" s="74">
      <c r="A718" s="13" t="n"/>
    </row>
    <row r="719" ht="15.75" customHeight="1" s="74">
      <c r="A719" s="13" t="n"/>
    </row>
    <row r="720" ht="15.75" customHeight="1" s="74">
      <c r="A720" s="13" t="n"/>
    </row>
    <row r="721" ht="15.75" customHeight="1" s="74">
      <c r="A721" s="13" t="n"/>
    </row>
    <row r="722" ht="15.75" customHeight="1" s="74">
      <c r="A722" s="13" t="n"/>
    </row>
    <row r="723" ht="15.75" customHeight="1" s="74">
      <c r="A723" s="13" t="n"/>
    </row>
    <row r="724" ht="15.75" customHeight="1" s="74">
      <c r="A724" s="13" t="n"/>
    </row>
    <row r="725" ht="15.75" customHeight="1" s="74">
      <c r="A725" s="13" t="n"/>
    </row>
    <row r="726" ht="15.75" customHeight="1" s="74">
      <c r="A726" s="13" t="n"/>
    </row>
    <row r="727" ht="15.75" customHeight="1" s="74">
      <c r="A727" s="13" t="n"/>
    </row>
    <row r="728" ht="15.75" customHeight="1" s="74">
      <c r="A728" s="13" t="n"/>
    </row>
    <row r="729" ht="15.75" customHeight="1" s="74">
      <c r="A729" s="13" t="n"/>
    </row>
    <row r="730" ht="15.75" customHeight="1" s="74">
      <c r="A730" s="13" t="n"/>
    </row>
    <row r="731" ht="15.75" customHeight="1" s="74">
      <c r="A731" s="13" t="n"/>
    </row>
    <row r="732" ht="15.75" customHeight="1" s="74">
      <c r="A732" s="13" t="n"/>
    </row>
    <row r="733" ht="15.75" customHeight="1" s="74">
      <c r="A733" s="13" t="n"/>
    </row>
    <row r="734" ht="15.75" customHeight="1" s="74">
      <c r="A734" s="13" t="n"/>
    </row>
    <row r="735" ht="15.75" customHeight="1" s="74">
      <c r="A735" s="13" t="n"/>
    </row>
    <row r="736" ht="15.75" customHeight="1" s="74">
      <c r="A736" s="13" t="n"/>
    </row>
    <row r="737" ht="15.75" customHeight="1" s="74">
      <c r="A737" s="13" t="n"/>
    </row>
    <row r="738" ht="15.75" customHeight="1" s="74">
      <c r="A738" s="13" t="n"/>
    </row>
    <row r="739" ht="15.75" customHeight="1" s="74">
      <c r="A739" s="13" t="n"/>
    </row>
    <row r="740" ht="15.75" customHeight="1" s="74">
      <c r="A740" s="13" t="n"/>
    </row>
    <row r="741" ht="15.75" customHeight="1" s="74">
      <c r="A741" s="13" t="n"/>
    </row>
    <row r="742" ht="15.75" customHeight="1" s="74">
      <c r="A742" s="13" t="n"/>
    </row>
    <row r="743" ht="15.75" customHeight="1" s="74">
      <c r="A743" s="13" t="n"/>
    </row>
    <row r="744" ht="15.75" customHeight="1" s="74">
      <c r="A744" s="13" t="n"/>
    </row>
    <row r="745" ht="15.75" customHeight="1" s="74">
      <c r="A745" s="13" t="n"/>
    </row>
    <row r="746" ht="15.75" customHeight="1" s="74">
      <c r="A746" s="13" t="n"/>
    </row>
    <row r="747" ht="15.75" customHeight="1" s="74">
      <c r="A747" s="13" t="n"/>
    </row>
    <row r="748" ht="15.75" customHeight="1" s="74">
      <c r="A748" s="13" t="n"/>
    </row>
    <row r="749" ht="15.75" customHeight="1" s="74">
      <c r="A749" s="13" t="n"/>
    </row>
    <row r="750" ht="15.75" customHeight="1" s="74">
      <c r="A750" s="13" t="n"/>
    </row>
    <row r="751" ht="15.75" customHeight="1" s="74">
      <c r="A751" s="13" t="n"/>
    </row>
    <row r="752" ht="15.75" customHeight="1" s="74">
      <c r="A752" s="13" t="n"/>
    </row>
    <row r="753" ht="15.75" customHeight="1" s="74">
      <c r="A753" s="13" t="n"/>
    </row>
    <row r="754" ht="15.75" customHeight="1" s="74">
      <c r="A754" s="13" t="n"/>
    </row>
    <row r="755" ht="15.75" customHeight="1" s="74">
      <c r="A755" s="13" t="n"/>
    </row>
    <row r="756" ht="15.75" customHeight="1" s="74">
      <c r="A756" s="13" t="n"/>
    </row>
    <row r="757" ht="15.75" customHeight="1" s="74">
      <c r="A757" s="13" t="n"/>
    </row>
    <row r="758" ht="15.75" customHeight="1" s="74">
      <c r="A758" s="13" t="n"/>
    </row>
    <row r="759" ht="15.75" customHeight="1" s="74">
      <c r="A759" s="13" t="n"/>
    </row>
    <row r="760" ht="15.75" customHeight="1" s="74">
      <c r="A760" s="13" t="n"/>
    </row>
    <row r="761" ht="15.75" customHeight="1" s="74">
      <c r="A761" s="13" t="n"/>
    </row>
    <row r="762" ht="15.75" customHeight="1" s="74">
      <c r="A762" s="13" t="n"/>
    </row>
    <row r="763" ht="15.75" customHeight="1" s="74">
      <c r="A763" s="13" t="n"/>
    </row>
    <row r="764" ht="15.75" customHeight="1" s="74">
      <c r="A764" s="13" t="n"/>
    </row>
    <row r="765" ht="15.75" customHeight="1" s="74">
      <c r="A765" s="13" t="n"/>
    </row>
    <row r="766" ht="15.75" customHeight="1" s="74">
      <c r="A766" s="13" t="n"/>
    </row>
    <row r="767" ht="15.75" customHeight="1" s="74">
      <c r="A767" s="13" t="n"/>
    </row>
    <row r="768" ht="15.75" customHeight="1" s="74">
      <c r="A768" s="13" t="n"/>
    </row>
    <row r="769" ht="15.75" customHeight="1" s="74">
      <c r="A769" s="13" t="n"/>
    </row>
    <row r="770" ht="15.75" customHeight="1" s="74">
      <c r="A770" s="13" t="n"/>
    </row>
    <row r="771" ht="15.75" customHeight="1" s="74">
      <c r="A771" s="13" t="n"/>
    </row>
    <row r="772" ht="15.75" customHeight="1" s="74">
      <c r="A772" s="13" t="n"/>
    </row>
    <row r="773" ht="15.75" customHeight="1" s="74">
      <c r="A773" s="13" t="n"/>
    </row>
    <row r="774" ht="15.75" customHeight="1" s="74">
      <c r="A774" s="13" t="n"/>
    </row>
    <row r="775" ht="15.75" customHeight="1" s="74">
      <c r="A775" s="13" t="n"/>
    </row>
    <row r="776" ht="15.75" customHeight="1" s="74">
      <c r="A776" s="13" t="n"/>
    </row>
    <row r="777" ht="15.75" customHeight="1" s="74">
      <c r="A777" s="13" t="n"/>
    </row>
    <row r="778" ht="15.75" customHeight="1" s="74">
      <c r="A778" s="13" t="n"/>
    </row>
    <row r="779" ht="15.75" customHeight="1" s="74">
      <c r="A779" s="13" t="n"/>
    </row>
    <row r="780" ht="15.75" customHeight="1" s="74">
      <c r="A780" s="13" t="n"/>
    </row>
    <row r="781" ht="15.75" customHeight="1" s="74">
      <c r="A781" s="13" t="n"/>
    </row>
    <row r="782" ht="15.75" customHeight="1" s="74">
      <c r="A782" s="13" t="n"/>
    </row>
    <row r="783" ht="15.75" customHeight="1" s="74">
      <c r="A783" s="13" t="n"/>
    </row>
    <row r="784" ht="15.75" customHeight="1" s="74">
      <c r="A784" s="13" t="n"/>
    </row>
    <row r="785" ht="15.75" customHeight="1" s="74">
      <c r="A785" s="13" t="n"/>
    </row>
    <row r="786" ht="15.75" customHeight="1" s="74">
      <c r="A786" s="13" t="n"/>
    </row>
    <row r="787" ht="15.75" customHeight="1" s="74">
      <c r="A787" s="13" t="n"/>
    </row>
    <row r="788" ht="15.75" customHeight="1" s="74">
      <c r="A788" s="13" t="n"/>
    </row>
    <row r="789" ht="15.75" customHeight="1" s="74">
      <c r="A789" s="13" t="n"/>
    </row>
    <row r="790" ht="15.75" customHeight="1" s="74">
      <c r="A790" s="13" t="n"/>
    </row>
    <row r="791" ht="15.75" customHeight="1" s="74">
      <c r="A791" s="13" t="n"/>
    </row>
    <row r="792" ht="15.75" customHeight="1" s="74">
      <c r="A792" s="13" t="n"/>
    </row>
    <row r="793" ht="15.75" customHeight="1" s="74">
      <c r="A793" s="13" t="n"/>
    </row>
    <row r="794" ht="15.75" customHeight="1" s="74">
      <c r="A794" s="13" t="n"/>
    </row>
    <row r="795" ht="15.75" customHeight="1" s="74">
      <c r="A795" s="13" t="n"/>
    </row>
    <row r="796" ht="15.75" customHeight="1" s="74">
      <c r="A796" s="13" t="n"/>
    </row>
    <row r="797" ht="15.75" customHeight="1" s="74">
      <c r="A797" s="13" t="n"/>
    </row>
    <row r="798" ht="15.75" customHeight="1" s="74">
      <c r="A798" s="13" t="n"/>
    </row>
    <row r="799" ht="15.75" customHeight="1" s="74">
      <c r="A799" s="13" t="n"/>
    </row>
    <row r="800" ht="15.75" customHeight="1" s="74">
      <c r="A800" s="13" t="n"/>
    </row>
    <row r="801" ht="15.75" customHeight="1" s="74">
      <c r="A801" s="13" t="n"/>
    </row>
    <row r="802" ht="15.75" customHeight="1" s="74">
      <c r="A802" s="13" t="n"/>
    </row>
    <row r="803" ht="15.75" customHeight="1" s="74">
      <c r="A803" s="13" t="n"/>
    </row>
    <row r="804" ht="15.75" customHeight="1" s="74">
      <c r="A804" s="13" t="n"/>
    </row>
    <row r="805" ht="15.75" customHeight="1" s="74">
      <c r="A805" s="13" t="n"/>
    </row>
    <row r="806" ht="15.75" customHeight="1" s="74">
      <c r="A806" s="13" t="n"/>
    </row>
    <row r="807" ht="15.75" customHeight="1" s="74">
      <c r="A807" s="13" t="n"/>
    </row>
    <row r="808" ht="15.75" customHeight="1" s="74">
      <c r="A808" s="13" t="n"/>
    </row>
    <row r="809" ht="15.75" customHeight="1" s="74">
      <c r="A809" s="13" t="n"/>
    </row>
    <row r="810" ht="15.75" customHeight="1" s="74">
      <c r="A810" s="13" t="n"/>
    </row>
    <row r="811" ht="15.75" customHeight="1" s="74">
      <c r="A811" s="13" t="n"/>
    </row>
    <row r="812" ht="15.75" customHeight="1" s="74">
      <c r="A812" s="13" t="n"/>
    </row>
    <row r="813" ht="15.75" customHeight="1" s="74">
      <c r="A813" s="13" t="n"/>
    </row>
    <row r="814" ht="15.75" customHeight="1" s="74">
      <c r="A814" s="13" t="n"/>
    </row>
    <row r="815" ht="15.75" customHeight="1" s="74">
      <c r="A815" s="13" t="n"/>
    </row>
    <row r="816" ht="15.75" customHeight="1" s="74">
      <c r="A816" s="13" t="n"/>
    </row>
    <row r="817" ht="15.75" customHeight="1" s="74">
      <c r="A817" s="13" t="n"/>
    </row>
    <row r="818" ht="15.75" customHeight="1" s="74">
      <c r="A818" s="13" t="n"/>
    </row>
    <row r="819" ht="15.75" customHeight="1" s="74">
      <c r="A819" s="13" t="n"/>
    </row>
    <row r="820" ht="15.75" customHeight="1" s="74">
      <c r="A820" s="13" t="n"/>
    </row>
    <row r="821" ht="15.75" customHeight="1" s="74">
      <c r="A821" s="13" t="n"/>
    </row>
    <row r="822" ht="15.75" customHeight="1" s="74">
      <c r="A822" s="13" t="n"/>
    </row>
    <row r="823" ht="15.75" customHeight="1" s="74">
      <c r="A823" s="13" t="n"/>
    </row>
    <row r="824" ht="15.75" customHeight="1" s="74">
      <c r="A824" s="13" t="n"/>
    </row>
    <row r="825" ht="15.75" customHeight="1" s="74">
      <c r="A825" s="13" t="n"/>
    </row>
    <row r="826" ht="15.75" customHeight="1" s="74">
      <c r="A826" s="13" t="n"/>
    </row>
    <row r="827" ht="15.75" customHeight="1" s="74">
      <c r="A827" s="13" t="n"/>
    </row>
    <row r="828" ht="15.75" customHeight="1" s="74">
      <c r="A828" s="13" t="n"/>
    </row>
    <row r="829" ht="15.75" customHeight="1" s="74">
      <c r="A829" s="13" t="n"/>
    </row>
    <row r="830" ht="15.75" customHeight="1" s="74">
      <c r="A830" s="13" t="n"/>
    </row>
    <row r="831" ht="15.75" customHeight="1" s="74">
      <c r="A831" s="13" t="n"/>
    </row>
    <row r="832" ht="15.75" customHeight="1" s="74">
      <c r="A832" s="13" t="n"/>
    </row>
    <row r="833" ht="15.75" customHeight="1" s="74">
      <c r="A833" s="13" t="n"/>
    </row>
    <row r="834" ht="15.75" customHeight="1" s="74">
      <c r="A834" s="13" t="n"/>
    </row>
    <row r="835" ht="15.75" customHeight="1" s="74">
      <c r="A835" s="13" t="n"/>
    </row>
    <row r="836" ht="15.75" customHeight="1" s="74">
      <c r="A836" s="13" t="n"/>
    </row>
    <row r="837" ht="15.75" customHeight="1" s="74">
      <c r="A837" s="13" t="n"/>
    </row>
    <row r="838" ht="15.75" customHeight="1" s="74">
      <c r="A838" s="13" t="n"/>
    </row>
    <row r="839" ht="15.75" customHeight="1" s="74">
      <c r="A839" s="13" t="n"/>
    </row>
    <row r="840" ht="15.75" customHeight="1" s="74">
      <c r="A840" s="13" t="n"/>
    </row>
    <row r="841" ht="15.75" customHeight="1" s="74">
      <c r="A841" s="13" t="n"/>
    </row>
    <row r="842" ht="15.75" customHeight="1" s="74">
      <c r="A842" s="13" t="n"/>
    </row>
    <row r="843" ht="15.75" customHeight="1" s="74">
      <c r="A843" s="13" t="n"/>
    </row>
    <row r="844" ht="15.75" customHeight="1" s="74">
      <c r="A844" s="13" t="n"/>
    </row>
    <row r="845" ht="15.75" customHeight="1" s="74">
      <c r="A845" s="13" t="n"/>
    </row>
    <row r="846" ht="15.75" customHeight="1" s="74">
      <c r="A846" s="13" t="n"/>
    </row>
    <row r="847" ht="15.75" customHeight="1" s="74">
      <c r="A847" s="13" t="n"/>
    </row>
    <row r="848" ht="15.75" customHeight="1" s="74">
      <c r="A848" s="13" t="n"/>
    </row>
    <row r="849" ht="15.75" customHeight="1" s="74">
      <c r="A849" s="13" t="n"/>
    </row>
    <row r="850" ht="15.75" customHeight="1" s="74">
      <c r="A850" s="13" t="n"/>
    </row>
    <row r="851" ht="15.75" customHeight="1" s="74">
      <c r="A851" s="13" t="n"/>
    </row>
    <row r="852" ht="15.75" customHeight="1" s="74">
      <c r="A852" s="13" t="n"/>
    </row>
    <row r="853" ht="15.75" customHeight="1" s="74">
      <c r="A853" s="13" t="n"/>
    </row>
    <row r="854" ht="15.75" customHeight="1" s="74">
      <c r="A854" s="13" t="n"/>
    </row>
    <row r="855" ht="15.75" customHeight="1" s="74">
      <c r="A855" s="13" t="n"/>
    </row>
    <row r="856" ht="15.75" customHeight="1" s="74">
      <c r="A856" s="13" t="n"/>
    </row>
    <row r="857" ht="15.75" customHeight="1" s="74">
      <c r="A857" s="13" t="n"/>
    </row>
    <row r="858" ht="15.75" customHeight="1" s="74">
      <c r="A858" s="13" t="n"/>
    </row>
    <row r="859" ht="15.75" customHeight="1" s="74">
      <c r="A859" s="13" t="n"/>
    </row>
    <row r="860" ht="15.75" customHeight="1" s="74">
      <c r="A860" s="13" t="n"/>
    </row>
    <row r="861" ht="15.75" customHeight="1" s="74">
      <c r="A861" s="13" t="n"/>
    </row>
    <row r="862" ht="15.75" customHeight="1" s="74">
      <c r="A862" s="13" t="n"/>
    </row>
    <row r="863" ht="15.75" customHeight="1" s="74">
      <c r="A863" s="13" t="n"/>
    </row>
    <row r="864" ht="15.75" customHeight="1" s="74">
      <c r="A864" s="13" t="n"/>
    </row>
    <row r="865" ht="15.75" customHeight="1" s="74">
      <c r="A865" s="13" t="n"/>
    </row>
    <row r="866" ht="15.75" customHeight="1" s="74">
      <c r="A866" s="13" t="n"/>
    </row>
    <row r="867" ht="15.75" customHeight="1" s="74">
      <c r="A867" s="13" t="n"/>
    </row>
    <row r="868" ht="15.75" customHeight="1" s="74">
      <c r="A868" s="13" t="n"/>
    </row>
    <row r="869" ht="15.75" customHeight="1" s="74">
      <c r="A869" s="13" t="n"/>
    </row>
    <row r="870" ht="15.75" customHeight="1" s="74">
      <c r="A870" s="13" t="n"/>
    </row>
    <row r="871" ht="15.75" customHeight="1" s="74">
      <c r="A871" s="13" t="n"/>
    </row>
    <row r="872" ht="15.75" customHeight="1" s="74">
      <c r="A872" s="13" t="n"/>
    </row>
    <row r="873" ht="15.75" customHeight="1" s="74">
      <c r="A873" s="13" t="n"/>
    </row>
    <row r="874" ht="15.75" customHeight="1" s="74">
      <c r="A874" s="13" t="n"/>
    </row>
    <row r="875" ht="15.75" customHeight="1" s="74">
      <c r="A875" s="13" t="n"/>
    </row>
    <row r="876" ht="15.75" customHeight="1" s="74">
      <c r="A876" s="13" t="n"/>
    </row>
    <row r="877" ht="15.75" customHeight="1" s="74">
      <c r="A877" s="13" t="n"/>
    </row>
    <row r="878" ht="15.75" customHeight="1" s="74">
      <c r="A878" s="13" t="n"/>
    </row>
    <row r="879" ht="15.75" customHeight="1" s="74">
      <c r="A879" s="13" t="n"/>
    </row>
    <row r="880" ht="15.75" customHeight="1" s="74">
      <c r="A880" s="13" t="n"/>
    </row>
    <row r="881" ht="15.75" customHeight="1" s="74">
      <c r="A881" s="13" t="n"/>
    </row>
    <row r="882" ht="15.75" customHeight="1" s="74">
      <c r="A882" s="13" t="n"/>
    </row>
    <row r="883" ht="15.75" customHeight="1" s="74">
      <c r="A883" s="13" t="n"/>
    </row>
    <row r="884" ht="15.75" customHeight="1" s="74">
      <c r="A884" s="13" t="n"/>
    </row>
    <row r="885" ht="15.75" customHeight="1" s="74">
      <c r="A885" s="13" t="n"/>
    </row>
    <row r="886" ht="15.75" customHeight="1" s="74">
      <c r="A886" s="13" t="n"/>
    </row>
    <row r="887" ht="15.75" customHeight="1" s="74">
      <c r="A887" s="13" t="n"/>
    </row>
    <row r="888" ht="15.75" customHeight="1" s="74">
      <c r="A888" s="13" t="n"/>
    </row>
    <row r="889" ht="15.75" customHeight="1" s="74">
      <c r="A889" s="13" t="n"/>
    </row>
    <row r="890" ht="15.75" customHeight="1" s="74">
      <c r="A890" s="13" t="n"/>
    </row>
    <row r="891" ht="15.75" customHeight="1" s="74">
      <c r="A891" s="13" t="n"/>
    </row>
    <row r="892" ht="15.75" customHeight="1" s="74">
      <c r="A892" s="13" t="n"/>
    </row>
    <row r="893" ht="15.75" customHeight="1" s="74">
      <c r="A893" s="13" t="n"/>
    </row>
    <row r="894" ht="15.75" customHeight="1" s="74">
      <c r="A894" s="13" t="n"/>
    </row>
    <row r="895" ht="15.75" customHeight="1" s="74">
      <c r="A895" s="13" t="n"/>
    </row>
    <row r="896" ht="15.75" customHeight="1" s="74">
      <c r="A896" s="13" t="n"/>
    </row>
    <row r="897" ht="15.75" customHeight="1" s="74">
      <c r="A897" s="13" t="n"/>
    </row>
    <row r="898" ht="15.75" customHeight="1" s="74">
      <c r="A898" s="13" t="n"/>
    </row>
    <row r="899" ht="15.75" customHeight="1" s="74">
      <c r="A899" s="13" t="n"/>
    </row>
    <row r="900" ht="15.75" customHeight="1" s="74">
      <c r="A900" s="13" t="n"/>
    </row>
    <row r="901" ht="15.75" customHeight="1" s="74">
      <c r="A901" s="13" t="n"/>
    </row>
    <row r="902" ht="15.75" customHeight="1" s="74">
      <c r="A902" s="13" t="n"/>
    </row>
    <row r="903" ht="15.75" customHeight="1" s="74">
      <c r="A903" s="13" t="n"/>
    </row>
    <row r="904" ht="15.75" customHeight="1" s="74">
      <c r="A904" s="13" t="n"/>
    </row>
    <row r="905" ht="15.75" customHeight="1" s="74">
      <c r="A905" s="13" t="n"/>
    </row>
    <row r="906" ht="15.75" customHeight="1" s="74">
      <c r="A906" s="13" t="n"/>
    </row>
    <row r="907" ht="15.75" customHeight="1" s="74">
      <c r="A907" s="13" t="n"/>
    </row>
    <row r="908" ht="15.75" customHeight="1" s="74">
      <c r="A908" s="13" t="n"/>
    </row>
    <row r="909" ht="15.75" customHeight="1" s="74">
      <c r="A909" s="13" t="n"/>
    </row>
    <row r="910" ht="15.75" customHeight="1" s="74">
      <c r="A910" s="13" t="n"/>
    </row>
    <row r="911" ht="15.75" customHeight="1" s="74">
      <c r="A911" s="13" t="n"/>
    </row>
    <row r="912" ht="15.75" customHeight="1" s="74">
      <c r="A912" s="13" t="n"/>
    </row>
    <row r="913" ht="15.75" customHeight="1" s="74">
      <c r="A913" s="13" t="n"/>
    </row>
    <row r="914" ht="15.75" customHeight="1" s="74">
      <c r="A914" s="13" t="n"/>
    </row>
    <row r="915" ht="15.75" customHeight="1" s="74">
      <c r="A915" s="13" t="n"/>
    </row>
    <row r="916" ht="15.75" customHeight="1" s="74">
      <c r="A916" s="13" t="n"/>
    </row>
    <row r="917" ht="15.75" customHeight="1" s="74">
      <c r="A917" s="13" t="n"/>
    </row>
    <row r="918" ht="15.75" customHeight="1" s="74">
      <c r="A918" s="13" t="n"/>
    </row>
    <row r="919" ht="15.75" customHeight="1" s="74">
      <c r="A919" s="13" t="n"/>
    </row>
    <row r="920" ht="15.75" customHeight="1" s="74">
      <c r="A920" s="13" t="n"/>
    </row>
    <row r="921" ht="15.75" customHeight="1" s="74">
      <c r="A921" s="13" t="n"/>
    </row>
    <row r="922" ht="15.75" customHeight="1" s="74">
      <c r="A922" s="13" t="n"/>
    </row>
    <row r="923" ht="15.75" customHeight="1" s="74">
      <c r="A923" s="13" t="n"/>
    </row>
    <row r="924" ht="15.75" customHeight="1" s="74">
      <c r="A924" s="13" t="n"/>
    </row>
    <row r="925" ht="15.75" customHeight="1" s="74">
      <c r="A925" s="13" t="n"/>
    </row>
    <row r="926" ht="15.75" customHeight="1" s="74">
      <c r="A926" s="13" t="n"/>
    </row>
    <row r="927" ht="15.75" customHeight="1" s="74">
      <c r="A927" s="13" t="n"/>
    </row>
    <row r="928" ht="15.75" customHeight="1" s="74">
      <c r="A928" s="13" t="n"/>
    </row>
    <row r="929" ht="15.75" customHeight="1" s="74">
      <c r="A929" s="13" t="n"/>
    </row>
    <row r="930" ht="15.75" customHeight="1" s="74">
      <c r="A930" s="13" t="n"/>
    </row>
    <row r="931" ht="15.75" customHeight="1" s="74">
      <c r="A931" s="13" t="n"/>
    </row>
    <row r="932" ht="15.75" customHeight="1" s="74">
      <c r="A932" s="13" t="n"/>
    </row>
    <row r="933" ht="15.75" customHeight="1" s="74">
      <c r="A933" s="13" t="n"/>
    </row>
    <row r="934" ht="15.75" customHeight="1" s="74">
      <c r="A934" s="13" t="n"/>
    </row>
    <row r="935" ht="15.75" customHeight="1" s="74">
      <c r="A935" s="13" t="n"/>
    </row>
    <row r="936" ht="15.75" customHeight="1" s="74">
      <c r="A936" s="13" t="n"/>
    </row>
    <row r="937" ht="15.75" customHeight="1" s="74">
      <c r="A937" s="13" t="n"/>
    </row>
    <row r="938" ht="15.75" customHeight="1" s="74">
      <c r="A938" s="13" t="n"/>
    </row>
    <row r="939" ht="15.75" customHeight="1" s="74">
      <c r="A939" s="13" t="n"/>
    </row>
    <row r="940" ht="15.75" customHeight="1" s="74">
      <c r="A940" s="13" t="n"/>
    </row>
    <row r="941" ht="15.75" customHeight="1" s="74">
      <c r="A941" s="13" t="n"/>
    </row>
    <row r="942" ht="15.75" customHeight="1" s="74">
      <c r="A942" s="13" t="n"/>
    </row>
    <row r="943" ht="15.75" customHeight="1" s="74">
      <c r="A943" s="13" t="n"/>
    </row>
    <row r="944" ht="15.75" customHeight="1" s="74">
      <c r="A944" s="13" t="n"/>
    </row>
    <row r="945" ht="15.75" customHeight="1" s="74">
      <c r="A945" s="13" t="n"/>
    </row>
    <row r="946" ht="15.75" customHeight="1" s="74">
      <c r="A946" s="13" t="n"/>
    </row>
    <row r="947" ht="15.75" customHeight="1" s="74">
      <c r="A947" s="13" t="n"/>
    </row>
    <row r="948" ht="15.75" customHeight="1" s="74">
      <c r="A948" s="13" t="n"/>
    </row>
    <row r="949" ht="15.75" customHeight="1" s="74">
      <c r="A949" s="13" t="n"/>
    </row>
    <row r="950" ht="15.75" customHeight="1" s="74">
      <c r="A950" s="13" t="n"/>
    </row>
    <row r="951" ht="15.75" customHeight="1" s="74">
      <c r="A951" s="13" t="n"/>
    </row>
    <row r="952" ht="15.75" customHeight="1" s="74">
      <c r="A952" s="13" t="n"/>
    </row>
    <row r="953" ht="15.75" customHeight="1" s="74">
      <c r="A953" s="13" t="n"/>
    </row>
    <row r="954" ht="15.75" customHeight="1" s="74">
      <c r="A954" s="13" t="n"/>
    </row>
    <row r="955" ht="15.75" customHeight="1" s="74">
      <c r="A955" s="13" t="n"/>
    </row>
    <row r="956" ht="15.75" customHeight="1" s="74">
      <c r="A956" s="13" t="n"/>
    </row>
    <row r="957" ht="15.75" customHeight="1" s="74">
      <c r="A957" s="13" t="n"/>
    </row>
    <row r="958" ht="15.75" customHeight="1" s="74">
      <c r="A958" s="13" t="n"/>
    </row>
    <row r="959" ht="15.75" customHeight="1" s="74">
      <c r="A959" s="13" t="n"/>
    </row>
    <row r="960" ht="15.75" customHeight="1" s="74">
      <c r="A960" s="13" t="n"/>
    </row>
    <row r="961" ht="15.75" customHeight="1" s="74">
      <c r="A961" s="13" t="n"/>
    </row>
    <row r="962" ht="15.75" customHeight="1" s="74">
      <c r="A962" s="13" t="n"/>
    </row>
    <row r="963" ht="15.75" customHeight="1" s="74">
      <c r="A963" s="13" t="n"/>
    </row>
    <row r="964" ht="15.75" customHeight="1" s="74">
      <c r="A964" s="13" t="n"/>
    </row>
    <row r="965" ht="15.75" customHeight="1" s="74">
      <c r="A965" s="13" t="n"/>
    </row>
    <row r="966" ht="15.75" customHeight="1" s="74">
      <c r="A966" s="13" t="n"/>
    </row>
    <row r="967" ht="15.75" customHeight="1" s="74">
      <c r="A967" s="13" t="n"/>
    </row>
    <row r="968" ht="15.75" customHeight="1" s="74">
      <c r="A968" s="13" t="n"/>
    </row>
    <row r="969" ht="15.75" customHeight="1" s="74">
      <c r="A969" s="13" t="n"/>
    </row>
    <row r="970" ht="15.75" customHeight="1" s="74">
      <c r="A970" s="13" t="n"/>
    </row>
    <row r="971" ht="15.75" customHeight="1" s="74">
      <c r="A971" s="13" t="n"/>
    </row>
    <row r="972" ht="15.75" customHeight="1" s="74">
      <c r="A972" s="13" t="n"/>
    </row>
    <row r="973" ht="15.75" customHeight="1" s="74">
      <c r="A973" s="13" t="n"/>
    </row>
    <row r="974" ht="15.75" customHeight="1" s="74">
      <c r="A974" s="13" t="n"/>
    </row>
    <row r="975" ht="15.75" customHeight="1" s="74">
      <c r="A975" s="13" t="n"/>
    </row>
    <row r="976" ht="15.75" customHeight="1" s="74">
      <c r="A976" s="13" t="n"/>
    </row>
    <row r="977" ht="15.75" customHeight="1" s="74">
      <c r="A977" s="13" t="n"/>
    </row>
    <row r="978" ht="15.75" customHeight="1" s="74">
      <c r="A978" s="13" t="n"/>
    </row>
    <row r="979" ht="15.75" customHeight="1" s="74">
      <c r="A979" s="13" t="n"/>
    </row>
    <row r="980" ht="15.75" customHeight="1" s="74">
      <c r="A980" s="13" t="n"/>
    </row>
    <row r="981" ht="15.75" customHeight="1" s="74">
      <c r="A981" s="13" t="n"/>
    </row>
    <row r="982" ht="15.75" customHeight="1" s="74">
      <c r="A982" s="13" t="n"/>
    </row>
    <row r="983" ht="15.75" customHeight="1" s="74">
      <c r="A983" s="13" t="n"/>
    </row>
    <row r="984" ht="15.75" customHeight="1" s="74">
      <c r="A984" s="13" t="n"/>
    </row>
    <row r="985" ht="15.75" customHeight="1" s="74">
      <c r="A985" s="13" t="n"/>
    </row>
    <row r="986" ht="15.75" customHeight="1" s="74">
      <c r="A986" s="13" t="n"/>
    </row>
    <row r="987" ht="15.75" customHeight="1" s="74">
      <c r="A987" s="13" t="n"/>
    </row>
    <row r="988" ht="15.75" customHeight="1" s="74">
      <c r="A988" s="13" t="n"/>
    </row>
    <row r="989" ht="15.75" customHeight="1" s="74">
      <c r="A989" s="13" t="n"/>
    </row>
    <row r="990" ht="15.75" customHeight="1" s="74">
      <c r="A990" s="13" t="n"/>
    </row>
    <row r="991" ht="15.75" customHeight="1" s="74">
      <c r="A991" s="13" t="n"/>
    </row>
    <row r="992" ht="15.75" customHeight="1" s="74">
      <c r="A992" s="13" t="n"/>
    </row>
    <row r="993" ht="15.75" customHeight="1" s="74">
      <c r="A993" s="13"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AA999"/>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74" min="1" max="1"/>
    <col width="52.57" customWidth="1" style="74" min="2" max="2"/>
    <col hidden="1" width="33.14" customWidth="1" style="74" min="3" max="3"/>
    <col width="67.29000000000001" customWidth="1" style="74" min="4" max="4"/>
    <col width="76.29000000000001" customWidth="1" style="74" min="5" max="5"/>
    <col width="39" customWidth="1" style="74" min="6" max="6"/>
    <col width="16" customWidth="1" style="74" min="7" max="7"/>
    <col width="39" customWidth="1" style="74" min="8" max="8"/>
    <col width="14" customWidth="1" style="74" min="9" max="17"/>
    <col width="18" customWidth="1" style="74" min="18" max="18"/>
    <col width="74.43000000000001" customWidth="1" style="74" min="19" max="19"/>
    <col width="8.710000000000001" customWidth="1" style="74" min="20" max="25"/>
    <col width="167.71" customWidth="1" style="74" min="26" max="26"/>
    <col width="8.710000000000001" customWidth="1" style="74" min="27" max="27"/>
  </cols>
  <sheetData>
    <row r="1">
      <c r="A1" s="6" t="inlineStr">
        <is>
          <t>Line #</t>
        </is>
      </c>
      <c r="B1" s="6" t="inlineStr">
        <is>
          <t>Milestone (Activity)</t>
        </is>
      </c>
      <c r="C1" s="6" t="inlineStr">
        <is>
          <t>Phase (auto)</t>
        </is>
      </c>
      <c r="D1" s="6" t="inlineStr">
        <is>
          <t>Deliverable (auto)</t>
        </is>
      </c>
      <c r="E1" s="6" t="inlineStr">
        <is>
          <t>Description</t>
        </is>
      </c>
      <c r="F1" s="6" t="inlineStr">
        <is>
          <t>Knapsack Role Description</t>
        </is>
      </c>
      <c r="G1" s="6" t="inlineStr">
        <is>
          <t>Accountable Party</t>
        </is>
      </c>
      <c r="H1" s="6" t="inlineStr">
        <is>
          <t>Role</t>
        </is>
      </c>
      <c r="I1" s="6" t="inlineStr">
        <is>
          <t>Effort Type</t>
        </is>
      </c>
      <c r="J1" s="7" t="inlineStr">
        <is>
          <t>Effort Value</t>
        </is>
      </c>
      <c r="K1" s="6" t="inlineStr">
        <is>
          <t>Complexity</t>
        </is>
      </c>
      <c r="L1" s="6" t="inlineStr">
        <is>
          <t>Calc Hours</t>
        </is>
      </c>
      <c r="M1" s="6" t="inlineStr">
        <is>
          <t>Weeks (FTE)</t>
        </is>
      </c>
      <c r="N1" s="6" t="inlineStr">
        <is>
          <t>Start Date</t>
        </is>
      </c>
      <c r="O1" s="6" t="inlineStr">
        <is>
          <t>End Date</t>
        </is>
      </c>
      <c r="P1" s="6" t="inlineStr">
        <is>
          <t>Hourly Rate</t>
        </is>
      </c>
      <c r="Q1" s="6" t="inlineStr">
        <is>
          <t>Daily Rate</t>
        </is>
      </c>
      <c r="R1" s="6" t="inlineStr">
        <is>
          <t>Cost (auto)</t>
        </is>
      </c>
      <c r="S1" s="6" t="inlineStr">
        <is>
          <t>Notes</t>
        </is>
      </c>
      <c r="T1" s="6" t="inlineStr">
        <is>
          <t>Scenario Hour Mult.</t>
        </is>
      </c>
      <c r="U1" s="6" t="inlineStr">
        <is>
          <t>Scenario Rate Mult.</t>
        </is>
      </c>
      <c r="V1" s="6" t="inlineStr">
        <is>
          <t>Contingency %</t>
        </is>
      </c>
      <c r="W1" s="6" t="inlineStr">
        <is>
          <t>Final Hours (auto)</t>
        </is>
      </c>
      <c r="X1" s="6" t="inlineStr">
        <is>
          <t>Adj. Hourly Rate</t>
        </is>
      </c>
      <c r="Y1" s="6" t="inlineStr">
        <is>
          <t>Adj. Cost (auto)</t>
        </is>
      </c>
      <c r="Z1" s="37" t="inlineStr">
        <is>
          <t>Review Notes</t>
        </is>
      </c>
    </row>
    <row r="2">
      <c r="A2" s="11" t="n">
        <v>1</v>
      </c>
      <c r="B2" s="10" t="inlineStr">
        <is>
          <t>Program management and Steering Committee coordination</t>
        </is>
      </c>
      <c r="C2" s="11">
        <f t="array" ref="C2">IFERROR(INDEX(Milestones!$A:$A, MATCH($B2, Milestones!$B:$B, 0)), "")</f>
        <v/>
      </c>
      <c r="D2" s="11">
        <f t="array" ref="D2">IFERROR(INDEX(Milestones!$C:$C, MATCH($B2, Milestones!$B:$B, 0)), "")</f>
        <v/>
      </c>
      <c r="E2" s="11" t="inlineStr">
        <is>
          <t>Kickoff, bi-weekly stand-ups, monthly reports, phase gate reviews</t>
        </is>
      </c>
      <c r="F2" s="11">
        <f t="array" ref="F2">IFERROR(INDEX(Milestones!$E:$E, MATCH($B2, Milestones!$B:$B, 0)), "")</f>
        <v/>
      </c>
      <c r="G2" s="11" t="inlineStr">
        <is>
          <t>Adobe</t>
        </is>
      </c>
      <c r="H2" s="11">
        <f t="array" ref="H2">IFERROR(INDEX(Milestones!$E:$E, MATCH($B2, Milestones!$B:$B, 0)), "")</f>
        <v/>
      </c>
      <c r="I2" s="11" t="inlineStr">
        <is>
          <t>FTE</t>
        </is>
      </c>
      <c r="J2" s="20" t="n">
        <v>0.01</v>
      </c>
      <c r="K2" s="11" t="inlineStr">
        <is>
          <t>Low</t>
        </is>
      </c>
      <c r="L2" s="11" t="n">
        <v>100</v>
      </c>
      <c r="M2" s="11">
        <f>IF($I2="FTE", Assumptions!$B$3, "")</f>
        <v/>
      </c>
      <c r="N2" s="11">
        <f t="array" ref="N2">IFERROR(INDEX(Milestones!$F:$F, MATCH($B2, Milestones!$B:$B, 0)), "")</f>
        <v/>
      </c>
      <c r="O2" s="11">
        <f t="array" ref="O2">IFERROR(INDEX(Milestones!$G:$G, MATCH($B2, Milestones!$B:$B, 0)), "")</f>
        <v/>
      </c>
      <c r="P2" s="11">
        <f t="array" ref="P2">IFERROR(INDEX('Lookups - Rates'!$D:$D, MATCH($G2&amp;"|"&amp;$H2, 'Lookups - Rates'!$Z:$Z, 0)), "")</f>
        <v/>
      </c>
      <c r="Q2" s="11">
        <f t="array" ref="Q2">IFERROR(INDEX('Lookups - Rates'!$E:$E, MATCH($G2&amp;"|"&amp;$H2, 'Lookups - Rates'!$Z:$Z, 0)), "")</f>
        <v/>
      </c>
      <c r="R2" s="11">
        <f>LET(ev,$J2, ch,$L2, hr,$P2, dr,$Q2, hpday,Assumptions!$B$2, hpw,Assumptions!$B$3, w,$M2, hrs, IF($I2="Hours", ev, IF($I2="Days", ev*IF(dr&gt;0, dr/hr, hpday), IF($I2="FTE", ev*hpw*w, ch))), IF(hrs="", "", hrs*hr))</f>
        <v/>
      </c>
      <c r="S2" s="13" t="n"/>
      <c r="T2" s="11">
        <f t="array" ref="T2">XLOOKUP(Scenario_Selected, INDEX(Scenario_Table,0,1), INDEX(Scenario_Table,0,2))</f>
        <v/>
      </c>
      <c r="U2" s="11">
        <f t="array" ref="U2">XLOOKUP(Scenario_Selected, INDEX(Scenario_Table,0,1), INDEX(Scenario_Table,0,3))</f>
        <v/>
      </c>
      <c r="V2" s="11">
        <f t="array" ref="V2">XLOOKUP(Scenario_Selected, INDEX(Scenario_Table,0,1), INDEX(Scenario_Table,0,4))</f>
        <v/>
      </c>
      <c r="W2" s="11">
        <f t="array" ref="W2">LET(ev,$J2, ch,$L2, et,$I2, dr,$Q2, hpday,Assumptions!$B$2, hpw,Assumptions!$B$3, w,$M2,hm,INDIRECT("R[0]C[0]",FALSE),hrs, IF(et="Hours", ev, IF(et="Days", ev*IF(dr&gt;0, dr/$P2, hpday), IF(et="FTE", ev*hpw*w, ch))), IF(hrs="", "", hrs*hm))</f>
        <v/>
      </c>
      <c r="X2" s="11">
        <f>IF($P2="","", $P2*INDIRECT("R[0]C[-3]",FALSE))</f>
        <v/>
      </c>
      <c r="Y2" s="11">
        <f>IF(INDIRECT("R[0]C[-1]",FALSE)="","", INDIRECT("R[0]C[-2]",FALSE)*INDIRECT("R[0]C[-1]",FALSE)*(1+INDIRECT("R[0]C[-3]",FALSE)))</f>
        <v/>
      </c>
      <c r="Z2" s="13" t="inlineStr">
        <is>
          <t>potentially</t>
        </is>
      </c>
    </row>
    <row r="3">
      <c r="A3" s="11" t="n">
        <v>2</v>
      </c>
      <c r="B3" s="10" t="inlineStr">
        <is>
          <t>Facilitating and supporting deliverables</t>
        </is>
      </c>
      <c r="C3" s="11">
        <f t="array" ref="C3">IFERROR(INDEX(Milestones!$A:$A, MATCH($B3, Milestones!$B:$B, 0)), "")</f>
        <v/>
      </c>
      <c r="D3" s="11">
        <f t="array" ref="D3">IFERROR(INDEX(Milestones!$C:$C, MATCH($B3, Milestones!$B:$B, 0)), "")</f>
        <v/>
      </c>
      <c r="E3" s="11" t="inlineStr">
        <is>
          <t>Track adoption metrics, stakeholder engagement, and training completion</t>
        </is>
      </c>
      <c r="F3" s="11">
        <f t="array" ref="F3">IFERROR(INDEX(Milestones!$E:$E, MATCH($B3, Milestones!$B:$B, 0)), "")</f>
        <v/>
      </c>
      <c r="G3" s="11" t="inlineStr">
        <is>
          <t>Adobe</t>
        </is>
      </c>
      <c r="H3" s="11" t="inlineStr">
        <is>
          <t>Adobe</t>
        </is>
      </c>
      <c r="I3" s="11" t="inlineStr">
        <is>
          <t>FTE</t>
        </is>
      </c>
      <c r="J3" s="20" t="n">
        <v>0.03</v>
      </c>
      <c r="K3" s="11" t="inlineStr">
        <is>
          <t>Medium</t>
        </is>
      </c>
      <c r="L3" s="11">
        <f t="array" ref="L3">IF($K3="","", IFERROR(IFS($K3="Low", INDEX('Lookups - Complexity'!$C:$C, MATCH($B3, 'Lookups - Complexity'!$B:$B,0)), $K3="Medium", INDEX('Lookups - Complexity'!$D:$D, MATCH($B3, 'Lookups - Complexity'!$B:$B,0)), $K3="High", INDEX('Lookups - Complexity'!$E:$E, MATCH($B3, 'Lookups - Complexity'!$B:$B,0))), ""))</f>
        <v/>
      </c>
      <c r="M3" s="11">
        <f>IF($I3="FTE", Assumptions!$B$3, "")</f>
        <v/>
      </c>
      <c r="N3" s="11">
        <f t="array" ref="N3">IFERROR(INDEX(Milestones!$F:$F, MATCH($B3, Milestones!$B:$B, 0)), "")</f>
        <v/>
      </c>
      <c r="O3" s="11">
        <f t="array" ref="O3">IFERROR(INDEX(Milestones!$G:$G, MATCH($B3, Milestones!$B:$B, 0)), "")</f>
        <v/>
      </c>
      <c r="P3" s="11">
        <f t="array" ref="P3">IFERROR(INDEX('Lookups - Rates'!$D:$D, MATCH($G3&amp;"|"&amp;$H3, 'Lookups - Rates'!$Z:$Z, 0)), "")</f>
        <v/>
      </c>
      <c r="Q3" s="11">
        <f t="array" ref="Q3">IFERROR(INDEX('Lookups - Rates'!$E:$E, MATCH($G3&amp;"|"&amp;$H3, 'Lookups - Rates'!$Z:$Z, 0)), "")</f>
        <v/>
      </c>
      <c r="R3" s="11">
        <f>LET(ev,$J3, ch,$L3, hr,$P3, dr,$Q3, hpday,Assumptions!$B$2, hpw,Assumptions!$B$3, w,$M3, hrs, IF($I3="Hours", ev, IF($I3="Days", ev*IF(dr&gt;0, dr/hr, hpday), IF($I3="FTE", ev*hpw*w, ch))), IF(hrs="", "", hrs*hr))</f>
        <v/>
      </c>
      <c r="S3" s="13" t="n"/>
      <c r="T3" s="11">
        <f t="array" ref="T3">XLOOKUP(Scenario_Selected, INDEX(Scenario_Table,0,1), INDEX(Scenario_Table,0,2))</f>
        <v/>
      </c>
      <c r="U3" s="11">
        <f t="array" ref="U3">XLOOKUP(Scenario_Selected, INDEX(Scenario_Table,0,1), INDEX(Scenario_Table,0,3))</f>
        <v/>
      </c>
      <c r="V3" s="11">
        <f t="array" ref="V3">XLOOKUP(Scenario_Selected, INDEX(Scenario_Table,0,1), INDEX(Scenario_Table,0,4))</f>
        <v/>
      </c>
      <c r="W3" s="11">
        <f t="array" ref="W3">LET(ev,$J3, ch,$L3, et,$I3, dr,$Q3, hpday,Assumptions!$B$2, hpw,Assumptions!$B$3, w,$M3,hm,INDIRECT("R[0]C[0]",FALSE),hrs, IF(et="Hours", ev, IF(et="Days", ev*IF(dr&gt;0, dr/$P3, hpday), IF(et="FTE", ev*hpw*w, ch))), IF(hrs="", "", hrs*hm))</f>
        <v/>
      </c>
      <c r="X3" s="11">
        <f>IF($P3="","", $P3*INDIRECT("R[0]C[-3]",FALSE))</f>
        <v/>
      </c>
      <c r="Y3" s="11">
        <f>IF(INDIRECT("R[0]C[-1]",FALSE)="","", INDIRECT("R[0]C[-2]",FALSE)*INDIRECT("R[0]C[-1]",FALSE)*(1+INDIRECT("R[0]C[-3]",FALSE)))</f>
        <v/>
      </c>
      <c r="Z3" s="13" t="inlineStr">
        <is>
          <t>typically owned by the team - partnership with Program management + leads</t>
        </is>
      </c>
    </row>
    <row r="4">
      <c r="A4" s="11" t="n">
        <v>3</v>
      </c>
      <c r="B4" s="10" t="inlineStr">
        <is>
          <t>Stakeholder Alignment Workshops</t>
        </is>
      </c>
      <c r="C4" s="11">
        <f t="array" ref="C4">IFERROR(INDEX(Milestones!$A:$A, MATCH($B4, Milestones!$B:$B, 0)), "")</f>
        <v/>
      </c>
      <c r="D4" s="11">
        <f t="array" ref="D4">IFERROR(INDEX(Milestones!$C:$C, MATCH($B4, Milestones!$B:$B, 0)), "")</f>
        <v/>
      </c>
      <c r="E4" s="11" t="inlineStr">
        <is>
          <t>Ensure executive and stakeholder alignment before kickoff.</t>
        </is>
      </c>
      <c r="F4" s="11">
        <f t="array" ref="F4">IFERROR(INDEX(Milestones!$E:$E, MATCH($B4, Milestones!$B:$B, 0)), "")</f>
        <v/>
      </c>
      <c r="G4" s="11" t="inlineStr">
        <is>
          <t>Adobe</t>
        </is>
      </c>
      <c r="H4" s="11" t="inlineStr">
        <is>
          <t>Adobe</t>
        </is>
      </c>
      <c r="I4" s="11" t="inlineStr">
        <is>
          <t>FTE</t>
        </is>
      </c>
      <c r="J4" s="20" t="n">
        <v>0.03</v>
      </c>
      <c r="K4" s="11" t="inlineStr">
        <is>
          <t>Medium</t>
        </is>
      </c>
      <c r="L4" s="11">
        <f t="array" ref="L4">IF($K4="","", IFERROR(IFS($K4="Low", INDEX('Lookups - Complexity'!$C:$C, MATCH($B4, 'Lookups - Complexity'!$B:$B,0)), $K4="Medium", INDEX('Lookups - Complexity'!$D:$D, MATCH($B4, 'Lookups - Complexity'!$B:$B,0)), $K4="High", INDEX('Lookups - Complexity'!$E:$E, MATCH($B4, 'Lookups - Complexity'!$B:$B,0))), ""))</f>
        <v/>
      </c>
      <c r="M4" s="11">
        <f>IF($I4="FTE", Assumptions!$B$3, "")</f>
        <v/>
      </c>
      <c r="N4" s="11">
        <f t="array" ref="N4">IFERROR(INDEX(Milestones!$F:$F, MATCH($B4, Milestones!$B:$B, 0)), "")</f>
        <v/>
      </c>
      <c r="O4" s="11">
        <f t="array" ref="O4">IFERROR(INDEX(Milestones!$G:$G, MATCH($B4, Milestones!$B:$B, 0)), "")</f>
        <v/>
      </c>
      <c r="P4" s="11">
        <f t="array" ref="P4">IFERROR(INDEX('Lookups - Rates'!$D:$D, MATCH($G4&amp;"|"&amp;$H4, 'Lookups - Rates'!$Z:$Z, 0)), "")</f>
        <v/>
      </c>
      <c r="Q4" s="11">
        <f t="array" ref="Q4">IFERROR(INDEX('Lookups - Rates'!$E:$E, MATCH($G4&amp;"|"&amp;$H4, 'Lookups - Rates'!$Z:$Z, 0)), "")</f>
        <v/>
      </c>
      <c r="R4" s="11">
        <f>LET(ev,$J4, ch,$L4, hr,$P4, dr,$Q4, hpday,Assumptions!$B$2, hpw,Assumptions!$B$3, w,$M4, hrs, IF($I4="Hours", ev, IF($I4="Days", ev*IF(dr&gt;0, dr/hr, hpday), IF($I4="FTE", ev*hpw*w, ch))), IF(hrs="", "", hrs*hr))</f>
        <v/>
      </c>
      <c r="S4" s="13" t="n"/>
      <c r="T4" s="11">
        <f t="array" ref="T4">XLOOKUP(Scenario_Selected, INDEX(Scenario_Table,0,1), INDEX(Scenario_Table,0,2))</f>
        <v/>
      </c>
      <c r="U4" s="11">
        <f t="array" ref="U4">XLOOKUP(Scenario_Selected, INDEX(Scenario_Table,0,1), INDEX(Scenario_Table,0,3))</f>
        <v/>
      </c>
      <c r="V4" s="11">
        <f t="array" ref="V4">XLOOKUP(Scenario_Selected, INDEX(Scenario_Table,0,1), INDEX(Scenario_Table,0,4))</f>
        <v/>
      </c>
      <c r="W4" s="11">
        <f t="array" ref="W4">LET(ev,$J4, ch,$L4, et,$I4, dr,$Q4, hpday,Assumptions!$B$2, hpw,Assumptions!$B$3, w,$M4,hm,INDIRECT("R[0]C[0]",FALSE),hrs, IF(et="Hours", ev, IF(et="Days", ev*IF(dr&gt;0, dr/$P4, hpday), IF(et="FTE", ev*hpw*w, ch))), IF(hrs="", "", hrs*hm))</f>
        <v/>
      </c>
      <c r="X4" s="11">
        <f>IF($P4="","", $P4*INDIRECT("R[0]C[-3]",FALSE))</f>
        <v/>
      </c>
      <c r="Y4" s="11">
        <f>IF(INDIRECT("R[0]C[-1]",FALSE)="","", INDIRECT("R[0]C[-2]",FALSE)*INDIRECT("R[0]C[-1]",FALSE)*(1+INDIRECT("R[0]C[-3]",FALSE)))</f>
        <v/>
      </c>
      <c r="Z4" s="13" t="inlineStr">
        <is>
          <t xml:space="preserve">Product Owners, etc. </t>
        </is>
      </c>
    </row>
    <row r="5">
      <c r="A5" s="11" t="n">
        <v>4</v>
      </c>
      <c r="B5" s="10" t="inlineStr">
        <is>
          <t>Change Readiness Assessment</t>
        </is>
      </c>
      <c r="C5" s="11">
        <f t="array" ref="C5">IFERROR(INDEX(Milestones!$A:$A, MATCH($B5, Milestones!$B:$B, 0)), "")</f>
        <v/>
      </c>
      <c r="D5" s="11">
        <f t="array" ref="D5">IFERROR(INDEX(Milestones!$A:$A, MATCH($B5, Milestones!$B:$B, 0)), "")</f>
        <v/>
      </c>
      <c r="E5" s="11" t="inlineStr">
        <is>
          <t>Assess cultural, technical, and operational readiness prior to implementation.</t>
        </is>
      </c>
      <c r="F5" s="11">
        <f t="array" ref="F5">IFERROR(INDEX(Milestones!$E:$E, MATCH($B5, Milestones!$B:$B, 0)), "")</f>
        <v/>
      </c>
      <c r="G5" s="11" t="inlineStr">
        <is>
          <t>Adobe</t>
        </is>
      </c>
      <c r="H5" s="11" t="inlineStr">
        <is>
          <t>CX Partner - Change Management SME</t>
        </is>
      </c>
      <c r="I5" s="11" t="inlineStr">
        <is>
          <t>FTE</t>
        </is>
      </c>
      <c r="J5" s="20" t="n">
        <v>0.03</v>
      </c>
      <c r="K5" s="11" t="inlineStr">
        <is>
          <t>Medium</t>
        </is>
      </c>
      <c r="L5" s="11" t="n">
        <v>16</v>
      </c>
      <c r="M5" s="11">
        <f>IF($I5="FTE", Assumptions!$B$3, "")</f>
        <v/>
      </c>
      <c r="N5" s="11">
        <f t="array" ref="N5">IFERROR(INDEX(Milestones!$F:$F, MATCH($B5, Milestones!$B:$B, 0)), "")</f>
        <v/>
      </c>
      <c r="O5" s="11">
        <f t="array" ref="O5">IFERROR(INDEX(Milestones!$G:$G, MATCH($B5, Milestones!$B:$B, 0)), "")</f>
        <v/>
      </c>
      <c r="P5" s="11">
        <f t="array" ref="P5">IFERROR(INDEX('Lookups - Rates'!$D:$D, MATCH($G5&amp;"|"&amp;$H5, 'Lookups - Rates'!$Z:$Z, 0)), "")</f>
        <v/>
      </c>
      <c r="Q5" s="11">
        <f t="array" ref="Q5">IFERROR(INDEX('Lookups - Rates'!$E:$E, MATCH($G5&amp;"|"&amp;$H5, 'Lookups - Rates'!$Z:$Z, 0)), "")</f>
        <v/>
      </c>
      <c r="R5" s="11">
        <f>LET(ev,$J5, ch,$L5, hr,$P5, dr,$Q5, hpday,Assumptions!$B$2, hpw,Assumptions!$B$3, w,$M5, hrs, IF($I5="Hours", ev, IF($I5="Days", ev*IF(dr&gt;0, dr/hr, hpday), IF($I5="FTE", ev*hpw*w, ch))), IF(hrs="", "", hrs*hr))</f>
        <v/>
      </c>
      <c r="S5" s="13" t="n"/>
      <c r="T5" s="11">
        <f t="array" ref="T5">XLOOKUP(Scenario_Selected, INDEX(Scenario_Table,0,1), INDEX(Scenario_Table,0,2))</f>
        <v/>
      </c>
      <c r="U5" s="11">
        <f t="array" ref="U5">XLOOKUP(Scenario_Selected, INDEX(Scenario_Table,0,1), INDEX(Scenario_Table,0,3))</f>
        <v/>
      </c>
      <c r="V5" s="11">
        <f t="array" ref="V5">XLOOKUP(Scenario_Selected, INDEX(Scenario_Table,0,1), INDEX(Scenario_Table,0,4))</f>
        <v/>
      </c>
      <c r="W5" s="11">
        <f t="array" ref="W5">LET(ev,$J5, ch,$L5, et,$I5, dr,$Q5, hpday,Assumptions!$B$2, hpw,Assumptions!$B$3, w,$M5,hm,INDIRECT("R[0]C[0]",FALSE),hrs, IF(et="Hours", ev, IF(et="Days", ev*IF(dr&gt;0, dr/$P5, hpday), IF(et="FTE", ev*hpw*w, ch))), IF(hrs="", "", hrs*hm))</f>
        <v/>
      </c>
      <c r="X5" s="11">
        <f>IF($P5="","", $P5*INDIRECT("R[0]C[-3]",FALSE))</f>
        <v/>
      </c>
      <c r="Y5" s="11">
        <f>IF(INDIRECT("R[0]C[-1]",FALSE)="","", INDIRECT("R[0]C[-2]",FALSE)*INDIRECT("R[0]C[-1]",FALSE)*(1+INDIRECT("R[0]C[-3]",FALSE)))</f>
        <v/>
      </c>
      <c r="Z5" s="13" t="inlineStr">
        <is>
          <t xml:space="preserve">The Spectrum team will be fine - external to Spectrum will be limited to the documentation. Programming is in place to support this </t>
        </is>
      </c>
      <c r="AA5" s="11" t="inlineStr">
        <is>
          <t xml:space="preserve">Amber to share the readiness survey </t>
        </is>
      </c>
    </row>
    <row r="6">
      <c r="A6" s="16" t="n">
        <v>5</v>
      </c>
      <c r="B6" s="15" t="inlineStr">
        <is>
          <t>Program management and coordination</t>
        </is>
      </c>
      <c r="C6" s="16">
        <f t="array" ref="C6">IFERROR(INDEX(Milestones!$A:$A, MATCH($B6, Milestones!$B:$B, 0)), "")</f>
        <v/>
      </c>
      <c r="D6" s="16">
        <f t="array" ref="D6">IFERROR(INDEX(Milestones!$C:$C, MATCH($B6, Milestones!$B:$B, 0)), "")</f>
        <v/>
      </c>
      <c r="E6" s="16" t="inlineStr">
        <is>
          <t>Program coordination, kickoff, and phase review oversight</t>
        </is>
      </c>
      <c r="F6" s="16">
        <f t="array" ref="F6">IFERROR(INDEX(Milestones!$E:$E, MATCH($B6, Milestones!$B:$B, 0)), "")</f>
        <v/>
      </c>
      <c r="G6" s="16" t="inlineStr">
        <is>
          <t>Knapsack</t>
        </is>
      </c>
      <c r="H6" s="16">
        <f t="array" ref="H6">IFERROR(INDEX(Milestones!$E:$E, MATCH($B6, Milestones!$B:$B, 0)), "")</f>
        <v/>
      </c>
      <c r="I6" s="16" t="inlineStr">
        <is>
          <t>FTE</t>
        </is>
      </c>
      <c r="J6" s="17" t="n">
        <v>0.03</v>
      </c>
      <c r="K6" s="16" t="inlineStr">
        <is>
          <t>Medium</t>
        </is>
      </c>
      <c r="L6" s="16">
        <f t="array" ref="L6">IF($K6="","", IFERROR(IFS($K6="Low", INDEX('Lookups - Complexity'!$C:$C, MATCH($B6, 'Lookups - Complexity'!$B:$B,0)), $K6="Medium", INDEX('Lookups - Complexity'!$D:$D, MATCH($B6, 'Lookups - Complexity'!$B:$B,0)), $K6="High", INDEX('Lookups - Complexity'!$E:$E, MATCH($B6, 'Lookups - Complexity'!$B:$B,0))), ""))</f>
        <v/>
      </c>
      <c r="M6" s="16">
        <f>IF($I6="FTE", Assumptions!$B$3, "")</f>
        <v/>
      </c>
      <c r="N6" s="16">
        <f t="array" ref="N6">IFERROR(INDEX(Milestones!$F:$F, MATCH($B6, Milestones!$B:$B, 0)), "")</f>
        <v/>
      </c>
      <c r="O6" s="16">
        <f t="array" ref="O6">IFERROR(INDEX(Milestones!$G:$G, MATCH($B6, Milestones!$B:$B, 0)), "")</f>
        <v/>
      </c>
      <c r="P6" s="16">
        <f t="array" ref="P6">IFERROR(INDEX('Lookups - Rates'!$D:$D, MATCH($G6&amp;"|"&amp;$H6, 'Lookups - Rates'!$Z:$Z, 0)), "")</f>
        <v/>
      </c>
      <c r="Q6" s="16">
        <f t="array" ref="Q6">IFERROR(INDEX('Lookups - Rates'!$E:$E, MATCH($G6&amp;"|"&amp;$H6, 'Lookups - Rates'!$Z:$Z, 0)), "")</f>
        <v/>
      </c>
      <c r="R6" s="16">
        <f>LET(ev,$J6, ch,$L6, hr,$P6, dr,$Q6, hpday,Assumptions!$B$2, hpw,Assumptions!$B$3, w,$M6, hrs, IF($I6="Hours", ev, IF($I6="Days", ev*IF(dr&gt;0, dr/hr, hpday), IF($I6="FTE", ev*hpw*w, ch))), IF(hrs="", "", hrs*hr))</f>
        <v/>
      </c>
      <c r="S6" s="19" t="n"/>
      <c r="T6" s="16">
        <f t="array" ref="T6">XLOOKUP(Scenario_Selected, INDEX(Scenario_Table,0,1), INDEX(Scenario_Table,0,2))</f>
        <v/>
      </c>
      <c r="U6" s="16">
        <f t="array" ref="U6">XLOOKUP(Scenario_Selected, INDEX(Scenario_Table,0,1), INDEX(Scenario_Table,0,3))</f>
        <v/>
      </c>
      <c r="V6" s="16">
        <f t="array" ref="V6">XLOOKUP(Scenario_Selected, INDEX(Scenario_Table,0,1), INDEX(Scenario_Table,0,4))</f>
        <v/>
      </c>
      <c r="W6" s="16">
        <f t="array" ref="W6">LET(ev,$J6, ch,$L6, et,$I6, dr,$Q6, hpday,Assumptions!$B$2, hpw,Assumptions!$B$3, w,$M6,hm,INDIRECT("R[0]C[0]",FALSE),hrs, IF(et="Hours", ev, IF(et="Days", ev*IF(dr&gt;0, dr/$P6, hpday), IF(et="FTE", ev*hpw*w, ch))), IF(hrs="", "", hrs*hm))</f>
        <v/>
      </c>
      <c r="X6" s="16">
        <f>IF($P6="","", $P6*INDIRECT("R[0]C[-3]",FALSE))</f>
        <v/>
      </c>
      <c r="Y6" s="16">
        <f>IF(INDIRECT("R[0]C[-1]",FALSE)="","", INDIRECT("R[0]C[-2]",FALSE)*INDIRECT("R[0]C[-1]",FALSE)*(1+INDIRECT("R[0]C[-3]",FALSE)))</f>
        <v/>
      </c>
      <c r="Z6" s="19" t="inlineStr">
        <is>
          <t>@ADOBE - WE HAVE INCLUDED OUR PROJECT MANAGER RESOURCE HERE TO SUPPORT AND THEY WILL TAKE DIRECTION FROM ANDREW AND I AS CX PARTNERS TO KEEP COST DOWN AND STILL PROVIDE YOU WITH THE VALUE OF CX LED PROGRAM MANAGEMENT. THEY WILL NEED TO BE IN LOCK STEP WITH YOUR PROJECT MANAGER FROM ROW 1 OF THIS PLAN. 10.28 @ADOBE - what is the final answer on this? Is Adobe Accountable OR do you want/need Knapsack support. Notes from previous review. Our Program Managers are stretched quite thin - IF there is an opportunity to leverage a Project Manager alongside the FDE we can consider it - let's align on the terms. Option for contractor spend</t>
        </is>
      </c>
      <c r="AA6" s="16" t="n"/>
    </row>
    <row r="7">
      <c r="A7" s="11" t="n">
        <v>6</v>
      </c>
      <c r="B7" s="10" t="inlineStr">
        <is>
          <t>Communication Launch Plan</t>
        </is>
      </c>
      <c r="C7" s="11">
        <f t="array" ref="C7">IFERROR(INDEX(Milestones!$A:$A, MATCH($B7, Milestones!$B:$B, 0)), "")</f>
        <v/>
      </c>
      <c r="D7" s="11">
        <f t="array" ref="D7">IFERROR(INDEX(Milestones!$C:$C, MATCH($B7, Milestones!$B:$B, 0)), "")</f>
        <v/>
      </c>
      <c r="E7" s="11" t="inlineStr">
        <is>
          <t>Launch program messaging, goals, and brand identity across teams.</t>
        </is>
      </c>
      <c r="F7" s="11">
        <f t="array" ref="F7">IFERROR(INDEX(Milestones!$E:$E, MATCH($B7, Milestones!$B:$B, 0)), "")</f>
        <v/>
      </c>
      <c r="G7" s="11" t="inlineStr">
        <is>
          <t>Adobe</t>
        </is>
      </c>
      <c r="H7" s="11" t="inlineStr">
        <is>
          <t>Adobe</t>
        </is>
      </c>
      <c r="I7" s="11" t="inlineStr">
        <is>
          <t>FTE</t>
        </is>
      </c>
      <c r="J7" s="20" t="n">
        <v>0.05</v>
      </c>
      <c r="K7" s="11" t="inlineStr">
        <is>
          <t>High</t>
        </is>
      </c>
      <c r="L7" s="11">
        <f t="array" ref="L7">IF($K7="","", IFERROR(IFS($K7="Low", INDEX('Lookups - Complexity'!$C:$C, MATCH($B7, 'Lookups - Complexity'!$B:$B,0)), $K7="Medium", INDEX('Lookups - Complexity'!$D:$D, MATCH($B7, 'Lookups - Complexity'!$B:$B,0)), $K7="High", INDEX('Lookups - Complexity'!$E:$E, MATCH($B7, 'Lookups - Complexity'!$B:$B,0))), ""))</f>
        <v/>
      </c>
      <c r="M7" s="11">
        <f>IF($I7="FTE", Assumptions!$B$3, "")</f>
        <v/>
      </c>
      <c r="N7" s="11">
        <f t="array" ref="N7">IFERROR(INDEX(Milestones!$F:$F, MATCH($B7, Milestones!$B:$B, 0)), "")</f>
        <v/>
      </c>
      <c r="O7" s="11">
        <f t="array" ref="O7">IFERROR(INDEX(Milestones!$G:$G, MATCH($B7, Milestones!$B:$B, 0)), "")</f>
        <v/>
      </c>
      <c r="P7" s="11">
        <f t="array" ref="P7">IFERROR(INDEX('Lookups - Rates'!$D:$D, MATCH($G7&amp;"|"&amp;$H7, 'Lookups - Rates'!$Z:$Z, 0)), "")</f>
        <v/>
      </c>
      <c r="Q7" s="11">
        <f t="array" ref="Q7">IFERROR(INDEX('Lookups - Rates'!$E:$E, MATCH($G7&amp;"|"&amp;$H7, 'Lookups - Rates'!$Z:$Z, 0)), "")</f>
        <v/>
      </c>
      <c r="R7" s="11">
        <f>LET(ev,$J7, ch,$L7, hr,$P7, dr,$Q7, hpday,Assumptions!$B$2, hpw,Assumptions!$B$3, w,$M7, hrs, IF($I7="Hours", ev, IF($I7="Days", ev*IF(dr&gt;0, dr/hr, hpday), IF($I7="FTE", ev*hpw*w, ch))), IF(hrs="", "", hrs*hr))</f>
        <v/>
      </c>
      <c r="S7" s="13" t="n"/>
      <c r="T7" s="11">
        <f t="array" ref="T7">XLOOKUP(Scenario_Selected, INDEX(Scenario_Table,0,1), INDEX(Scenario_Table,0,2))</f>
        <v/>
      </c>
      <c r="U7" s="11">
        <f t="array" ref="U7">XLOOKUP(Scenario_Selected, INDEX(Scenario_Table,0,1), INDEX(Scenario_Table,0,3))</f>
        <v/>
      </c>
      <c r="V7" s="11">
        <f t="array" ref="V7">XLOOKUP(Scenario_Selected, INDEX(Scenario_Table,0,1), INDEX(Scenario_Table,0,4))</f>
        <v/>
      </c>
      <c r="W7" s="11">
        <f t="array" ref="W7">LET(ev,$J7, ch,$L7, et,$I7, dr,$Q7, hpday,Assumptions!$B$2, hpw,Assumptions!$B$3, w,$M7,hm,INDIRECT("R[0]C[0]",FALSE),hrs, IF(et="Hours", ev, IF(et="Days", ev*IF(dr&gt;0, dr/$P7, hpday), IF(et="FTE", ev*hpw*w, ch))), IF(hrs="", "", hrs*hm))</f>
        <v/>
      </c>
      <c r="X7" s="11">
        <f>IF($P7="","", $P7*INDIRECT("R[0]C[-3]",FALSE))</f>
        <v/>
      </c>
      <c r="Y7" s="11">
        <f>IF(INDIRECT("R[0]C[-1]",FALSE)="","", INDIRECT("R[0]C[-2]",FALSE)*INDIRECT("R[0]C[-1]",FALSE)*(1+INDIRECT("R[0]C[-3]",FALSE)))</f>
        <v/>
      </c>
      <c r="Z7" s="13" t="n"/>
    </row>
    <row r="8">
      <c r="A8" s="11" t="n">
        <v>7</v>
      </c>
      <c r="B8" s="10" t="inlineStr">
        <is>
          <t>Preparation</t>
        </is>
      </c>
      <c r="C8" s="11">
        <f t="array" ref="C8">IFERROR(INDEX(Milestones!$A:$A, MATCH($B8, Milestones!$B:$B, 0)), "")</f>
        <v/>
      </c>
      <c r="D8" s="11">
        <f t="array" ref="D8">IFERROR(INDEX(Milestones!$C:$C, MATCH($B8, Milestones!$B:$B, 0)), "")</f>
        <v/>
      </c>
      <c r="E8" s="11" t="inlineStr">
        <is>
          <t>Verify infrastructure readiness, environment setup, and permissions</t>
        </is>
      </c>
      <c r="F8" s="11">
        <f t="array" ref="F8">IFERROR(INDEX(Milestones!$E:$E, MATCH($B8, Milestones!$B:$B, 0)), "")</f>
        <v/>
      </c>
      <c r="G8" s="11" t="inlineStr">
        <is>
          <t>Knapsack</t>
        </is>
      </c>
      <c r="H8" s="11">
        <f t="array" ref="H8">IFERROR(INDEX(Milestones!$E:$E, MATCH($B8, Milestones!$B:$B, 0)), "")</f>
        <v/>
      </c>
      <c r="I8" s="11" t="inlineStr">
        <is>
          <t>FTE</t>
        </is>
      </c>
      <c r="J8" s="20" t="n">
        <v>0.025</v>
      </c>
      <c r="K8" s="11" t="inlineStr">
        <is>
          <t>Medium</t>
        </is>
      </c>
      <c r="L8" s="11">
        <f t="array" ref="L8">IF($K8="","", IFERROR(IFS($K8="Low", INDEX('Lookups - Complexity'!$C:$C, MATCH($B8, 'Lookups - Complexity'!$B:$B,0)), $K8="Medium", INDEX('Lookups - Complexity'!$D:$D, MATCH($B8, 'Lookups - Complexity'!$B:$B,0)), $K8="High", INDEX('Lookups - Complexity'!$E:$E, MATCH($B8, 'Lookups - Complexity'!$B:$B,0))), ""))</f>
        <v/>
      </c>
      <c r="M8" s="11">
        <f>IF($I8="FTE", Assumptions!$B$3, "")</f>
        <v/>
      </c>
      <c r="N8" s="11">
        <f t="array" ref="N8">IFERROR(INDEX(Milestones!$F:$F, MATCH($B8, Milestones!$B:$B, 0)), "")</f>
        <v/>
      </c>
      <c r="O8" s="11">
        <f t="array" ref="O8">IFERROR(INDEX(Milestones!$G:$G, MATCH($B8, Milestones!$B:$B, 0)), "")</f>
        <v/>
      </c>
      <c r="P8" s="11">
        <f t="array" ref="P8">IFERROR(INDEX('Lookups - Rates'!$D:$D, MATCH($G8&amp;"|"&amp;$H8, 'Lookups - Rates'!$Z:$Z, 0)), "")</f>
        <v/>
      </c>
      <c r="Q8" s="11">
        <f t="array" ref="Q8">IFERROR(INDEX('Lookups - Rates'!$E:$E, MATCH($G8&amp;"|"&amp;$H8, 'Lookups - Rates'!$Z:$Z, 0)), "")</f>
        <v/>
      </c>
      <c r="R8" s="11">
        <f>LET(ev,$J8, ch,$L8, hr,$P8, dr,$Q8, hpday,Assumptions!$B$2, hpw,Assumptions!$B$3, w,$M8, hrs, IF($I8="Hours", ev, IF($I8="Days", ev*IF(dr&gt;0, dr/hr, hpday), IF($I8="FTE", ev*hpw*w, ch))), IF(hrs="", "", hrs*hr))</f>
        <v/>
      </c>
      <c r="S8" s="13" t="n"/>
      <c r="T8" s="11">
        <f t="array" ref="T8">XLOOKUP(Scenario_Selected, INDEX(Scenario_Table,0,1), INDEX(Scenario_Table,0,2))</f>
        <v/>
      </c>
      <c r="U8" s="11">
        <f t="array" ref="U8">XLOOKUP(Scenario_Selected, INDEX(Scenario_Table,0,1), INDEX(Scenario_Table,0,3))</f>
        <v/>
      </c>
      <c r="V8" s="11">
        <f t="array" ref="V8">XLOOKUP(Scenario_Selected, INDEX(Scenario_Table,0,1), INDEX(Scenario_Table,0,4))</f>
        <v/>
      </c>
      <c r="W8" s="11">
        <f t="array" ref="W8">LET(ev,$J8, ch,$L8, et,$I8, dr,$Q8, hpday,Assumptions!$B$2, hpw,Assumptions!$B$3, w,$M8,hm,INDIRECT("R[0]C[0]",FALSE),hrs, IF(et="Hours", ev, IF(et="Days", ev*IF(dr&gt;0, dr/$P8, hpday), IF(et="FTE", ev*hpw*w, ch))), IF(hrs="", "", hrs*hm))</f>
        <v/>
      </c>
      <c r="X8" s="11">
        <f>IF($P8="","", $P8*INDIRECT("R[0]C[-3]",FALSE))</f>
        <v/>
      </c>
      <c r="Y8" s="11">
        <f>IF(INDIRECT("R[0]C[-1]",FALSE)="","", INDIRECT("R[0]C[-2]",FALSE)*INDIRECT("R[0]C[-1]",FALSE)*(1+INDIRECT("R[0]C[-3]",FALSE)))</f>
        <v/>
      </c>
      <c r="Z8" s="13" t="n"/>
    </row>
    <row r="9">
      <c r="A9" s="11" t="n">
        <v>8</v>
      </c>
      <c r="B9" s="10" t="inlineStr">
        <is>
          <t>Local install support</t>
        </is>
      </c>
      <c r="C9" s="11">
        <f t="array" ref="C9">IFERROR(INDEX(Milestones!$A:$A, MATCH($B9, Milestones!$B:$B, 0)), "")</f>
        <v/>
      </c>
      <c r="D9" s="11">
        <f t="array" ref="D9">IFERROR(INDEX(Milestones!$C:$C, MATCH($B9, Milestones!$B:$B, 0)), "")</f>
        <v/>
      </c>
      <c r="E9" s="11" t="inlineStr">
        <is>
          <t>Validate local environment setup for Knapsack and IPE components</t>
        </is>
      </c>
      <c r="F9" s="11">
        <f t="array" ref="F9">IFERROR(INDEX(Milestones!$E:$E, MATCH($B9, Milestones!$B:$B, 0)), "")</f>
        <v/>
      </c>
      <c r="G9" s="11" t="inlineStr">
        <is>
          <t>Knapsack</t>
        </is>
      </c>
      <c r="H9" s="11">
        <f t="array" ref="H9">IFERROR(INDEX(Milestones!$E:$E, MATCH($B9, Milestones!$B:$B, 0)), "")</f>
        <v/>
      </c>
      <c r="I9" s="11" t="inlineStr">
        <is>
          <t>FTE</t>
        </is>
      </c>
      <c r="J9" s="20" t="n">
        <v>0.03</v>
      </c>
      <c r="K9" s="11" t="inlineStr">
        <is>
          <t>Medium</t>
        </is>
      </c>
      <c r="L9" s="11">
        <f t="array" ref="L9">IF($K9="","", IFERROR(IFS($K9="Low", INDEX('Lookups - Complexity'!$C:$C, MATCH($B9, 'Lookups - Complexity'!$B:$B,0)), $K9="Medium", INDEX('Lookups - Complexity'!$D:$D, MATCH($B9, 'Lookups - Complexity'!$B:$B,0)), $K9="High", INDEX('Lookups - Complexity'!$E:$E, MATCH($B9, 'Lookups - Complexity'!$B:$B,0))), ""))</f>
        <v/>
      </c>
      <c r="M9" s="11">
        <f>IF($I9="FTE", Assumptions!$B$3, "")</f>
        <v/>
      </c>
      <c r="N9" s="11">
        <f t="array" ref="N9">IFERROR(INDEX(Milestones!$F:$F, MATCH($B9, Milestones!$B:$B, 0)), "")</f>
        <v/>
      </c>
      <c r="O9" s="11">
        <f t="array" ref="O9">IFERROR(INDEX(Milestones!$G:$G, MATCH($B9, Milestones!$B:$B, 0)), "")</f>
        <v/>
      </c>
      <c r="P9" s="11">
        <f t="array" ref="P9">IFERROR(INDEX('Lookups - Rates'!$D:$D, MATCH($G9&amp;"|"&amp;$H9, 'Lookups - Rates'!$Z:$Z, 0)), "")</f>
        <v/>
      </c>
      <c r="Q9" s="11">
        <f t="array" ref="Q9">IFERROR(INDEX('Lookups - Rates'!$E:$E, MATCH($G9&amp;"|"&amp;$H9, 'Lookups - Rates'!$Z:$Z, 0)), "")</f>
        <v/>
      </c>
      <c r="R9" s="11">
        <f>LET(ev,$J9, ch,$L9, hr,$P9, dr,$Q9, hpday,Assumptions!$B$2, hpw,Assumptions!$B$3, w,$M9, hrs, IF($I9="Hours", ev, IF($I9="Days", ev*IF(dr&gt;0, dr/hr, hpday), IF($I9="FTE", ev*hpw*w, ch))), IF(hrs="", "", hrs*hr))</f>
        <v/>
      </c>
      <c r="S9" s="13" t="n"/>
      <c r="T9" s="11">
        <f t="array" ref="T9">XLOOKUP(Scenario_Selected, INDEX(Scenario_Table,0,1), INDEX(Scenario_Table,0,2))</f>
        <v/>
      </c>
      <c r="U9" s="11">
        <f t="array" ref="U9">XLOOKUP(Scenario_Selected, INDEX(Scenario_Table,0,1), INDEX(Scenario_Table,0,3))</f>
        <v/>
      </c>
      <c r="V9" s="11">
        <f t="array" ref="V9">XLOOKUP(Scenario_Selected, INDEX(Scenario_Table,0,1), INDEX(Scenario_Table,0,4))</f>
        <v/>
      </c>
      <c r="W9" s="11">
        <f t="array" ref="W9">LET(ev,$J9, ch,$L9, et,$I9, dr,$Q9, hpday,Assumptions!$B$2, hpw,Assumptions!$B$3, w,$M9,hm,INDIRECT("R[0]C[0]",FALSE),hrs, IF(et="Hours", ev, IF(et="Days", ev*IF(dr&gt;0, dr/$P9, hpday), IF(et="FTE", ev*hpw*w, ch))), IF(hrs="", "", hrs*hm))</f>
        <v/>
      </c>
      <c r="X9" s="11">
        <f>IF($P9="","", $P9*INDIRECT("R[0]C[-3]",FALSE))</f>
        <v/>
      </c>
      <c r="Y9" s="11">
        <f>IF(INDIRECT("R[0]C[-1]",FALSE)="","", INDIRECT("R[0]C[-2]",FALSE)*INDIRECT("R[0]C[-1]",FALSE)*(1+INDIRECT("R[0]C[-3]",FALSE)))</f>
        <v/>
      </c>
      <c r="Z9" s="13" t="n"/>
    </row>
    <row r="10">
      <c r="A10" s="11" t="n">
        <v>9</v>
      </c>
      <c r="B10" s="10" t="inlineStr">
        <is>
          <t>Component rendering</t>
        </is>
      </c>
      <c r="C10" s="11">
        <f t="array" ref="C10">IFERROR(INDEX(Milestones!$A:$A, MATCH($B10, Milestones!$B:$B, 0)), "")</f>
        <v/>
      </c>
      <c r="D10" s="11">
        <f t="array" ref="D10">IFERROR(INDEX(Milestones!$C:$C, MATCH($B10, Milestones!$B:$B, 0)), "")</f>
        <v/>
      </c>
      <c r="E10" s="11" t="inlineStr">
        <is>
          <t>Validate successful rendering of Spectrum components across environments</t>
        </is>
      </c>
      <c r="F10" s="11">
        <f t="array" ref="F10">IFERROR(INDEX(Milestones!$E:$E, MATCH($B10, Milestones!$B:$B, 0)), "")</f>
        <v/>
      </c>
      <c r="G10" s="11" t="inlineStr">
        <is>
          <t>Knapsack</t>
        </is>
      </c>
      <c r="H10" s="11">
        <f t="array" ref="H10">IFERROR(INDEX(Milestones!$E:$E, MATCH($B10, Milestones!$B:$B, 0)), "")</f>
        <v/>
      </c>
      <c r="I10" s="11" t="inlineStr">
        <is>
          <t>FTE</t>
        </is>
      </c>
      <c r="J10" s="20" t="n">
        <v>0.05</v>
      </c>
      <c r="K10" s="11" t="inlineStr">
        <is>
          <t>High</t>
        </is>
      </c>
      <c r="L10" s="11">
        <f t="array" ref="L10">IF($K10="","", IFERROR(IFS($K10="Low", INDEX('Lookups - Complexity'!$C:$C, MATCH($B10, 'Lookups - Complexity'!$B:$B,0)), $K10="Medium", INDEX('Lookups - Complexity'!$D:$D, MATCH($B10, 'Lookups - Complexity'!$B:$B,0)), $K10="High", INDEX('Lookups - Complexity'!$E:$E, MATCH($B10, 'Lookups - Complexity'!$B:$B,0))), ""))</f>
        <v/>
      </c>
      <c r="M10" s="11">
        <f>IF($I10="FTE", Assumptions!$B$3, "")</f>
        <v/>
      </c>
      <c r="N10" s="11">
        <f t="array" ref="N10">IFERROR(INDEX(Milestones!$F:$F, MATCH($B10, Milestones!$B:$B, 0)), "")</f>
        <v/>
      </c>
      <c r="O10" s="11">
        <f t="array" ref="O10">IFERROR(INDEX(Milestones!$G:$G, MATCH($B10, Milestones!$B:$B, 0)), "")</f>
        <v/>
      </c>
      <c r="P10" s="11">
        <f t="array" ref="P10">IFERROR(INDEX('Lookups - Rates'!$D:$D, MATCH($G10&amp;"|"&amp;$H10, 'Lookups - Rates'!$Z:$Z, 0)), "")</f>
        <v/>
      </c>
      <c r="Q10" s="11">
        <f t="array" ref="Q10">IFERROR(INDEX('Lookups - Rates'!$E:$E, MATCH($G10&amp;"|"&amp;$H10, 'Lookups - Rates'!$Z:$Z, 0)), "")</f>
        <v/>
      </c>
      <c r="R10" s="11">
        <f>LET(ev,$J10, ch,$L10, hr,$P10, dr,$Q10, hpday,Assumptions!$B$2, hpw,Assumptions!$B$3, w,$M10, hrs, IF($I10="Hours", ev, IF($I10="Days", ev*IF(dr&gt;0, dr/hr, hpday), IF($I10="FTE", ev*hpw*w, ch))), IF(hrs="", "", hrs*hr))</f>
        <v/>
      </c>
      <c r="S10" s="13" t="n"/>
      <c r="T10" s="11">
        <f t="array" ref="T10">XLOOKUP(Scenario_Selected, INDEX(Scenario_Table,0,1), INDEX(Scenario_Table,0,2))</f>
        <v/>
      </c>
      <c r="U10" s="11">
        <f t="array" ref="U10">XLOOKUP(Scenario_Selected, INDEX(Scenario_Table,0,1), INDEX(Scenario_Table,0,3))</f>
        <v/>
      </c>
      <c r="V10" s="11">
        <f t="array" ref="V10">XLOOKUP(Scenario_Selected, INDEX(Scenario_Table,0,1), INDEX(Scenario_Table,0,4))</f>
        <v/>
      </c>
      <c r="W10" s="11">
        <f t="array" ref="W10">LET(ev,$J10, ch,$L10, et,$I10, dr,$Q10, hpday,Assumptions!$B$2, hpw,Assumptions!$B$3, w,$M10,hm,INDIRECT("R[0]C[0]",FALSE),hrs, IF(et="Hours", ev, IF(et="Days", ev*IF(dr&gt;0, dr/$P10, hpday), IF(et="FTE", ev*hpw*w, ch))), IF(hrs="", "", hrs*hm))</f>
        <v/>
      </c>
      <c r="X10" s="11">
        <f>IF($P10="","", $P10*INDIRECT("R[0]C[-3]",FALSE))</f>
        <v/>
      </c>
      <c r="Y10" s="11">
        <f>IF(INDIRECT("R[0]C[-1]",FALSE)="","", INDIRECT("R[0]C[-2]",FALSE)*INDIRECT("R[0]C[-1]",FALSE)*(1+INDIRECT("R[0]C[-3]",FALSE)))</f>
        <v/>
      </c>
      <c r="Z10" s="13" t="n"/>
    </row>
    <row r="11">
      <c r="A11" s="11" t="n">
        <v>10</v>
      </c>
      <c r="B11" s="10" t="inlineStr">
        <is>
          <t>SME support for rendering</t>
        </is>
      </c>
      <c r="C11" s="11">
        <f t="array" ref="C11">IFERROR(INDEX(Milestones!$A:$A, MATCH($B11, Milestones!$B:$B, 0)), "")</f>
        <v/>
      </c>
      <c r="D11" s="11">
        <f t="array" ref="D11">IFERROR(INDEX(Milestones!$C:$C, MATCH($B11, Milestones!$B:$B, 0)), "")</f>
        <v/>
      </c>
      <c r="E11" s="11" t="inlineStr">
        <is>
          <t>SME oversight of rendering logic and architectural consistency</t>
        </is>
      </c>
      <c r="F11" s="11">
        <f t="array" ref="F11">IFERROR(INDEX(Milestones!$E:$E, MATCH($B11, Milestones!$B:$B, 0)), "")</f>
        <v/>
      </c>
      <c r="G11" s="11" t="inlineStr">
        <is>
          <t>Knapsack</t>
        </is>
      </c>
      <c r="H11" s="11">
        <f t="array" ref="H11">IFERROR(INDEX(Milestones!$E:$E, MATCH($B11, Milestones!$B:$B, 0)), "")</f>
        <v/>
      </c>
      <c r="I11" s="11" t="inlineStr">
        <is>
          <t>FTE</t>
        </is>
      </c>
      <c r="J11" s="20" t="n">
        <v>0.025</v>
      </c>
      <c r="K11" s="11" t="inlineStr">
        <is>
          <t>Medium</t>
        </is>
      </c>
      <c r="L11" s="11">
        <f t="array" ref="L11">IF($K11="","", IFERROR(IFS($K11="Low", INDEX('Lookups - Complexity'!$C:$C, MATCH($B11, 'Lookups - Complexity'!$B:$B,0)), $K11="Medium", INDEX('Lookups - Complexity'!$D:$D, MATCH($B11, 'Lookups - Complexity'!$B:$B,0)), $K11="High", INDEX('Lookups - Complexity'!$E:$E, MATCH($B11, 'Lookups - Complexity'!$B:$B,0))), ""))</f>
        <v/>
      </c>
      <c r="M11" s="11">
        <f>IF($I11="FTE", Assumptions!$B$3, "")</f>
        <v/>
      </c>
      <c r="N11" s="11">
        <f t="array" ref="N11">IFERROR(INDEX(Milestones!$F:$F, MATCH($B11, Milestones!$B:$B, 0)), "")</f>
        <v/>
      </c>
      <c r="O11" s="11">
        <f t="array" ref="O11">IFERROR(INDEX(Milestones!$G:$G, MATCH($B11, Milestones!$B:$B, 0)), "")</f>
        <v/>
      </c>
      <c r="P11" s="11">
        <f t="array" ref="P11">IFERROR(INDEX('Lookups - Rates'!$D:$D, MATCH($G11&amp;"|"&amp;$H11, 'Lookups - Rates'!$Z:$Z, 0)), "")</f>
        <v/>
      </c>
      <c r="Q11" s="11">
        <f t="array" ref="Q11">IFERROR(INDEX('Lookups - Rates'!$E:$E, MATCH($G11&amp;"|"&amp;$H11, 'Lookups - Rates'!$Z:$Z, 0)), "")</f>
        <v/>
      </c>
      <c r="R11" s="11">
        <f>LET(ev,$J11, ch,$L11, hr,$P11, dr,$Q11, hpday,Assumptions!$B$2, hpw,Assumptions!$B$3, w,$M11, hrs, IF($I11="Hours", ev, IF($I11="Days", ev*IF(dr&gt;0, dr/hr, hpday), IF($I11="FTE", ev*hpw*w, ch))), IF(hrs="", "", hrs*hr))</f>
        <v/>
      </c>
      <c r="S11" s="13" t="n"/>
      <c r="T11" s="11">
        <f t="array" ref="T11">XLOOKUP(Scenario_Selected, INDEX(Scenario_Table,0,1), INDEX(Scenario_Table,0,2))</f>
        <v/>
      </c>
      <c r="U11" s="11">
        <f t="array" ref="U11">XLOOKUP(Scenario_Selected, INDEX(Scenario_Table,0,1), INDEX(Scenario_Table,0,3))</f>
        <v/>
      </c>
      <c r="V11" s="11">
        <f t="array" ref="V11">XLOOKUP(Scenario_Selected, INDEX(Scenario_Table,0,1), INDEX(Scenario_Table,0,4))</f>
        <v/>
      </c>
      <c r="W11" s="11">
        <f t="array" ref="W11">LET(ev,$J11, ch,$L11, et,$I11, dr,$Q11, hpday,Assumptions!$B$2, hpw,Assumptions!$B$3, w,$M11,hm,INDIRECT("R[0]C[0]",FALSE),hrs, IF(et="Hours", ev, IF(et="Days", ev*IF(dr&gt;0, dr/$P11, hpday), IF(et="FTE", ev*hpw*w, ch))), IF(hrs="", "", hrs*hm))</f>
        <v/>
      </c>
      <c r="X11" s="11">
        <f>IF($P11="","", $P11*INDIRECT("R[0]C[-3]",FALSE))</f>
        <v/>
      </c>
      <c r="Y11" s="11">
        <f>IF(INDIRECT("R[0]C[-1]",FALSE)="","", INDIRECT("R[0]C[-2]",FALSE)*INDIRECT("R[0]C[-1]",FALSE)*(1+INDIRECT("R[0]C[-3]",FALSE)))</f>
        <v/>
      </c>
      <c r="Z11" s="13" t="n"/>
    </row>
    <row r="12">
      <c r="A12" s="11" t="n">
        <v>11</v>
      </c>
      <c r="B12" s="10" t="inlineStr">
        <is>
          <t>Deployment support</t>
        </is>
      </c>
      <c r="C12" s="11">
        <f t="array" ref="C12">IFERROR(INDEX(Milestones!$A:$A, MATCH($B12, Milestones!$B:$B, 0)), "")</f>
        <v/>
      </c>
      <c r="D12" s="11">
        <f t="array" ref="D12">IFERROR(INDEX(Milestones!$C:$C, MATCH($B12, Milestones!$B:$B, 0)), "")</f>
        <v/>
      </c>
      <c r="E12" s="11" t="inlineStr">
        <is>
          <t>Plan and validate deployment pipelines with measurable success criteria</t>
        </is>
      </c>
      <c r="F12" s="11">
        <f t="array" ref="F12">IFERROR(INDEX(Milestones!$E:$E, MATCH($B12, Milestones!$B:$B, 0)), "")</f>
        <v/>
      </c>
      <c r="G12" s="11" t="inlineStr">
        <is>
          <t>Knapsack</t>
        </is>
      </c>
      <c r="H12" s="11">
        <f t="array" ref="H12">IFERROR(INDEX(Milestones!$E:$E, MATCH($B12, Milestones!$B:$B, 0)), "")</f>
        <v/>
      </c>
      <c r="I12" s="11" t="inlineStr">
        <is>
          <t>FTE</t>
        </is>
      </c>
      <c r="J12" s="20" t="n">
        <v>0.025</v>
      </c>
      <c r="K12" s="11" t="inlineStr">
        <is>
          <t>Medium</t>
        </is>
      </c>
      <c r="L12" s="11">
        <f t="array" ref="L12">IF($K12="","", IFERROR(IFS($K12="Low", INDEX('Lookups - Complexity'!$C:$C, MATCH($B12, 'Lookups - Complexity'!$B:$B,0)), $K12="Medium", INDEX('Lookups - Complexity'!$D:$D, MATCH($B12, 'Lookups - Complexity'!$B:$B,0)), $K12="High", INDEX('Lookups - Complexity'!$E:$E, MATCH($B12, 'Lookups - Complexity'!$B:$B,0))), ""))</f>
        <v/>
      </c>
      <c r="M12" s="11">
        <f>IF($I12="FTE", Assumptions!$B$3, "")</f>
        <v/>
      </c>
      <c r="N12" s="11">
        <f t="array" ref="N12">IFERROR(INDEX(Milestones!$F:$F, MATCH($B12, Milestones!$B:$B, 0)), "")</f>
        <v/>
      </c>
      <c r="O12" s="11">
        <f t="array" ref="O12">IFERROR(INDEX(Milestones!$G:$G, MATCH($B12, Milestones!$B:$B, 0)), "")</f>
        <v/>
      </c>
      <c r="P12" s="11">
        <f t="array" ref="P12">IFERROR(INDEX('Lookups - Rates'!$D:$D, MATCH($G12&amp;"|"&amp;$H12, 'Lookups - Rates'!$Z:$Z, 0)), "")</f>
        <v/>
      </c>
      <c r="Q12" s="11">
        <f t="array" ref="Q12">IFERROR(INDEX('Lookups - Rates'!$E:$E, MATCH($G12&amp;"|"&amp;$H12, 'Lookups - Rates'!$Z:$Z, 0)), "")</f>
        <v/>
      </c>
      <c r="R12" s="11">
        <f>LET(ev,$J12, ch,$L12, hr,$P12, dr,$Q12, hpday,Assumptions!$B$2, hpw,Assumptions!$B$3, w,$M12, hrs, IF($I12="Hours", ev, IF($I12="Days", ev*IF(dr&gt;0, dr/hr, hpday), IF($I12="FTE", ev*hpw*w, ch))), IF(hrs="", "", hrs*hr))</f>
        <v/>
      </c>
      <c r="S12" s="13" t="n"/>
      <c r="T12" s="11">
        <f t="array" ref="T12">XLOOKUP(Scenario_Selected, INDEX(Scenario_Table,0,1), INDEX(Scenario_Table,0,2))</f>
        <v/>
      </c>
      <c r="U12" s="11">
        <f t="array" ref="U12">XLOOKUP(Scenario_Selected, INDEX(Scenario_Table,0,1), INDEX(Scenario_Table,0,3))</f>
        <v/>
      </c>
      <c r="V12" s="11">
        <f t="array" ref="V12">XLOOKUP(Scenario_Selected, INDEX(Scenario_Table,0,1), INDEX(Scenario_Table,0,4))</f>
        <v/>
      </c>
      <c r="W12" s="11">
        <f t="array" ref="W12">LET(ev,$J12, ch,$L12, et,$I12, dr,$Q12, hpday,Assumptions!$B$2, hpw,Assumptions!$B$3, w,$M12,hm,INDIRECT("R[0]C[0]",FALSE),hrs, IF(et="Hours", ev, IF(et="Days", ev*IF(dr&gt;0, dr/$P12, hpday), IF(et="FTE", ev*hpw*w, ch))), IF(hrs="", "", hrs*hm))</f>
        <v/>
      </c>
      <c r="X12" s="11">
        <f>IF($P12="","", $P12*INDIRECT("R[0]C[-3]",FALSE))</f>
        <v/>
      </c>
      <c r="Y12" s="11">
        <f>IF(INDIRECT("R[0]C[-1]",FALSE)="","", INDIRECT("R[0]C[-2]",FALSE)*INDIRECT("R[0]C[-1]",FALSE)*(1+INDIRECT("R[0]C[-3]",FALSE)))</f>
        <v/>
      </c>
      <c r="Z12" s="13" t="n"/>
    </row>
    <row r="13">
      <c r="A13" s="11" t="n">
        <v>12</v>
      </c>
      <c r="B13" s="10" t="inlineStr">
        <is>
          <t>FDE led Implementation + Architecture + Governance</t>
        </is>
      </c>
      <c r="C13" s="11">
        <f t="array" ref="C13">IFERROR(INDEX(Milestones!$A:$A, MATCH($B13, Milestones!$B:$B, 0)), "")</f>
        <v/>
      </c>
      <c r="D13" s="11">
        <f t="array" ref="D13">IFERROR(INDEX(Milestones!$C:$C, MATCH($B13, Milestones!$B:$B, 0)), "")</f>
        <v/>
      </c>
      <c r="E13" s="11" t="inlineStr">
        <is>
          <t>Define architecture, component contribution model, accessibility, governance framework</t>
        </is>
      </c>
      <c r="F13" s="11">
        <f t="array" ref="F13">IFERROR(INDEX(Milestones!$E:$E, MATCH($B13, Milestones!$B:$B, 0)), "")</f>
        <v/>
      </c>
      <c r="G13" s="11" t="inlineStr">
        <is>
          <t>Knapsack</t>
        </is>
      </c>
      <c r="H13" s="11">
        <f t="array" ref="H13">IFERROR(INDEX(Milestones!$E:$E, MATCH($B13, Milestones!$B:$B, 0)), "")</f>
        <v/>
      </c>
      <c r="I13" s="11" t="inlineStr">
        <is>
          <t>FTE</t>
        </is>
      </c>
      <c r="J13" s="20" t="n">
        <v>0.03</v>
      </c>
      <c r="K13" s="11" t="inlineStr">
        <is>
          <t>Medium</t>
        </is>
      </c>
      <c r="L13" s="11">
        <f t="array" ref="L13">IF($K13="","", IFERROR(IFS($K13="Low", INDEX('Lookups - Complexity'!$C:$C, MATCH($B13, 'Lookups - Complexity'!$B:$B,0)), $K13="Medium", INDEX('Lookups - Complexity'!$D:$D, MATCH($B13, 'Lookups - Complexity'!$B:$B,0)), $K13="High", INDEX('Lookups - Complexity'!$E:$E, MATCH($B13, 'Lookups - Complexity'!$B:$B,0))), ""))</f>
        <v/>
      </c>
      <c r="M13" s="11">
        <f>IF($I13="FTE", Assumptions!$B$3, "")</f>
        <v/>
      </c>
      <c r="N13" s="11">
        <f t="array" ref="N13">IFERROR(INDEX(Milestones!$F:$F, MATCH($B13, Milestones!$B:$B, 0)), "")</f>
        <v/>
      </c>
      <c r="O13" s="11">
        <f t="array" ref="O13">IFERROR(INDEX(Milestones!$G:$G, MATCH($B13, Milestones!$B:$B, 0)), "")</f>
        <v/>
      </c>
      <c r="P13" s="11">
        <f t="array" ref="P13">IFERROR(INDEX('Lookups - Rates'!$D:$D, MATCH($G13&amp;"|"&amp;$H13, 'Lookups - Rates'!$Z:$Z, 0)), "")</f>
        <v/>
      </c>
      <c r="Q13" s="11">
        <f t="array" ref="Q13">IFERROR(INDEX('Lookups - Rates'!$E:$E, MATCH($G13&amp;"|"&amp;$H13, 'Lookups - Rates'!$Z:$Z, 0)), "")</f>
        <v/>
      </c>
      <c r="R13" s="11">
        <f>LET(ev,$J13, ch,$L13, hr,$P13, dr,$Q13, hpday,Assumptions!$B$2, hpw,Assumptions!$B$3, w,$M13, hrs, IF($I13="Hours", ev, IF($I13="Days", ev*IF(dr&gt;0, dr/hr, hpday), IF($I13="FTE", ev*hpw*w, ch))), IF(hrs="", "", hrs*hr))</f>
        <v/>
      </c>
      <c r="S13" s="13" t="inlineStr">
        <is>
          <t xml:space="preserve">This is your Forward Deployed Engineer who will be accountable for phased Milestone Activities. </t>
        </is>
      </c>
      <c r="T13" s="11">
        <f t="array" ref="T13">XLOOKUP(Scenario_Selected, INDEX(Scenario_Table,0,1), INDEX(Scenario_Table,0,2))</f>
        <v/>
      </c>
      <c r="U13" s="11">
        <f t="array" ref="U13">XLOOKUP(Scenario_Selected, INDEX(Scenario_Table,0,1), INDEX(Scenario_Table,0,3))</f>
        <v/>
      </c>
      <c r="V13" s="11">
        <f t="array" ref="V13">XLOOKUP(Scenario_Selected, INDEX(Scenario_Table,0,1), INDEX(Scenario_Table,0,4))</f>
        <v/>
      </c>
      <c r="W13" s="11">
        <f t="array" ref="W13">LET(ev,$J13, ch,$L13, et,$I13, dr,$Q13, hpday,Assumptions!$B$2, hpw,Assumptions!$B$3, w,$M13,hm,INDIRECT("R[0]C[0]",FALSE),hrs, IF(et="Hours", ev, IF(et="Days", ev*IF(dr&gt;0, dr/$P13, hpday), IF(et="FTE", ev*hpw*w, ch))), IF(hrs="", "", hrs*hm))</f>
        <v/>
      </c>
      <c r="X13" s="11">
        <f>IF($P13="","", $P13*INDIRECT("R[0]C[-3]",FALSE))</f>
        <v/>
      </c>
      <c r="Y13" s="11">
        <f>IF(INDIRECT("R[0]C[-1]",FALSE)="","", INDIRECT("R[0]C[-2]",FALSE)*INDIRECT("R[0]C[-1]",FALSE)*(1+INDIRECT("R[0]C[-3]",FALSE)))</f>
        <v/>
      </c>
      <c r="Z13" s="13" t="n"/>
    </row>
    <row r="14">
      <c r="A14" s="11" t="n">
        <v>13</v>
      </c>
      <c r="B14" s="10" t="inlineStr">
        <is>
          <t>Stakeholder Interviews/Workshops</t>
        </is>
      </c>
      <c r="C14" s="11">
        <f t="array" ref="C14">IFERROR(INDEX(Milestones!$A:$A, MATCH($B14, Milestones!$B:$B, 0)), "")</f>
        <v/>
      </c>
      <c r="D14" s="11">
        <f t="array" ref="D14">IFERROR(INDEX(Milestones!$C:$C, MATCH($B14, Milestones!$B:$B, 0)), "")</f>
        <v/>
      </c>
      <c r="E14" s="11" t="inlineStr">
        <is>
          <t>Collect stakeholder inputs and align roadmap</t>
        </is>
      </c>
      <c r="F14" s="11">
        <f t="array" ref="F14">IFERROR(INDEX(Milestones!$E:$E, MATCH($B14, Milestones!$B:$B, 0)), "")</f>
        <v/>
      </c>
      <c r="G14" s="11" t="inlineStr">
        <is>
          <t>Knapsack</t>
        </is>
      </c>
      <c r="H14" s="11">
        <f t="array" ref="H14">IFERROR(INDEX(Milestones!$E:$E, MATCH($B14, Milestones!$B:$B, 0)), "")</f>
        <v/>
      </c>
      <c r="I14" s="11" t="inlineStr">
        <is>
          <t>FTE</t>
        </is>
      </c>
      <c r="J14" s="20" t="n">
        <v>0.025</v>
      </c>
      <c r="K14" s="11" t="inlineStr">
        <is>
          <t>Medium</t>
        </is>
      </c>
      <c r="L14" s="11">
        <f t="array" ref="L14">IF($K14="","", IFERROR(IFS($K14="Low", INDEX('Lookups - Complexity'!$C:$C, MATCH($B14, 'Lookups - Complexity'!$B:$B,0)), $K14="Medium", INDEX('Lookups - Complexity'!$D:$D, MATCH($B14, 'Lookups - Complexity'!$B:$B,0)), $K14="High", INDEX('Lookups - Complexity'!$E:$E, MATCH($B14, 'Lookups - Complexity'!$B:$B,0))), ""))</f>
        <v/>
      </c>
      <c r="M14" s="11">
        <f>IF($I14="FTE", Assumptions!$B$3, "")</f>
        <v/>
      </c>
      <c r="N14" s="11">
        <f t="array" ref="N14">IFERROR(INDEX(Milestones!$F:$F, MATCH($B14, Milestones!$B:$B, 0)), "")</f>
        <v/>
      </c>
      <c r="O14" s="11">
        <f t="array" ref="O14">IFERROR(INDEX(Milestones!$G:$G, MATCH($B14, Milestones!$B:$B, 0)), "")</f>
        <v/>
      </c>
      <c r="P14" s="11">
        <f t="array" ref="P14">IFERROR(INDEX('Lookups - Rates'!$D:$D, MATCH($G14&amp;"|"&amp;$H14, 'Lookups - Rates'!$Z:$Z, 0)), "")</f>
        <v/>
      </c>
      <c r="Q14" s="11">
        <f t="array" ref="Q14">IFERROR(INDEX('Lookups - Rates'!$E:$E, MATCH($G14&amp;"|"&amp;$H14, 'Lookups - Rates'!$Z:$Z, 0)), "")</f>
        <v/>
      </c>
      <c r="R14" s="11">
        <f>LET(ev,$J14, ch,$L14, hr,$P14, dr,$Q14, hpday,Assumptions!$B$2, hpw,Assumptions!$B$3, w,$M14, hrs, IF($I14="Hours", ev, IF($I14="Days", ev*IF(dr&gt;0, dr/hr, hpday), IF($I14="FTE", ev*hpw*w, ch))), IF(hrs="", "", hrs*hr))</f>
        <v/>
      </c>
      <c r="S14" s="13" t="n"/>
      <c r="T14" s="11">
        <f t="array" ref="T14">XLOOKUP(Scenario_Selected, INDEX(Scenario_Table,0,1), INDEX(Scenario_Table,0,2))</f>
        <v/>
      </c>
      <c r="U14" s="11">
        <f t="array" ref="U14">XLOOKUP(Scenario_Selected, INDEX(Scenario_Table,0,1), INDEX(Scenario_Table,0,3))</f>
        <v/>
      </c>
      <c r="V14" s="11">
        <f t="array" ref="V14">XLOOKUP(Scenario_Selected, INDEX(Scenario_Table,0,1), INDEX(Scenario_Table,0,4))</f>
        <v/>
      </c>
      <c r="W14" s="11">
        <f t="array" ref="W14">LET(ev,$J14, ch,$L14, et,$I14, dr,$Q14, hpday,Assumptions!$B$2, hpw,Assumptions!$B$3, w,$M14,hm,INDIRECT("R[0]C[0]",FALSE),hrs, IF(et="Hours", ev, IF(et="Days", ev*IF(dr&gt;0, dr/$P14, hpday), IF(et="FTE", ev*hpw*w, ch))), IF(hrs="", "", hrs*hm))</f>
        <v/>
      </c>
      <c r="X14" s="11">
        <f>IF($P14="","", $P14*INDIRECT("R[0]C[-3]",FALSE))</f>
        <v/>
      </c>
      <c r="Y14" s="11">
        <f>IF(INDIRECT("R[0]C[-1]",FALSE)="","", INDIRECT("R[0]C[-2]",FALSE)*INDIRECT("R[0]C[-1]",FALSE)*(1+INDIRECT("R[0]C[-3]",FALSE)))</f>
        <v/>
      </c>
      <c r="Z14" s="13" t="n"/>
    </row>
    <row r="15">
      <c r="A15" s="11" t="n">
        <v>14</v>
      </c>
      <c r="B15" s="10" t="inlineStr">
        <is>
          <t>Pilot Enablement &amp; Feedback Loop</t>
        </is>
      </c>
      <c r="C15" s="11">
        <f t="array" ref="C15">IFERROR(INDEX(Milestones!$A:$A, MATCH($B15, Milestones!$B:$B, 0)), "")</f>
        <v/>
      </c>
      <c r="D15" s="11">
        <f t="array" ref="D15">IFERROR(INDEX(Milestones!$C:$C, MATCH($B15, Milestones!$B:$B, 0)), "")</f>
        <v/>
      </c>
      <c r="E15" s="11" t="inlineStr">
        <is>
          <t>Gather early adopter feedback and adjust onboarding approach.</t>
        </is>
      </c>
      <c r="F15" s="11">
        <f t="array" ref="F15">IFERROR(INDEX(Milestones!$E:$E, MATCH($B15, Milestones!$B:$B, 0)), "")</f>
        <v/>
      </c>
      <c r="G15" s="11" t="inlineStr">
        <is>
          <t>Adobe</t>
        </is>
      </c>
      <c r="H15" s="11" t="inlineStr">
        <is>
          <t>Adobe</t>
        </is>
      </c>
      <c r="I15" s="11" t="inlineStr">
        <is>
          <t>FTE</t>
        </is>
      </c>
      <c r="J15" s="20" t="n">
        <v>0.05</v>
      </c>
      <c r="K15" s="11" t="inlineStr">
        <is>
          <t>High</t>
        </is>
      </c>
      <c r="L15" s="11">
        <f t="array" ref="L15">IF($K15="","", IFERROR(IFS($K15="Low", INDEX('Lookups - Complexity'!$C:$C, MATCH($B15, 'Lookups - Complexity'!$B:$B,0)), $K15="Medium", INDEX('Lookups - Complexity'!$D:$D, MATCH($B15, 'Lookups - Complexity'!$B:$B,0)), $K15="High", INDEX('Lookups - Complexity'!$E:$E, MATCH($B15, 'Lookups - Complexity'!$B:$B,0))), ""))</f>
        <v/>
      </c>
      <c r="M15" s="11">
        <f>IF($I15="FTE", Assumptions!$B$3, "")</f>
        <v/>
      </c>
      <c r="N15" s="11">
        <f t="array" ref="N15">IFERROR(INDEX(Milestones!$F:$F, MATCH($B15, Milestones!$B:$B, 0)), "")</f>
        <v/>
      </c>
      <c r="O15" s="11">
        <f t="array" ref="O15">IFERROR(INDEX(Milestones!$G:$G, MATCH($B15, Milestones!$B:$B, 0)), "")</f>
        <v/>
      </c>
      <c r="P15" s="11">
        <f t="array" ref="P15">IFERROR(INDEX('Lookups - Rates'!$D:$D, MATCH($G15&amp;"|"&amp;$H15, 'Lookups - Rates'!$Z:$Z, 0)), "")</f>
        <v/>
      </c>
      <c r="Q15" s="11">
        <f t="array" ref="Q15">IFERROR(INDEX('Lookups - Rates'!$E:$E, MATCH($G15&amp;"|"&amp;$H15, 'Lookups - Rates'!$Z:$Z, 0)), "")</f>
        <v/>
      </c>
      <c r="R15" s="11">
        <f>LET(ev,$J15, ch,$L15, hr,$P15, dr,$Q15, hpday,Assumptions!$B$2, hpw,Assumptions!$B$3, w,$M15, hrs, IF($I15="Hours", ev, IF($I15="Days", ev*IF(dr&gt;0, dr/hr, hpday), IF($I15="FTE", ev*hpw*w, ch))), IF(hrs="", "", hrs*hr))</f>
        <v/>
      </c>
      <c r="S15" s="13" t="n"/>
      <c r="T15" s="11">
        <f t="array" ref="T15">XLOOKUP(Scenario_Selected, INDEX(Scenario_Table,0,1), INDEX(Scenario_Table,0,2))</f>
        <v/>
      </c>
      <c r="U15" s="11">
        <f t="array" ref="U15">XLOOKUP(Scenario_Selected, INDEX(Scenario_Table,0,1), INDEX(Scenario_Table,0,3))</f>
        <v/>
      </c>
      <c r="V15" s="11">
        <f t="array" ref="V15">XLOOKUP(Scenario_Selected, INDEX(Scenario_Table,0,1), INDEX(Scenario_Table,0,4))</f>
        <v/>
      </c>
      <c r="W15" s="11">
        <f t="array" ref="W15">LET(ev,$J15, ch,$L15, et,$I15, dr,$Q15, hpday,Assumptions!$B$2, hpw,Assumptions!$B$3, w,$M15,hm,INDIRECT("R[0]C[0]",FALSE),hrs, IF(et="Hours", ev, IF(et="Days", ev*IF(dr&gt;0, dr/$P15, hpday), IF(et="FTE", ev*hpw*w, ch))), IF(hrs="", "", hrs*hm))</f>
        <v/>
      </c>
      <c r="X15" s="11">
        <f>IF($P15="","", $P15*INDIRECT("R[0]C[-3]",FALSE))</f>
        <v/>
      </c>
      <c r="Y15" s="11">
        <f>IF(INDIRECT("R[0]C[-1]",FALSE)="","", INDIRECT("R[0]C[-2]",FALSE)*INDIRECT("R[0]C[-1]",FALSE)*(1+INDIRECT("R[0]C[-3]",FALSE)))</f>
        <v/>
      </c>
      <c r="Z15" s="13" t="n"/>
    </row>
    <row r="16">
      <c r="A16" s="11" t="n">
        <v>15</v>
      </c>
      <c r="B16" s="10" t="inlineStr">
        <is>
          <t>Role-Based Training Enablement</t>
        </is>
      </c>
      <c r="C16" s="11">
        <f t="array" ref="C16">IFERROR(INDEX(Milestones!$A:$A, MATCH($B16, Milestones!$B:$B, 0)), "")</f>
        <v/>
      </c>
      <c r="D16" s="11">
        <f t="array" ref="D16">IFERROR(INDEX(Milestones!$C:$C, MATCH($B16, Milestones!$B:$B, 0)), "")</f>
        <v/>
      </c>
      <c r="E16" s="11" t="inlineStr">
        <is>
          <t>Deliver tailored enablement by persona to improve comprehension and adoption.</t>
        </is>
      </c>
      <c r="F16" s="11">
        <f t="array" ref="F16">IFERROR(INDEX(Milestones!$E:$E, MATCH($B16, Milestones!$B:$B, 0)), "")</f>
        <v/>
      </c>
      <c r="G16" s="11" t="inlineStr">
        <is>
          <t>Adobe</t>
        </is>
      </c>
      <c r="H16" s="11" t="inlineStr">
        <is>
          <t>Adobe</t>
        </is>
      </c>
      <c r="I16" s="11" t="inlineStr">
        <is>
          <t>FTE</t>
        </is>
      </c>
      <c r="J16" s="20" t="n">
        <v>0.05</v>
      </c>
      <c r="K16" s="11" t="inlineStr">
        <is>
          <t>High</t>
        </is>
      </c>
      <c r="L16" s="11">
        <f t="array" ref="L16">IF($K16="","", IFERROR(IFS($K16="Low", INDEX('Lookups - Complexity'!$C:$C, MATCH($B16, 'Lookups - Complexity'!$B:$B,0)), $K16="Medium", INDEX('Lookups - Complexity'!$D:$D, MATCH($B16, 'Lookups - Complexity'!$B:$B,0)), $K16="High", INDEX('Lookups - Complexity'!$E:$E, MATCH($B16, 'Lookups - Complexity'!$B:$B,0))), ""))</f>
        <v/>
      </c>
      <c r="M16" s="11">
        <f>IF($I16="FTE", Assumptions!$B$3, "")</f>
        <v/>
      </c>
      <c r="N16" s="11">
        <f t="array" ref="N16">IFERROR(INDEX(Milestones!$F:$F, MATCH($B16, Milestones!$B:$B, 0)), "")</f>
        <v/>
      </c>
      <c r="O16" s="11">
        <f t="array" ref="O16">IFERROR(INDEX(Milestones!$G:$G, MATCH($B16, Milestones!$B:$B, 0)), "")</f>
        <v/>
      </c>
      <c r="P16" s="11">
        <f t="array" ref="P16">IFERROR(INDEX('Lookups - Rates'!$D:$D, MATCH($G16&amp;"|"&amp;$H16, 'Lookups - Rates'!$Z:$Z, 0)), "")</f>
        <v/>
      </c>
      <c r="Q16" s="11">
        <f t="array" ref="Q16">IFERROR(INDEX('Lookups - Rates'!$E:$E, MATCH($G16&amp;"|"&amp;$H16, 'Lookups - Rates'!$Z:$Z, 0)), "")</f>
        <v/>
      </c>
      <c r="R16" s="11">
        <f>LET(ev,$J16, ch,$L16, hr,$P16, dr,$Q16, hpday,Assumptions!$B$2, hpw,Assumptions!$B$3, w,$M16, hrs, IF($I16="Hours", ev, IF($I16="Days", ev*IF(dr&gt;0, dr/hr, hpday), IF($I16="FTE", ev*hpw*w, ch))), IF(hrs="", "", hrs*hr))</f>
        <v/>
      </c>
      <c r="S16" s="13" t="n"/>
      <c r="T16" s="11">
        <f t="array" ref="T16">XLOOKUP(Scenario_Selected, INDEX(Scenario_Table,0,1), INDEX(Scenario_Table,0,2))</f>
        <v/>
      </c>
      <c r="U16" s="11">
        <f t="array" ref="U16">XLOOKUP(Scenario_Selected, INDEX(Scenario_Table,0,1), INDEX(Scenario_Table,0,3))</f>
        <v/>
      </c>
      <c r="V16" s="11">
        <f t="array" ref="V16">XLOOKUP(Scenario_Selected, INDEX(Scenario_Table,0,1), INDEX(Scenario_Table,0,4))</f>
        <v/>
      </c>
      <c r="W16" s="11">
        <f t="array" ref="W16">LET(ev,$J16, ch,$L16, et,$I16, dr,$Q16, hpday,Assumptions!$B$2, hpw,Assumptions!$B$3, w,$M16,hm,INDIRECT("R[0]C[0]",FALSE),hrs, IF(et="Hours", ev, IF(et="Days", ev*IF(dr&gt;0, dr/$P16, hpday), IF(et="FTE", ev*hpw*w, ch))), IF(hrs="", "", hrs*hm))</f>
        <v/>
      </c>
      <c r="X16" s="11">
        <f>IF($P16="","", $P16*INDIRECT("R[0]C[-3]",FALSE))</f>
        <v/>
      </c>
      <c r="Y16" s="11">
        <f>IF(INDIRECT("R[0]C[-1]",FALSE)="","", INDIRECT("R[0]C[-2]",FALSE)*INDIRECT("R[0]C[-1]",FALSE)*(1+INDIRECT("R[0]C[-3]",FALSE)))</f>
        <v/>
      </c>
      <c r="Z16" s="13" t="n"/>
    </row>
    <row r="17">
      <c r="A17" s="11" t="n">
        <v>16</v>
      </c>
      <c r="B17" s="10" t="inlineStr">
        <is>
          <t>SME support for Deployment/DevOps</t>
        </is>
      </c>
      <c r="C17" s="11">
        <f t="array" ref="C17">IFERROR(INDEX(Milestones!$A:$A, MATCH($B17, Milestones!$B:$B, 0)), "")</f>
        <v/>
      </c>
      <c r="D17" s="11">
        <f t="array" ref="D17">IFERROR(INDEX(Milestones!$C:$C, MATCH($B17, Milestones!$B:$B, 0)), "")</f>
        <v/>
      </c>
      <c r="E17" s="11" t="inlineStr">
        <is>
          <t>Validate CI/CD, cloud authoring, and deployment automation readiness</t>
        </is>
      </c>
      <c r="F17" s="11">
        <f t="array" ref="F17">IFERROR(INDEX(Milestones!$E:$E, MATCH($B17, Milestones!$B:$B, 0)), "")</f>
        <v/>
      </c>
      <c r="G17" s="11" t="inlineStr">
        <is>
          <t>Knapsack</t>
        </is>
      </c>
      <c r="H17" s="11">
        <f t="array" ref="H17">IFERROR(INDEX(Milestones!$E:$E, MATCH($B17, Milestones!$B:$B, 0)), "")</f>
        <v/>
      </c>
      <c r="I17" s="11" t="inlineStr">
        <is>
          <t>FTE</t>
        </is>
      </c>
      <c r="J17" s="20" t="n">
        <v>0.03</v>
      </c>
      <c r="K17" s="11" t="inlineStr">
        <is>
          <t>Medium</t>
        </is>
      </c>
      <c r="L17" s="11">
        <f t="array" ref="L17">IF($K17="","", IFERROR(IFS($K17="Low", INDEX('Lookups - Complexity'!$C:$C, MATCH($B17, 'Lookups - Complexity'!$B:$B,0)), $K17="Medium", INDEX('Lookups - Complexity'!$D:$D, MATCH($B17, 'Lookups - Complexity'!$B:$B,0)), $K17="High", INDEX('Lookups - Complexity'!$E:$E, MATCH($B17, 'Lookups - Complexity'!$B:$B,0))), ""))</f>
        <v/>
      </c>
      <c r="M17" s="11">
        <f>IF($I17="FTE", Assumptions!$B$3, "")</f>
        <v/>
      </c>
      <c r="N17" s="11">
        <f t="array" ref="N17">IFERROR(INDEX(Milestones!$F:$F, MATCH($B17, Milestones!$B:$B, 0)), "")</f>
        <v/>
      </c>
      <c r="O17" s="11">
        <f t="array" ref="O17">IFERROR(INDEX(Milestones!$G:$G, MATCH($B17, Milestones!$B:$B, 0)), "")</f>
        <v/>
      </c>
      <c r="P17" s="11">
        <f t="array" ref="P17">IFERROR(INDEX('Lookups - Rates'!$D:$D, MATCH($G17&amp;"|"&amp;$H17, 'Lookups - Rates'!$Z:$Z, 0)), "")</f>
        <v/>
      </c>
      <c r="Q17" s="11">
        <f t="array" ref="Q17">IFERROR(INDEX('Lookups - Rates'!$E:$E, MATCH($G17&amp;"|"&amp;$H17, 'Lookups - Rates'!$Z:$Z, 0)), "")</f>
        <v/>
      </c>
      <c r="R17" s="11">
        <f>LET(ev,$J17, ch,$L17, hr,$P17, dr,$Q17, hpday,Assumptions!$B$2, hpw,Assumptions!$B$3, w,$M17, hrs, IF($I17="Hours", ev, IF($I17="Days", ev*IF(dr&gt;0, dr/hr, hpday), IF($I17="FTE", ev*hpw*w, ch))), IF(hrs="", "", hrs*hr))</f>
        <v/>
      </c>
      <c r="S17" s="13" t="n"/>
      <c r="T17" s="11">
        <f t="array" ref="T17">XLOOKUP(Scenario_Selected, INDEX(Scenario_Table,0,1), INDEX(Scenario_Table,0,2))</f>
        <v/>
      </c>
      <c r="U17" s="11">
        <f t="array" ref="U17">XLOOKUP(Scenario_Selected, INDEX(Scenario_Table,0,1), INDEX(Scenario_Table,0,3))</f>
        <v/>
      </c>
      <c r="V17" s="11">
        <f t="array" ref="V17">XLOOKUP(Scenario_Selected, INDEX(Scenario_Table,0,1), INDEX(Scenario_Table,0,4))</f>
        <v/>
      </c>
      <c r="W17" s="11">
        <f t="array" ref="W17">LET(ev,$J17, ch,$L17, et,$I17, dr,$Q17, hpday,Assumptions!$B$2, hpw,Assumptions!$B$3, w,$M17,hm,INDIRECT("R[0]C[0]",FALSE),hrs, IF(et="Hours", ev, IF(et="Days", ev*IF(dr&gt;0, dr/$P17, hpday), IF(et="FTE", ev*hpw*w, ch))), IF(hrs="", "", hrs*hm))</f>
        <v/>
      </c>
      <c r="X17" s="11">
        <f>IF($P17="","", $P17*INDIRECT("R[0]C[-3]",FALSE))</f>
        <v/>
      </c>
      <c r="Y17" s="11">
        <f>IF(INDIRECT("R[0]C[-1]",FALSE)="","", INDIRECT("R[0]C[-2]",FALSE)*INDIRECT("R[0]C[-1]",FALSE)*(1+INDIRECT("R[0]C[-3]",FALSE)))</f>
        <v/>
      </c>
      <c r="Z17" s="13" t="inlineStr">
        <is>
          <t xml:space="preserve">Reference the playbook to support understanding here </t>
        </is>
      </c>
    </row>
    <row r="18">
      <c r="A18" s="11" t="n">
        <v>17</v>
      </c>
      <c r="B18" s="10" t="inlineStr">
        <is>
          <t>Cloud authoring setup and testing</t>
        </is>
      </c>
      <c r="C18" s="11">
        <f t="array" ref="C18">IFERROR(INDEX(Milestones!$A:$A, MATCH($B18, Milestones!$B:$B, 0)), "")</f>
        <v/>
      </c>
      <c r="D18" s="11">
        <f t="array" ref="D18">IFERROR(INDEX(Milestones!$C:$C, MATCH($B18, Milestones!$B:$B, 0)), "")</f>
        <v/>
      </c>
      <c r="E18" s="11" t="inlineStr">
        <is>
          <t>Setup and validate authoring in cloud environments</t>
        </is>
      </c>
      <c r="F18" s="11">
        <f t="array" ref="F18">IFERROR(INDEX(Milestones!$E:$E, MATCH($B18, Milestones!$B:$B, 0)), "")</f>
        <v/>
      </c>
      <c r="G18" s="11" t="inlineStr">
        <is>
          <t>Knapsack</t>
        </is>
      </c>
      <c r="H18" s="11">
        <f t="array" ref="H18">IFERROR(INDEX(Milestones!$E:$E, MATCH($B18, Milestones!$B:$B, 0)), "")</f>
        <v/>
      </c>
      <c r="I18" s="11" t="inlineStr">
        <is>
          <t>FTE</t>
        </is>
      </c>
      <c r="J18" s="20" t="n">
        <v>0.05</v>
      </c>
      <c r="K18" s="11" t="inlineStr">
        <is>
          <t>High</t>
        </is>
      </c>
      <c r="L18" s="11">
        <f t="array" ref="L18">IF($K18="","", IFERROR(IFS($K18="Low", INDEX('Lookups - Complexity'!$C:$C, MATCH($B18, 'Lookups - Complexity'!$B:$B,0)), $K18="Medium", INDEX('Lookups - Complexity'!$D:$D, MATCH($B18, 'Lookups - Complexity'!$B:$B,0)), $K18="High", INDEX('Lookups - Complexity'!$E:$E, MATCH($B18, 'Lookups - Complexity'!$B:$B,0))), ""))</f>
        <v/>
      </c>
      <c r="M18" s="11">
        <f>IF($I18="FTE", Assumptions!$B$3, "")</f>
        <v/>
      </c>
      <c r="N18" s="11">
        <f t="array" ref="N18">IFERROR(INDEX(Milestones!$F:$F, MATCH($B18, Milestones!$B:$B, 0)), "")</f>
        <v/>
      </c>
      <c r="O18" s="11">
        <f t="array" ref="O18">IFERROR(INDEX(Milestones!$G:$G, MATCH($B18, Milestones!$B:$B, 0)), "")</f>
        <v/>
      </c>
      <c r="P18" s="11">
        <f t="array" ref="P18">IFERROR(INDEX('Lookups - Rates'!$D:$D, MATCH($G18&amp;"|"&amp;$H18, 'Lookups - Rates'!$Z:$Z, 0)), "")</f>
        <v/>
      </c>
      <c r="Q18" s="11">
        <f t="array" ref="Q18">IFERROR(INDEX('Lookups - Rates'!$E:$E, MATCH($G18&amp;"|"&amp;$H18, 'Lookups - Rates'!$Z:$Z, 0)), "")</f>
        <v/>
      </c>
      <c r="R18" s="11">
        <f>LET(ev,$J18, ch,$L18, hr,$P18, dr,$Q18, hpday,Assumptions!$B$2, hpw,Assumptions!$B$3, w,$M18, hrs, IF($I18="Hours", ev, IF($I18="Days", ev*IF(dr&gt;0, dr/hr, hpday), IF($I18="FTE", ev*hpw*w, ch))), IF(hrs="", "", hrs*hr))</f>
        <v/>
      </c>
      <c r="S18" s="13" t="n"/>
      <c r="T18" s="11">
        <f t="array" ref="T18">XLOOKUP(Scenario_Selected, INDEX(Scenario_Table,0,1), INDEX(Scenario_Table,0,2))</f>
        <v/>
      </c>
      <c r="U18" s="11">
        <f t="array" ref="U18">XLOOKUP(Scenario_Selected, INDEX(Scenario_Table,0,1), INDEX(Scenario_Table,0,3))</f>
        <v/>
      </c>
      <c r="V18" s="11">
        <f t="array" ref="V18">XLOOKUP(Scenario_Selected, INDEX(Scenario_Table,0,1), INDEX(Scenario_Table,0,4))</f>
        <v/>
      </c>
      <c r="W18" s="11">
        <f t="array" ref="W18">LET(ev,$J18, ch,$L18, et,$I18, dr,$Q18, hpday,Assumptions!$B$2, hpw,Assumptions!$B$3, w,$M18,hm,INDIRECT("R[0]C[0]",FALSE),hrs, IF(et="Hours", ev, IF(et="Days", ev*IF(dr&gt;0, dr/$P18, hpday), IF(et="FTE", ev*hpw*w, ch))), IF(hrs="", "", hrs*hm))</f>
        <v/>
      </c>
      <c r="X18" s="11">
        <f>IF($P18="","", $P18*INDIRECT("R[0]C[-3]",FALSE))</f>
        <v/>
      </c>
      <c r="Y18" s="11">
        <f>IF(INDIRECT("R[0]C[-1]",FALSE)="","", INDIRECT("R[0]C[-2]",FALSE)*INDIRECT("R[0]C[-1]",FALSE)*(1+INDIRECT("R[0]C[-3]",FALSE)))</f>
        <v/>
      </c>
      <c r="Z18" s="13" t="n"/>
    </row>
    <row r="19">
      <c r="A19" s="11" t="n">
        <v>18</v>
      </c>
      <c r="B19" s="10" t="inlineStr">
        <is>
          <t>SSO setup and testing</t>
        </is>
      </c>
      <c r="C19" s="11">
        <f t="array" ref="C19">IFERROR(INDEX(Milestones!$A:$A, MATCH($B19, Milestones!$B:$B, 0)), "")</f>
        <v/>
      </c>
      <c r="D19" s="11">
        <f t="array" ref="D19">IFERROR(INDEX(Milestones!$C:$C, MATCH($B19, Milestones!$B:$B, 0)), "")</f>
        <v/>
      </c>
      <c r="E19" s="11" t="inlineStr">
        <is>
          <t>Configure and test single sign-on with enterprise identity provider</t>
        </is>
      </c>
      <c r="F19" s="11">
        <f t="array" ref="F19">IFERROR(INDEX(Milestones!$E:$E, MATCH($B19, Milestones!$B:$B, 0)), "")</f>
        <v/>
      </c>
      <c r="G19" s="11" t="inlineStr">
        <is>
          <t>Knapsack</t>
        </is>
      </c>
      <c r="H19" s="11">
        <f t="array" ref="H19">IFERROR(INDEX(Milestones!$E:$E, MATCH($B19, Milestones!$B:$B, 0)), "")</f>
        <v/>
      </c>
      <c r="I19" s="11" t="inlineStr">
        <is>
          <t>FTE</t>
        </is>
      </c>
      <c r="J19" s="20" t="n">
        <v>0.03</v>
      </c>
      <c r="K19" s="11" t="inlineStr">
        <is>
          <t>Medium</t>
        </is>
      </c>
      <c r="L19" s="11">
        <f t="array" ref="L19">IF($K19="","", IFERROR(IFS($K19="Low", INDEX('Lookups - Complexity'!$C:$C, MATCH($B19, 'Lookups - Complexity'!$B:$B,0)), $K19="Medium", INDEX('Lookups - Complexity'!$D:$D, MATCH($B19, 'Lookups - Complexity'!$B:$B,0)), $K19="High", INDEX('Lookups - Complexity'!$E:$E, MATCH($B19, 'Lookups - Complexity'!$B:$B,0))), ""))</f>
        <v/>
      </c>
      <c r="M19" s="11">
        <f>IF($I19="FTE", Assumptions!$B$3, "")</f>
        <v/>
      </c>
      <c r="N19" s="11">
        <f t="array" ref="N19">IFERROR(INDEX(Milestones!$F:$F, MATCH($B19, Milestones!$B:$B, 0)), "")</f>
        <v/>
      </c>
      <c r="O19" s="11">
        <f t="array" ref="O19">IFERROR(INDEX(Milestones!$G:$G, MATCH($B19, Milestones!$B:$B, 0)), "")</f>
        <v/>
      </c>
      <c r="P19" s="11">
        <f t="array" ref="P19">IFERROR(INDEX('Lookups - Rates'!$D:$D, MATCH($G19&amp;"|"&amp;$H19, 'Lookups - Rates'!$Z:$Z, 0)), "")</f>
        <v/>
      </c>
      <c r="Q19" s="11">
        <f t="array" ref="Q19">IFERROR(INDEX('Lookups - Rates'!$E:$E, MATCH($G19&amp;"|"&amp;$H19, 'Lookups - Rates'!$Z:$Z, 0)), "")</f>
        <v/>
      </c>
      <c r="R19" s="11">
        <f>LET(ev,$J19, ch,$L19, hr,$P19, dr,$Q19, hpday,Assumptions!$B$2, hpw,Assumptions!$B$3, w,$M19, hrs, IF($I19="Hours", ev, IF($I19="Days", ev*IF(dr&gt;0, dr/hr, hpday), IF($I19="FTE", ev*hpw*w, ch))), IF(hrs="", "", hrs*hr))</f>
        <v/>
      </c>
      <c r="S19" s="13" t="inlineStr">
        <is>
          <t>This is a medium effort IF Adobe speaks vanilla SAML SSO</t>
        </is>
      </c>
      <c r="T19" s="11">
        <f t="array" ref="T19">XLOOKUP(Scenario_Selected, INDEX(Scenario_Table,0,1), INDEX(Scenario_Table,0,2))</f>
        <v/>
      </c>
      <c r="U19" s="11">
        <f t="array" ref="U19">XLOOKUP(Scenario_Selected, INDEX(Scenario_Table,0,1), INDEX(Scenario_Table,0,3))</f>
        <v/>
      </c>
      <c r="V19" s="11">
        <f t="array" ref="V19">XLOOKUP(Scenario_Selected, INDEX(Scenario_Table,0,1), INDEX(Scenario_Table,0,4))</f>
        <v/>
      </c>
      <c r="W19" s="11">
        <f t="array" ref="W19">LET(ev,$J19, ch,$L19, et,$I19, dr,$Q19, hpday,Assumptions!$B$2, hpw,Assumptions!$B$3, w,$M19,hm,INDIRECT("R[0]C[0]",FALSE),hrs, IF(et="Hours", ev, IF(et="Days", ev*IF(dr&gt;0, dr/$P19, hpday), IF(et="FTE", ev*hpw*w, ch))), IF(hrs="", "", hrs*hm))</f>
        <v/>
      </c>
      <c r="X19" s="11">
        <f>IF($P19="","", $P19*INDIRECT("R[0]C[-3]",FALSE))</f>
        <v/>
      </c>
      <c r="Y19" s="11">
        <f>IF(INDIRECT("R[0]C[-1]",FALSE)="","", INDIRECT("R[0]C[-2]",FALSE)*INDIRECT("R[0]C[-1]",FALSE)*(1+INDIRECT("R[0]C[-3]",FALSE)))</f>
        <v/>
      </c>
      <c r="Z19" s="13" t="inlineStr">
        <is>
          <t xml:space="preserve">Reference the playbook to support understanding here </t>
        </is>
      </c>
    </row>
    <row r="20">
      <c r="A20" s="11" t="n">
        <v>19</v>
      </c>
      <c r="B20" s="10" t="inlineStr">
        <is>
          <t>Training - Eng / UX / Partners</t>
        </is>
      </c>
      <c r="C20" s="11">
        <f t="array" ref="C20">IFERROR(INDEX(Milestones!$A:$A, MATCH($B20, Milestones!$B:$B, 0)), "")</f>
        <v/>
      </c>
      <c r="D20" s="11">
        <f t="array" ref="D20">IFERROR(INDEX(Milestones!$C:$C, MATCH($B20, Milestones!$B:$B, 0)), "")</f>
        <v/>
      </c>
      <c r="E20" s="11" t="inlineStr">
        <is>
          <t>Integrated training for engineering, UX, and partner audiences</t>
        </is>
      </c>
      <c r="F20" s="11">
        <f t="array" ref="F20">IFERROR(INDEX(Milestones!$E:$E, MATCH($B20, Milestones!$B:$B, 0)), "")</f>
        <v/>
      </c>
      <c r="G20" s="11" t="inlineStr">
        <is>
          <t>Adobe</t>
        </is>
      </c>
      <c r="H20" s="11">
        <f t="array" ref="H20">IFERROR(INDEX(Milestones!$E:$E, MATCH($B20, Milestones!$B:$B, 0)), "")</f>
        <v/>
      </c>
      <c r="I20" s="11" t="inlineStr">
        <is>
          <t>FTE</t>
        </is>
      </c>
      <c r="J20" s="20" t="n">
        <v>0.05</v>
      </c>
      <c r="K20" s="11" t="inlineStr">
        <is>
          <t>High</t>
        </is>
      </c>
      <c r="L20" s="11">
        <f t="array" ref="L20">IF($K20="","", IFERROR(IFS($K20="Low", INDEX('Lookups - Complexity'!$C:$C, MATCH($B20, 'Lookups - Complexity'!$B:$B,0)), $K20="Medium", INDEX('Lookups - Complexity'!$D:$D, MATCH($B20, 'Lookups - Complexity'!$B:$B,0)), $K20="High", INDEX('Lookups - Complexity'!$E:$E, MATCH($B20, 'Lookups - Complexity'!$B:$B,0))), ""))</f>
        <v/>
      </c>
      <c r="M20" s="11">
        <f>IF($I20="FTE", Assumptions!$B$3, "")</f>
        <v/>
      </c>
      <c r="N20" s="11">
        <f t="array" ref="N20">IFERROR(INDEX(Milestones!$F:$F, MATCH($B20, Milestones!$B:$B, 0)), "")</f>
        <v/>
      </c>
      <c r="O20" s="11">
        <f t="array" ref="O20">IFERROR(INDEX(Milestones!$G:$G, MATCH($B20, Milestones!$B:$B, 0)), "")</f>
        <v/>
      </c>
      <c r="P20" s="11">
        <f t="array" ref="P20">IFERROR(INDEX('Lookups - Rates'!$D:$D, MATCH($G20&amp;"|"&amp;$H20, 'Lookups - Rates'!$Z:$Z, 0)), "")</f>
        <v/>
      </c>
      <c r="Q20" s="11">
        <f t="array" ref="Q20">IFERROR(INDEX('Lookups - Rates'!$E:$E, MATCH($G20&amp;"|"&amp;$H20, 'Lookups - Rates'!$Z:$Z, 0)), "")</f>
        <v/>
      </c>
      <c r="R20" s="11">
        <f>LET(ev,$J20, ch,$L20, hr,$P20, dr,$Q20, hpday,Assumptions!$B$2, hpw,Assumptions!$B$3, w,$M20, hrs, IF($I20="Hours", ev, IF($I20="Days", ev*IF(dr&gt;0, dr/hr, hpday), IF($I20="FTE", ev*hpw*w, ch))), IF(hrs="", "", hrs*hr))</f>
        <v/>
      </c>
      <c r="S20" s="13" t="n"/>
      <c r="T20" s="11">
        <f t="array" ref="T20">XLOOKUP(Scenario_Selected, INDEX(Scenario_Table,0,1), INDEX(Scenario_Table,0,2))</f>
        <v/>
      </c>
      <c r="U20" s="11">
        <f t="array" ref="U20">XLOOKUP(Scenario_Selected, INDEX(Scenario_Table,0,1), INDEX(Scenario_Table,0,3))</f>
        <v/>
      </c>
      <c r="V20" s="11">
        <f t="array" ref="V20">XLOOKUP(Scenario_Selected, INDEX(Scenario_Table,0,1), INDEX(Scenario_Table,0,4))</f>
        <v/>
      </c>
      <c r="W20" s="11">
        <f t="array" ref="W20">LET(ev,$J20, ch,$L20, et,$I20, dr,$Q20, hpday,Assumptions!$B$2, hpw,Assumptions!$B$3, w,$M20,hm,INDIRECT("R[0]C[0]",FALSE),hrs, IF(et="Hours", ev, IF(et="Days", ev*IF(dr&gt;0, dr/$P20, hpday), IF(et="FTE", ev*hpw*w, ch))), IF(hrs="", "", hrs*hm))</f>
        <v/>
      </c>
      <c r="X20" s="11">
        <f>IF($P20="","", $P20*INDIRECT("R[0]C[-3]",FALSE))</f>
        <v/>
      </c>
      <c r="Y20" s="11">
        <f>IF(INDIRECT("R[0]C[-1]",FALSE)="","", INDIRECT("R[0]C[-2]",FALSE)*INDIRECT("R[0]C[-1]",FALSE)*(1+INDIRECT("R[0]C[-3]",FALSE)))</f>
        <v/>
      </c>
      <c r="Z20" s="13" t="inlineStr">
        <is>
          <t xml:space="preserve">Adobe practice today </t>
        </is>
      </c>
    </row>
    <row r="21" ht="15.75" customHeight="1" s="74">
      <c r="A21" s="11" t="n">
        <v>20</v>
      </c>
      <c r="B21" s="10" t="inlineStr">
        <is>
          <t>Workflow Diagrams</t>
        </is>
      </c>
      <c r="C21" s="11">
        <f t="array" ref="C21">IFERROR(INDEX(Milestones!$A:$A, MATCH($B21, Milestones!$B:$B, 0)), "")</f>
        <v/>
      </c>
      <c r="D21" s="11">
        <f t="array" ref="D21">IFERROR(INDEX(Milestones!$C:$C, MATCH($B21, Milestones!$B:$B, 0)), "")</f>
        <v/>
      </c>
      <c r="E21" s="11" t="inlineStr">
        <is>
          <t>Map self-service contribution and implementation workflows</t>
        </is>
      </c>
      <c r="F21" s="11">
        <f t="array" ref="F21">IFERROR(INDEX(Milestones!$E:$E, MATCH($B21, Milestones!$B:$B, 0)), "")</f>
        <v/>
      </c>
      <c r="G21" s="11" t="inlineStr">
        <is>
          <t>Knapsack</t>
        </is>
      </c>
      <c r="H21" s="11">
        <f t="array" ref="H21">IFERROR(INDEX(Milestones!$E:$E, MATCH($B21, Milestones!$B:$B, 0)), "")</f>
        <v/>
      </c>
      <c r="I21" s="11" t="inlineStr">
        <is>
          <t>FTE</t>
        </is>
      </c>
      <c r="J21" s="20" t="n">
        <v>0.025</v>
      </c>
      <c r="K21" s="11" t="inlineStr">
        <is>
          <t>Medium</t>
        </is>
      </c>
      <c r="L21" s="11">
        <f t="array" ref="L21">IF($K21="","", IFERROR(IFS($K21="Low", INDEX('Lookups - Complexity'!$C:$C, MATCH($B21, 'Lookups - Complexity'!$B:$B,0)), $K21="Medium", INDEX('Lookups - Complexity'!$D:$D, MATCH($B21, 'Lookups - Complexity'!$B:$B,0)), $K21="High", INDEX('Lookups - Complexity'!$E:$E, MATCH($B21, 'Lookups - Complexity'!$B:$B,0))), ""))</f>
        <v/>
      </c>
      <c r="M21" s="11">
        <f>IF($I21="FTE", Assumptions!$B$3, "")</f>
        <v/>
      </c>
      <c r="N21" s="11">
        <f t="array" ref="N21">IFERROR(INDEX(Milestones!$F:$F, MATCH($B21, Milestones!$B:$B, 0)), "")</f>
        <v/>
      </c>
      <c r="O21" s="11">
        <f t="array" ref="O21">IFERROR(INDEX(Milestones!$G:$G, MATCH($B21, Milestones!$B:$B, 0)), "")</f>
        <v/>
      </c>
      <c r="P21" s="11">
        <f t="array" ref="P21">IFERROR(INDEX('Lookups - Rates'!$D:$D, MATCH($G21&amp;"|"&amp;$H21, 'Lookups - Rates'!$Z:$Z, 0)), "")</f>
        <v/>
      </c>
      <c r="Q21" s="11">
        <f t="array" ref="Q21">IFERROR(INDEX('Lookups - Rates'!$E:$E, MATCH($G21&amp;"|"&amp;$H21, 'Lookups - Rates'!$Z:$Z, 0)), "")</f>
        <v/>
      </c>
      <c r="R21" s="11">
        <f>LET(ev,$J21, ch,$L21, hr,$P21, dr,$Q21, hpday,Assumptions!$B$2, hpw,Assumptions!$B$3, w,$M21, hrs, IF($I21="Hours", ev, IF($I21="Days", ev*IF(dr&gt;0, dr/hr, hpday), IF($I21="FTE", ev*hpw*w, ch))), IF(hrs="", "", hrs*hr))</f>
        <v/>
      </c>
      <c r="S21" s="13" t="n"/>
      <c r="T21" s="11">
        <f t="array" ref="T21">XLOOKUP(Scenario_Selected, INDEX(Scenario_Table,0,1), INDEX(Scenario_Table,0,2))</f>
        <v/>
      </c>
      <c r="U21" s="11">
        <f t="array" ref="U21">XLOOKUP(Scenario_Selected, INDEX(Scenario_Table,0,1), INDEX(Scenario_Table,0,3))</f>
        <v/>
      </c>
      <c r="V21" s="11">
        <f t="array" ref="V21">XLOOKUP(Scenario_Selected, INDEX(Scenario_Table,0,1), INDEX(Scenario_Table,0,4))</f>
        <v/>
      </c>
      <c r="W21" s="11">
        <f t="array" ref="W21">LET(ev,$J21, ch,$L21, et,$I21, dr,$Q21, hpday,Assumptions!$B$2, hpw,Assumptions!$B$3, w,$M21,hm,INDIRECT("R[0]C[0]",FALSE),hrs, IF(et="Hours", ev, IF(et="Days", ev*IF(dr&gt;0, dr/$P21, hpday), IF(et="FTE", ev*hpw*w, ch))), IF(hrs="", "", hrs*hm))</f>
        <v/>
      </c>
      <c r="X21" s="11">
        <f>IF($P21="","", $P21*INDIRECT("R[0]C[-3]",FALSE))</f>
        <v/>
      </c>
      <c r="Y21" s="11">
        <f>IF(INDIRECT("R[0]C[-1]",FALSE)="","", INDIRECT("R[0]C[-2]",FALSE)*INDIRECT("R[0]C[-1]",FALSE)*(1+INDIRECT("R[0]C[-3]",FALSE)))</f>
        <v/>
      </c>
      <c r="Z21" s="13" t="inlineStr">
        <is>
          <t xml:space="preserve">Adobe practice today - might be a better choice for Knapsack to own. Adobe Responsible for the intitial recommended workflows. To be tested and validated in support of the curriculum </t>
        </is>
      </c>
    </row>
    <row r="22" ht="15.75" customHeight="1" s="74">
      <c r="A22" s="16" t="n">
        <v>21</v>
      </c>
      <c r="B22" s="15" t="inlineStr">
        <is>
          <t>Content planning and integration</t>
        </is>
      </c>
      <c r="C22" s="16">
        <f t="array" ref="C22">IFERROR(INDEX(Milestones!$A:$A, MATCH($B22, Milestones!$B:$B, 0)), "")</f>
        <v/>
      </c>
      <c r="D22" s="16">
        <f t="array" ref="D22">IFERROR(INDEX(Milestones!$C:$C, MATCH($B22, Milestones!$B:$B, 0)), "")</f>
        <v/>
      </c>
      <c r="E22" s="16" t="inlineStr">
        <is>
          <t>Documentation for web, React, iOS, Android implementations</t>
        </is>
      </c>
      <c r="F22" s="16" t="inlineStr">
        <is>
          <t>Adobe</t>
        </is>
      </c>
      <c r="G22" s="16" t="inlineStr">
        <is>
          <t>Knapsack</t>
        </is>
      </c>
      <c r="H22" s="16">
        <f t="array" ref="H22">IFERROR(INDEX(Milestones!$E:$E, MATCH($B22, Milestones!$B:$B, 0)), "")</f>
        <v/>
      </c>
      <c r="I22" s="16" t="inlineStr">
        <is>
          <t>FTE</t>
        </is>
      </c>
      <c r="J22" s="17" t="n">
        <v>0.05</v>
      </c>
      <c r="K22" s="16" t="inlineStr">
        <is>
          <t>High</t>
        </is>
      </c>
      <c r="L22" s="16">
        <f t="array" ref="L22">IF($K22="","", IFERROR(IFS($K22="Low", INDEX('Lookups - Complexity'!$C:$C, MATCH($B22, 'Lookups - Complexity'!$B:$B,0)), $K22="Medium", INDEX('Lookups - Complexity'!$D:$D, MATCH($B22, 'Lookups - Complexity'!$B:$B,0)), $K22="High", INDEX('Lookups - Complexity'!$E:$E, MATCH($B22, 'Lookups - Complexity'!$B:$B,0))), ""))</f>
        <v/>
      </c>
      <c r="M22" s="16">
        <f>IF($I22="FTE", Assumptions!$B$3, "")</f>
        <v/>
      </c>
      <c r="N22" s="16">
        <f t="array" ref="N22">IFERROR(INDEX(Milestones!$F:$F, MATCH($B22, Milestones!$B:$B, 0)), "")</f>
        <v/>
      </c>
      <c r="O22" s="16">
        <f t="array" ref="O22">IFERROR(INDEX(Milestones!$G:$G, MATCH($B22, Milestones!$B:$B, 0)), "")</f>
        <v/>
      </c>
      <c r="P22" s="16">
        <f t="array" ref="P22">IFERROR(INDEX('Lookups - Rates'!$D:$D, MATCH($G22&amp;"|"&amp;$H22, 'Lookups - Rates'!$Z:$Z, 0)), "")</f>
        <v/>
      </c>
      <c r="Q22" s="16">
        <f t="array" ref="Q22">IFERROR(INDEX('Lookups - Rates'!$E:$E, MATCH($G22&amp;"|"&amp;$H22, 'Lookups - Rates'!$Z:$Z, 0)), "")</f>
        <v/>
      </c>
      <c r="R22" s="16">
        <f>LET(ev,$J22, ch,$L22, hr,$P22, dr,$Q22, hpday,Assumptions!$B$2, hpw,Assumptions!$B$3, w,$M22, hrs, IF($I22="Hours", ev, IF($I22="Days", ev*IF(dr&gt;0, dr/hr, hpday), IF($I22="FTE", ev*hpw*w, ch))), IF(hrs="", "", hrs*hr))</f>
        <v/>
      </c>
      <c r="S22" s="19" t="n"/>
      <c r="T22" s="16">
        <f t="array" ref="T22">XLOOKUP(Scenario_Selected, INDEX(Scenario_Table,0,1), INDEX(Scenario_Table,0,2))</f>
        <v/>
      </c>
      <c r="U22" s="16">
        <f t="array" ref="U22">XLOOKUP(Scenario_Selected, INDEX(Scenario_Table,0,1), INDEX(Scenario_Table,0,3))</f>
        <v/>
      </c>
      <c r="V22" s="16">
        <f t="array" ref="V22">XLOOKUP(Scenario_Selected, INDEX(Scenario_Table,0,1), INDEX(Scenario_Table,0,4))</f>
        <v/>
      </c>
      <c r="W22" s="16">
        <f t="array" ref="W22">LET(ev,$J22, ch,$L22, et,$I22, dr,$Q22, hpday,Assumptions!$B$2, hpw,Assumptions!$B$3, w,$M22,hm,INDIRECT("R[0]C[0]",FALSE),hrs, IF(et="Hours", ev, IF(et="Days", ev*IF(dr&gt;0, dr/$P22, hpday), IF(et="FTE", ev*hpw*w, ch))), IF(hrs="", "", hrs*hm))</f>
        <v/>
      </c>
      <c r="X22" s="16">
        <f>IF($P22="","", $P22*INDIRECT("R[0]C[-3]",FALSE))</f>
        <v/>
      </c>
      <c r="Y22" s="16">
        <f>IF(INDIRECT("R[0]C[-1]",FALSE)="","", INDIRECT("R[0]C[-2]",FALSE)*INDIRECT("R[0]C[-1]",FALSE)*(1+INDIRECT("R[0]C[-3]",FALSE)))</f>
        <v/>
      </c>
      <c r="Z22" s="19" t="inlineStr">
        <is>
          <t>Adobe practice today - the content planning aspect is owned by Adobe - the documentation of the guides is driven by Knapsack. Shared Responsibility. Adobe is Accountable for authoring the the guides + FDE is Responsible for review. To be reflected in the RACI</t>
        </is>
      </c>
      <c r="AA22" s="16" t="n"/>
    </row>
    <row r="23" ht="15.75" customHeight="1" s="74">
      <c r="A23" s="11" t="n">
        <v>22</v>
      </c>
      <c r="B23" s="10" t="inlineStr">
        <is>
          <t>Advanced Training - Partners + Contribution</t>
        </is>
      </c>
      <c r="C23" s="11">
        <f t="array" ref="C23">IFERROR(INDEX(Milestones!$A:$A, MATCH($B23, Milestones!$B:$B, 0)), "")</f>
        <v/>
      </c>
      <c r="D23" s="11">
        <f t="array" ref="D23">IFERROR(INDEX(Milestones!$C:$C, MATCH($B23, Milestones!$B:$B, 0)), "")</f>
        <v/>
      </c>
      <c r="E23" s="11" t="inlineStr">
        <is>
          <t>Deep-dive enablement for partner contributions</t>
        </is>
      </c>
      <c r="F23" s="11">
        <f t="array" ref="F23">IFERROR(INDEX(Milestones!$E:$E, MATCH($B23, Milestones!$B:$B, 0)), "")</f>
        <v/>
      </c>
      <c r="G23" s="11" t="inlineStr">
        <is>
          <t>Adobe</t>
        </is>
      </c>
      <c r="H23" s="11">
        <f t="array" ref="H23">IFERROR(INDEX(Milestones!$E:$E, MATCH($B23, Milestones!$B:$B, 0)), "")</f>
        <v/>
      </c>
      <c r="I23" s="11" t="inlineStr">
        <is>
          <t>FTE</t>
        </is>
      </c>
      <c r="J23" s="20" t="n">
        <v>0.03</v>
      </c>
      <c r="K23" s="11" t="inlineStr">
        <is>
          <t>Medium</t>
        </is>
      </c>
      <c r="L23" s="11">
        <f t="array" ref="L23">IF($K23="","", IFERROR(IFS($K23="Low", INDEX('Lookups - Complexity'!$C:$C, MATCH($B23, 'Lookups - Complexity'!$B:$B,0)), $K23="Medium", INDEX('Lookups - Complexity'!$D:$D, MATCH($B23, 'Lookups - Complexity'!$B:$B,0)), $K23="High", INDEX('Lookups - Complexity'!$E:$E, MATCH($B23, 'Lookups - Complexity'!$B:$B,0))), ""))</f>
        <v/>
      </c>
      <c r="M23" s="11">
        <f>IF($I23="FTE", Assumptions!$B$3, "")</f>
        <v/>
      </c>
      <c r="N23" s="11">
        <f t="array" ref="N23">IFERROR(INDEX(Milestones!$F:$F, MATCH($B23, Milestones!$B:$B, 0)), "")</f>
        <v/>
      </c>
      <c r="O23" s="11">
        <f t="array" ref="O23">IFERROR(INDEX(Milestones!$G:$G, MATCH($B23, Milestones!$B:$B, 0)), "")</f>
        <v/>
      </c>
      <c r="P23" s="11">
        <f t="array" ref="P23">IFERROR(INDEX('Lookups - Rates'!$D:$D, MATCH($G23&amp;"|"&amp;$H23, 'Lookups - Rates'!$Z:$Z, 0)), "")</f>
        <v/>
      </c>
      <c r="Q23" s="11">
        <f t="array" ref="Q23">IFERROR(INDEX('Lookups - Rates'!$E:$E, MATCH($G23&amp;"|"&amp;$H23, 'Lookups - Rates'!$Z:$Z, 0)), "")</f>
        <v/>
      </c>
      <c r="R23" s="11">
        <f>LET(ev,$J23, ch,$L23, hr,$P23, dr,$Q23, hpday,Assumptions!$B$2, hpw,Assumptions!$B$3, w,$M23, hrs, IF($I23="Hours", ev, IF($I23="Days", ev*IF(dr&gt;0, dr/hr, hpday), IF($I23="FTE", ev*hpw*w, ch))), IF(hrs="", "", hrs*hr))</f>
        <v/>
      </c>
      <c r="S23" s="13" t="n"/>
      <c r="T23" s="11">
        <f t="array" ref="T23">XLOOKUP(Scenario_Selected, INDEX(Scenario_Table,0,1), INDEX(Scenario_Table,0,2))</f>
        <v/>
      </c>
      <c r="U23" s="11">
        <f t="array" ref="U23">XLOOKUP(Scenario_Selected, INDEX(Scenario_Table,0,1), INDEX(Scenario_Table,0,3))</f>
        <v/>
      </c>
      <c r="V23" s="11">
        <f t="array" ref="V23">XLOOKUP(Scenario_Selected, INDEX(Scenario_Table,0,1), INDEX(Scenario_Table,0,4))</f>
        <v/>
      </c>
      <c r="W23" s="11">
        <f t="array" ref="W23">LET(ev,$J23, ch,$L23, et,$I23, dr,$Q23, hpday,Assumptions!$B$2, hpw,Assumptions!$B$3, w,$M23,hm,INDIRECT("R[0]C[0]",FALSE),hrs, IF(et="Hours", ev, IF(et="Days", ev*IF(dr&gt;0, dr/$P23, hpday), IF(et="FTE", ev*hpw*w, ch))), IF(hrs="", "", hrs*hm))</f>
        <v/>
      </c>
      <c r="X23" s="11">
        <f>IF($P23="","", $P23*INDIRECT("R[0]C[-3]",FALSE))</f>
        <v/>
      </c>
      <c r="Y23" s="11">
        <f>IF(INDIRECT("R[0]C[-1]",FALSE)="","", INDIRECT("R[0]C[-2]",FALSE)*INDIRECT("R[0]C[-1]",FALSE)*(1+INDIRECT("R[0]C[-3]",FALSE)))</f>
        <v/>
      </c>
      <c r="Z23" s="13" t="inlineStr">
        <is>
          <t>Knapsack to provide the fodder</t>
        </is>
      </c>
    </row>
    <row r="24" ht="15.75" customHeight="1" s="74">
      <c r="A24" s="11" t="n">
        <v>23</v>
      </c>
      <c r="B24" s="10" t="inlineStr">
        <is>
          <t>Phase Gate Strategic Recommendations + Documentation</t>
        </is>
      </c>
      <c r="C24" s="11">
        <f t="array" ref="C24">IFERROR(INDEX(Milestones!$A:$A, MATCH($B24, Milestones!$B:$B, 0)), "")</f>
        <v/>
      </c>
      <c r="D24" s="11">
        <f t="array" ref="D24">IFERROR(INDEX(Milestones!$C:$C, MATCH($B24, Milestones!$B:$B, 0)), "")</f>
        <v/>
      </c>
      <c r="E24" s="11" t="inlineStr">
        <is>
          <t>Formal phase gate review and recommendations</t>
        </is>
      </c>
      <c r="F24" s="11">
        <f t="array" ref="F24">IFERROR(INDEX(Milestones!$E:$E, MATCH($B24, Milestones!$B:$B, 0)), "")</f>
        <v/>
      </c>
      <c r="G24" s="11" t="inlineStr">
        <is>
          <t>Knapsack</t>
        </is>
      </c>
      <c r="H24" s="11">
        <f t="array" ref="H24">IFERROR(INDEX(Milestones!$E:$E, MATCH($B24, Milestones!$B:$B, 0)), "")</f>
        <v/>
      </c>
      <c r="I24" s="11" t="inlineStr">
        <is>
          <t>FTE</t>
        </is>
      </c>
      <c r="J24" s="20" t="n">
        <v>0.025</v>
      </c>
      <c r="K24" s="11" t="inlineStr">
        <is>
          <t>Medium</t>
        </is>
      </c>
      <c r="L24" s="11">
        <f t="array" ref="L24">IF($K24="","", IFERROR(IFS($K24="Low", INDEX('Lookups - Complexity'!$C:$C, MATCH($B24, 'Lookups - Complexity'!$B:$B,0)), $K24="Medium", INDEX('Lookups - Complexity'!$D:$D, MATCH($B24, 'Lookups - Complexity'!$B:$B,0)), $K24="High", INDEX('Lookups - Complexity'!$E:$E, MATCH($B24, 'Lookups - Complexity'!$B:$B,0))), ""))</f>
        <v/>
      </c>
      <c r="M24" s="11">
        <f>IF($I24="FTE", Assumptions!$B$3, "")</f>
        <v/>
      </c>
      <c r="N24" s="11">
        <f t="array" ref="N24">IFERROR(INDEX(Milestones!$F:$F, MATCH($B24, Milestones!$B:$B, 0)), "")</f>
        <v/>
      </c>
      <c r="O24" s="11">
        <f t="array" ref="O24">IFERROR(INDEX(Milestones!$G:$G, MATCH($B24, Milestones!$B:$B, 0)), "")</f>
        <v/>
      </c>
      <c r="P24" s="11">
        <f t="array" ref="P24">IFERROR(INDEX('Lookups - Rates'!$D:$D, MATCH($G24&amp;"|"&amp;$H24, 'Lookups - Rates'!$Z:$Z, 0)), "")</f>
        <v/>
      </c>
      <c r="Q24" s="11">
        <f t="array" ref="Q24">IFERROR(INDEX('Lookups - Rates'!$E:$E, MATCH($G24&amp;"|"&amp;$H24, 'Lookups - Rates'!$Z:$Z, 0)), "")</f>
        <v/>
      </c>
      <c r="R24" s="11">
        <f>LET(ev,$J24, ch,$L24, hr,$P24, dr,$Q24, hpday,Assumptions!$B$2, hpw,Assumptions!$B$3, w,$M24, hrs, IF($I24="Hours", ev, IF($I24="Days", ev*IF(dr&gt;0, dr/hr, hpday), IF($I24="FTE", ev*hpw*w, ch))), IF(hrs="", "", hrs*hr))</f>
        <v/>
      </c>
      <c r="S24" s="13" t="n"/>
      <c r="T24" s="11">
        <f t="array" ref="T24">XLOOKUP(Scenario_Selected, INDEX(Scenario_Table,0,1), INDEX(Scenario_Table,0,2))</f>
        <v/>
      </c>
      <c r="U24" s="11">
        <f t="array" ref="U24">XLOOKUP(Scenario_Selected, INDEX(Scenario_Table,0,1), INDEX(Scenario_Table,0,3))</f>
        <v/>
      </c>
      <c r="V24" s="11">
        <f t="array" ref="V24">XLOOKUP(Scenario_Selected, INDEX(Scenario_Table,0,1), INDEX(Scenario_Table,0,4))</f>
        <v/>
      </c>
      <c r="W24" s="11">
        <f t="array" ref="W24">LET(ev,$J24, ch,$L24, et,$I24, dr,$Q24, hpday,Assumptions!$B$2, hpw,Assumptions!$B$3, w,$M24,hm,INDIRECT("R[0]C[0]",FALSE),hrs, IF(et="Hours", ev, IF(et="Days", ev*IF(dr&gt;0, dr/$P24, hpday), IF(et="FTE", ev*hpw*w, ch))), IF(hrs="", "", hrs*hm))</f>
        <v/>
      </c>
      <c r="X24" s="11">
        <f>IF($P24="","", $P24*INDIRECT("R[0]C[-3]",FALSE))</f>
        <v/>
      </c>
      <c r="Y24" s="11">
        <f>IF(INDIRECT("R[0]C[-1]",FALSE)="","", INDIRECT("R[0]C[-2]",FALSE)*INDIRECT("R[0]C[-1]",FALSE)*(1+INDIRECT("R[0]C[-3]",FALSE)))</f>
        <v/>
      </c>
      <c r="Z24" s="13" t="n"/>
    </row>
    <row r="25" ht="15.75" customHeight="1" s="74">
      <c r="A25" s="11" t="n">
        <v>24</v>
      </c>
      <c r="B25" s="10" t="inlineStr">
        <is>
          <t>Pre-Cutover Readiness Review</t>
        </is>
      </c>
      <c r="C25" s="11">
        <f t="array" ref="C25">IFERROR(INDEX(Milestones!$A:$A, MATCH($B25, Milestones!$B:$B, 0)), "")</f>
        <v/>
      </c>
      <c r="D25" s="11">
        <f t="array" ref="D25">IFERROR(INDEX(Milestones!$C:$C, MATCH($B25, Milestones!$B:$B, 0)), "")</f>
        <v/>
      </c>
      <c r="E25" s="11" t="inlineStr">
        <is>
          <t>Validate all technical, operational, and training prerequisites; confirm SSO, component rendering, deployment readiness before final rollout.</t>
        </is>
      </c>
      <c r="F25" s="11">
        <f t="array" ref="F25">IFERROR(INDEX(Milestones!$E:$E, MATCH($B25, Milestones!$B:$B, 0)), "")</f>
        <v/>
      </c>
      <c r="G25" s="11" t="inlineStr">
        <is>
          <t>Knapsack</t>
        </is>
      </c>
      <c r="H25" s="11">
        <f t="array" ref="H25">IFERROR(INDEX(Milestones!$E:$E, MATCH($B25, Milestones!$B:$B, 0)), "")</f>
        <v/>
      </c>
      <c r="I25" s="11" t="inlineStr">
        <is>
          <t>FTE</t>
        </is>
      </c>
      <c r="J25" s="20" t="n">
        <v>0.025</v>
      </c>
      <c r="K25" s="11" t="inlineStr">
        <is>
          <t>Medium</t>
        </is>
      </c>
      <c r="L25" s="11">
        <f t="array" ref="L25">IF($K25="","", IFERROR(IFS($K25="Low", INDEX('Lookups - Complexity'!$C:$C, MATCH($B25, 'Lookups - Complexity'!$B:$B,0)), $K25="Medium", INDEX('Lookups - Complexity'!$D:$D, MATCH($B25, 'Lookups - Complexity'!$B:$B,0)), $K25="High", INDEX('Lookups - Complexity'!$E:$E, MATCH($B25, 'Lookups - Complexity'!$B:$B,0))), ""))</f>
        <v/>
      </c>
      <c r="M25" s="11">
        <f>IF($I25="FTE", Assumptions!$B$3, "")</f>
        <v/>
      </c>
      <c r="N25" s="11">
        <f t="array" ref="N25">IFERROR(INDEX(Milestones!$F:$F, MATCH($B25, Milestones!$B:$B, 0)), "")</f>
        <v/>
      </c>
      <c r="O25" s="11">
        <f t="array" ref="O25">IFERROR(INDEX(Milestones!$G:$G, MATCH($B25, Milestones!$B:$B, 0)), "")</f>
        <v/>
      </c>
      <c r="P25" s="11">
        <f t="array" ref="P25">IFERROR(INDEX('Lookups - Rates'!$D:$D, MATCH($G25&amp;"|"&amp;$H25, 'Lookups - Rates'!$Z:$Z, 0)), "")</f>
        <v/>
      </c>
      <c r="Q25" s="11">
        <f t="array" ref="Q25">IFERROR(INDEX('Lookups - Rates'!$E:$E, MATCH($G25&amp;"|"&amp;$H25, 'Lookups - Rates'!$Z:$Z, 0)), "")</f>
        <v/>
      </c>
      <c r="R25" s="11">
        <f>LET(ev,$J25, ch,$L25, hr,$P25, dr,$Q25, hpday,Assumptions!$B$2, hpw,Assumptions!$B$3, w,$M25, hrs, IF($I25="Hours", ev, IF($I25="Days", ev*IF(dr&gt;0, dr/hr, hpday), IF($I25="FTE", ev*hpw*w, ch))), IF(hrs="", "", hrs*hr))</f>
        <v/>
      </c>
      <c r="S25" s="13" t="n"/>
      <c r="T25" s="11">
        <f t="array" ref="T25">XLOOKUP(Scenario_Selected, INDEX(Scenario_Table,0,1), INDEX(Scenario_Table,0,2))</f>
        <v/>
      </c>
      <c r="U25" s="11">
        <f t="array" ref="U25">XLOOKUP(Scenario_Selected, INDEX(Scenario_Table,0,1), INDEX(Scenario_Table,0,3))</f>
        <v/>
      </c>
      <c r="V25" s="11">
        <f t="array" ref="V25">XLOOKUP(Scenario_Selected, INDEX(Scenario_Table,0,1), INDEX(Scenario_Table,0,4))</f>
        <v/>
      </c>
      <c r="W25" s="11">
        <f t="array" ref="W25">LET(ev,$J25, ch,$L25, et,$I25, dr,$Q25, hpday,Assumptions!$B$2, hpw,Assumptions!$B$3, w,$M25,hm,INDIRECT("R[0]C[0]",FALSE),hrs, IF(et="Hours", ev, IF(et="Days", ev*IF(dr&gt;0, dr/$P25, hpday), IF(et="FTE", ev*hpw*w, ch))), IF(hrs="", "", hrs*hm))</f>
        <v/>
      </c>
      <c r="X25" s="11">
        <f>IF($P25="","", $P25*INDIRECT("R[0]C[-3]",FALSE))</f>
        <v/>
      </c>
      <c r="Y25" s="11">
        <f>IF(INDIRECT("R[0]C[-1]",FALSE)="","", INDIRECT("R[0]C[-2]",FALSE)*INDIRECT("R[0]C[-1]",FALSE)*(1+INDIRECT("R[0]C[-3]",FALSE)))</f>
        <v/>
      </c>
      <c r="Z25" s="13" t="n"/>
    </row>
    <row r="26" ht="15.75" customHeight="1" s="74">
      <c r="A26" s="11" t="n">
        <v>25</v>
      </c>
      <c r="B26" s="10" t="inlineStr">
        <is>
          <t>Data &amp; Configuration Freeze</t>
        </is>
      </c>
      <c r="C26" s="11">
        <f t="array" ref="C26">IFERROR(INDEX(Milestones!$A:$A, MATCH($B26, Milestones!$B:$B, 0)), "")</f>
        <v/>
      </c>
      <c r="D26" s="11">
        <f t="array" ref="D26">IFERROR(INDEX(Milestones!$C:$C, MATCH($B26, Milestones!$B:$B, 0)), "")</f>
        <v/>
      </c>
      <c r="E26" s="11" t="inlineStr">
        <is>
          <t>Lock configuration and repositories; capture environment snapshot for rollback if needed before go-live.</t>
        </is>
      </c>
      <c r="F26" s="11">
        <f t="array" ref="F26">IFERROR(INDEX(Milestones!$E:$E, MATCH($B26, Milestones!$B:$B, 0)), "")</f>
        <v/>
      </c>
      <c r="G26" s="11" t="inlineStr">
        <is>
          <t>Knapsack</t>
        </is>
      </c>
      <c r="H26" s="11">
        <f t="array" ref="H26">IFERROR(INDEX(Milestones!$E:$E, MATCH($B26, Milestones!$B:$B, 0)), "")</f>
        <v/>
      </c>
      <c r="I26" s="11" t="inlineStr">
        <is>
          <t>FTE</t>
        </is>
      </c>
      <c r="J26" s="20" t="n">
        <v>0.025</v>
      </c>
      <c r="K26" s="11" t="inlineStr">
        <is>
          <t>Medium</t>
        </is>
      </c>
      <c r="L26" s="11">
        <f t="array" ref="L26">IF($K26="","", IFERROR(IFS($K26="Low", INDEX('Lookups - Complexity'!$C:$C, MATCH($B26, 'Lookups - Complexity'!$B:$B,0)), $K26="Medium", INDEX('Lookups - Complexity'!$D:$D, MATCH($B26, 'Lookups - Complexity'!$B:$B,0)), $K26="High", INDEX('Lookups - Complexity'!$E:$E, MATCH($B26, 'Lookups - Complexity'!$B:$B,0))), ""))</f>
        <v/>
      </c>
      <c r="M26" s="11">
        <f>IF($I26="FTE", Assumptions!$B$3, "")</f>
        <v/>
      </c>
      <c r="N26" s="11">
        <f t="array" ref="N26">IFERROR(INDEX(Milestones!$F:$F, MATCH($B26, Milestones!$B:$B, 0)), "")</f>
        <v/>
      </c>
      <c r="O26" s="11">
        <f t="array" ref="O26">IFERROR(INDEX(Milestones!$G:$G, MATCH($B26, Milestones!$B:$B, 0)), "")</f>
        <v/>
      </c>
      <c r="P26" s="11">
        <f t="array" ref="P26">IFERROR(INDEX('Lookups - Rates'!$D:$D, MATCH($G26&amp;"|"&amp;$H26, 'Lookups - Rates'!$Z:$Z, 0)), "")</f>
        <v/>
      </c>
      <c r="Q26" s="11">
        <f t="array" ref="Q26">IFERROR(INDEX('Lookups - Rates'!$E:$E, MATCH($G26&amp;"|"&amp;$H26, 'Lookups - Rates'!$Z:$Z, 0)), "")</f>
        <v/>
      </c>
      <c r="R26" s="11">
        <f>LET(ev,$J26, ch,$L26, hr,$P26, dr,$Q26, hpday,Assumptions!$B$2, hpw,Assumptions!$B$3, w,$M26, hrs, IF($I26="Hours", ev, IF($I26="Days", ev*IF(dr&gt;0, dr/hr, hpday), IF($I26="FTE", ev*hpw*w, ch))), IF(hrs="", "", hrs*hr))</f>
        <v/>
      </c>
      <c r="S26" s="13" t="n"/>
      <c r="T26" s="11">
        <f t="array" ref="T26">XLOOKUP(Scenario_Selected, INDEX(Scenario_Table,0,1), INDEX(Scenario_Table,0,2))</f>
        <v/>
      </c>
      <c r="U26" s="11">
        <f t="array" ref="U26">XLOOKUP(Scenario_Selected, INDEX(Scenario_Table,0,1), INDEX(Scenario_Table,0,3))</f>
        <v/>
      </c>
      <c r="V26" s="11">
        <f t="array" ref="V26">XLOOKUP(Scenario_Selected, INDEX(Scenario_Table,0,1), INDEX(Scenario_Table,0,4))</f>
        <v/>
      </c>
      <c r="W26" s="11">
        <f t="array" ref="W26">LET(ev,$J26, ch,$L26, et,$I26, dr,$Q26, hpday,Assumptions!$B$2, hpw,Assumptions!$B$3, w,$M26,hm,INDIRECT("R[0]C[0]",FALSE),hrs, IF(et="Hours", ev, IF(et="Days", ev*IF(dr&gt;0, dr/$P26, hpday), IF(et="FTE", ev*hpw*w, ch))), IF(hrs="", "", hrs*hm))</f>
        <v/>
      </c>
      <c r="X26" s="11">
        <f>IF($P26="","", $P26*INDIRECT("R[0]C[-3]",FALSE))</f>
        <v/>
      </c>
      <c r="Y26" s="11">
        <f>IF(INDIRECT("R[0]C[-1]",FALSE)="","", INDIRECT("R[0]C[-2]",FALSE)*INDIRECT("R[0]C[-1]",FALSE)*(1+INDIRECT("R[0]C[-3]",FALSE)))</f>
        <v/>
      </c>
      <c r="Z26" s="13" t="n"/>
    </row>
    <row r="27" ht="15.75" customHeight="1" s="74">
      <c r="A27" s="11" t="n">
        <v>26</v>
      </c>
      <c r="B27" s="10" t="inlineStr">
        <is>
          <t>Final UAT &amp; Stakeholder Acceptance</t>
        </is>
      </c>
      <c r="C27" s="11">
        <f t="array" ref="C27">IFERROR(INDEX(Milestones!$A:$A, MATCH($B27, Milestones!$B:$B, 0)), "")</f>
        <v/>
      </c>
      <c r="D27" s="11">
        <f t="array" ref="D27">IFERROR(INDEX(Milestones!$C:$C, MATCH($B27, Milestones!$B:$B, 0)), "")</f>
        <v/>
      </c>
      <c r="E27" s="11" t="inlineStr">
        <is>
          <t>Conduct final user acceptance testing with pilot teams; log and triage known issues before launch.</t>
        </is>
      </c>
      <c r="F27" s="11">
        <f t="array" ref="F27">IFERROR(INDEX(Milestones!$E:$E, MATCH($B27, Milestones!$B:$B, 0)), "")</f>
        <v/>
      </c>
      <c r="G27" s="11" t="inlineStr">
        <is>
          <t>Knapsack</t>
        </is>
      </c>
      <c r="H27" s="11">
        <f t="array" ref="H27">IFERROR(INDEX(Milestones!$E:$E, MATCH($B27, Milestones!$B:$B, 0)), "")</f>
        <v/>
      </c>
      <c r="I27" s="11" t="inlineStr">
        <is>
          <t>FTE</t>
        </is>
      </c>
      <c r="J27" s="20" t="n">
        <v>0.025</v>
      </c>
      <c r="K27" s="11" t="inlineStr">
        <is>
          <t>Medium</t>
        </is>
      </c>
      <c r="L27" s="11">
        <f t="array" ref="L27">IF($K27="","", IFERROR(IFS($K27="Low", INDEX('Lookups - Complexity'!$C:$C, MATCH($B27, 'Lookups - Complexity'!$B:$B,0)), $K27="Medium", INDEX('Lookups - Complexity'!$D:$D, MATCH($B27, 'Lookups - Complexity'!$B:$B,0)), $K27="High", INDEX('Lookups - Complexity'!$E:$E, MATCH($B27, 'Lookups - Complexity'!$B:$B,0))), ""))</f>
        <v/>
      </c>
      <c r="M27" s="11">
        <f>IF($I27="FTE", Assumptions!$B$3, "")</f>
        <v/>
      </c>
      <c r="N27" s="11">
        <f t="array" ref="N27">IFERROR(INDEX(Milestones!$F:$F, MATCH($B27, Milestones!$B:$B, 0)), "")</f>
        <v/>
      </c>
      <c r="O27" s="11">
        <f t="array" ref="O27">IFERROR(INDEX(Milestones!$G:$G, MATCH($B27, Milestones!$B:$B, 0)), "")</f>
        <v/>
      </c>
      <c r="P27" s="11">
        <f t="array" ref="P27">IFERROR(INDEX('Lookups - Rates'!$D:$D, MATCH($G27&amp;"|"&amp;$H27, 'Lookups - Rates'!$Z:$Z, 0)), "")</f>
        <v/>
      </c>
      <c r="Q27" s="11">
        <f t="array" ref="Q27">IFERROR(INDEX('Lookups - Rates'!$E:$E, MATCH($G27&amp;"|"&amp;$H27, 'Lookups - Rates'!$Z:$Z, 0)), "")</f>
        <v/>
      </c>
      <c r="R27" s="11">
        <f>LET(ev,$J27, ch,$L27, hr,$P27, dr,$Q27, hpday,Assumptions!$B$2, hpw,Assumptions!$B$3, w,$M27, hrs, IF($I27="Hours", ev, IF($I27="Days", ev*IF(dr&gt;0, dr/hr, hpday), IF($I27="FTE", ev*hpw*w, ch))), IF(hrs="", "", hrs*hr))</f>
        <v/>
      </c>
      <c r="S27" s="13" t="n"/>
      <c r="T27" s="11">
        <f t="array" ref="T27">XLOOKUP(Scenario_Selected, INDEX(Scenario_Table,0,1), INDEX(Scenario_Table,0,2))</f>
        <v/>
      </c>
      <c r="U27" s="11">
        <f t="array" ref="U27">XLOOKUP(Scenario_Selected, INDEX(Scenario_Table,0,1), INDEX(Scenario_Table,0,3))</f>
        <v/>
      </c>
      <c r="V27" s="11">
        <f t="array" ref="V27">XLOOKUP(Scenario_Selected, INDEX(Scenario_Table,0,1), INDEX(Scenario_Table,0,4))</f>
        <v/>
      </c>
      <c r="W27" s="11">
        <f t="array" ref="W27">LET(ev,$J27, ch,$L27, et,$I27, dr,$Q27, hpday,Assumptions!$B$2, hpw,Assumptions!$B$3, w,$M27,hm,INDIRECT("R[0]C[0]",FALSE),hrs, IF(et="Hours", ev, IF(et="Days", ev*IF(dr&gt;0, dr/$P27, hpday), IF(et="FTE", ev*hpw*w, ch))), IF(hrs="", "", hrs*hm))</f>
        <v/>
      </c>
      <c r="X27" s="11">
        <f>IF($P27="","", $P27*INDIRECT("R[0]C[-3]",FALSE))</f>
        <v/>
      </c>
      <c r="Y27" s="11">
        <f>IF(INDIRECT("R[0]C[-1]",FALSE)="","", INDIRECT("R[0]C[-2]",FALSE)*INDIRECT("R[0]C[-1]",FALSE)*(1+INDIRECT("R[0]C[-3]",FALSE)))</f>
        <v/>
      </c>
      <c r="Z27" s="13" t="inlineStr">
        <is>
          <t xml:space="preserve">Shared Responsibility. Adobe is Accountable for authoring the test scripts, identifying the UAT participants, and ensuring that timelines are kept, and Knapsack FDE is Responsible to ensure that bug/fixes are prioritized and addresssed. </t>
        </is>
      </c>
    </row>
    <row r="28" ht="15.75" customHeight="1" s="74">
      <c r="A28" s="16" t="n">
        <v>27</v>
      </c>
      <c r="B28" s="15" t="inlineStr">
        <is>
          <t>Change Impact Analysis</t>
        </is>
      </c>
      <c r="C28" s="16">
        <f t="array" ref="C28">IFERROR(INDEX(Milestones!$A:$A, MATCH($B28, Milestones!$B:$B, 0)), "")</f>
        <v/>
      </c>
      <c r="D28" s="16">
        <f t="array" ref="D28">IFERROR(INDEX(Milestones!$C:$C, MATCH($B28, Milestones!$B:$B, 0)), "")</f>
        <v/>
      </c>
      <c r="E28" s="16" t="inlineStr">
        <is>
          <t>Evaluate and manage business unit impacts during scale-up.</t>
        </is>
      </c>
      <c r="F28" s="16">
        <f t="array" ref="F28">IFERROR(INDEX(Milestones!$E:$E, MATCH($B28, Milestones!$B:$B, 0)), "")</f>
        <v/>
      </c>
      <c r="G28" s="16" t="inlineStr">
        <is>
          <t>Knapsack</t>
        </is>
      </c>
      <c r="H28" s="16">
        <f t="array" ref="H28">IFERROR(INDEX(Milestones!$E:$E, MATCH($B28, Milestones!$B:$B, 0)), "")</f>
        <v/>
      </c>
      <c r="I28" s="16" t="inlineStr">
        <is>
          <t>FTE</t>
        </is>
      </c>
      <c r="J28" s="17" t="n">
        <v>0.05</v>
      </c>
      <c r="K28" s="16" t="inlineStr">
        <is>
          <t>High</t>
        </is>
      </c>
      <c r="L28" s="16">
        <f t="array" ref="L28">IF($K28="","", IFERROR(IFS($K28="Low", INDEX('Lookups - Complexity'!$C:$C, MATCH($B28, 'Lookups - Complexity'!$B:$B,0)), $K28="Medium", INDEX('Lookups - Complexity'!$D:$D, MATCH($B28, 'Lookups - Complexity'!$B:$B,0)), $K28="High", INDEX('Lookups - Complexity'!$E:$E, MATCH($B28, 'Lookups - Complexity'!$B:$B,0))), ""))</f>
        <v/>
      </c>
      <c r="M28" s="16">
        <f>IF($I28="FTE", Assumptions!$B$3, "")</f>
        <v/>
      </c>
      <c r="N28" s="16">
        <f t="array" ref="N28">IFERROR(INDEX(Milestones!$F:$F, MATCH($B28, Milestones!$B:$B, 0)), "")</f>
        <v/>
      </c>
      <c r="O28" s="16">
        <f t="array" ref="O28">IFERROR(INDEX(Milestones!$G:$G, MATCH($B28, Milestones!$B:$B, 0)), "")</f>
        <v/>
      </c>
      <c r="P28" s="16">
        <f t="array" ref="P28">IFERROR(INDEX('Lookups - Rates'!$D:$D, MATCH($G28&amp;"|"&amp;$H28, 'Lookups - Rates'!$Z:$Z, 0)), "")</f>
        <v/>
      </c>
      <c r="Q28" s="16">
        <f t="array" ref="Q28">IFERROR(INDEX('Lookups - Rates'!$E:$E, MATCH($G28&amp;"|"&amp;$H28, 'Lookups - Rates'!$Z:$Z, 0)), "")</f>
        <v/>
      </c>
      <c r="R28" s="16">
        <f>LET(ev,$J28, ch,$L28, hr,$P28, dr,$Q28, hpday,Assumptions!$B$2, hpw,Assumptions!$B$3, w,$M28, hrs, IF($I28="Hours", ev, IF($I28="Days", ev*IF(dr&gt;0, dr/hr, hpday), IF($I28="FTE", ev*hpw*w, ch))), IF(hrs="", "", hrs*hr))</f>
        <v/>
      </c>
      <c r="S28" s="19" t="n"/>
      <c r="T28" s="16">
        <f t="array" ref="T28">XLOOKUP(Scenario_Selected, INDEX(Scenario_Table,0,1), INDEX(Scenario_Table,0,2))</f>
        <v/>
      </c>
      <c r="U28" s="16">
        <f t="array" ref="U28">XLOOKUP(Scenario_Selected, INDEX(Scenario_Table,0,1), INDEX(Scenario_Table,0,3))</f>
        <v/>
      </c>
      <c r="V28" s="16">
        <f t="array" ref="V28">XLOOKUP(Scenario_Selected, INDEX(Scenario_Table,0,1), INDEX(Scenario_Table,0,4))</f>
        <v/>
      </c>
      <c r="W28" s="16">
        <f t="array" ref="W28">LET(ev,$J28, ch,$L28, et,$I28, dr,$Q28, hpday,Assumptions!$B$2, hpw,Assumptions!$B$3, w,$M28,hm,INDIRECT("R[0]C[0]",FALSE),hrs, IF(et="Hours", ev, IF(et="Days", ev*IF(dr&gt;0, dr/$P28, hpday), IF(et="FTE", ev*hpw*w, ch))), IF(hrs="", "", hrs*hm))</f>
        <v/>
      </c>
      <c r="X28" s="16">
        <f>IF($P28="","", $P28*INDIRECT("R[0]C[-3]",FALSE))</f>
        <v/>
      </c>
      <c r="Y28" s="16">
        <f>IF(INDIRECT("R[0]C[-1]",FALSE)="","", INDIRECT("R[0]C[-2]",FALSE)*INDIRECT("R[0]C[-1]",FALSE)*(1+INDIRECT("R[0]C[-3]",FALSE)))</f>
        <v/>
      </c>
      <c r="Z28" s="19" t="inlineStr">
        <is>
          <t>Knapsack CX Partner will sit on the Steering Committee to provide coaching for all Activities that Adobe is ACCOUNTABLE for (Column G) where KS Roles are typically in delivery (Column H) to be reflected in the Steering Committe/Governance Model + RACI</t>
        </is>
      </c>
      <c r="AA28" s="16" t="n"/>
    </row>
    <row r="29" ht="15.75" customHeight="1" s="74">
      <c r="A29" s="11" t="n">
        <v>28</v>
      </c>
      <c r="B29" s="10" t="inlineStr">
        <is>
          <t>Adoption Acceleration Campaign</t>
        </is>
      </c>
      <c r="C29" s="11">
        <f t="array" ref="C29">IFERROR(INDEX(Milestones!$A:$A, MATCH($B29, Milestones!$B:$B, 0)), "")</f>
        <v/>
      </c>
      <c r="D29" s="11">
        <f t="array" ref="D29">IFERROR(INDEX(Milestones!$C:$C, MATCH($B29, Milestones!$B:$B, 0)), "")</f>
        <v/>
      </c>
      <c r="E29" s="11" t="inlineStr">
        <is>
          <t>Promote awareness and highlight early success stories to drive adoption.</t>
        </is>
      </c>
      <c r="F29" s="11">
        <f t="array" ref="F29">IFERROR(INDEX(Milestones!$E:$E, MATCH($B29, Milestones!$B:$B, 0)), "")</f>
        <v/>
      </c>
      <c r="G29" s="11" t="inlineStr">
        <is>
          <t>Adobe</t>
        </is>
      </c>
      <c r="H29" s="11" t="inlineStr">
        <is>
          <t>Adobe</t>
        </is>
      </c>
      <c r="I29" s="11" t="inlineStr">
        <is>
          <t>FTE</t>
        </is>
      </c>
      <c r="J29" s="20" t="n">
        <v>0.05</v>
      </c>
      <c r="K29" s="11" t="inlineStr">
        <is>
          <t>High</t>
        </is>
      </c>
      <c r="L29" s="11">
        <f t="array" ref="L29">IF($K29="","", IFERROR(IFS($K29="Low", INDEX('Lookups - Complexity'!$C:$C, MATCH($B29, 'Lookups - Complexity'!$B:$B,0)), $K29="Medium", INDEX('Lookups - Complexity'!$D:$D, MATCH($B29, 'Lookups - Complexity'!$B:$B,0)), $K29="High", INDEX('Lookups - Complexity'!$E:$E, MATCH($B29, 'Lookups - Complexity'!$B:$B,0))), ""))</f>
        <v/>
      </c>
      <c r="M29" s="11">
        <f>IF($I29="FTE", Assumptions!$B$3, "")</f>
        <v/>
      </c>
      <c r="N29" s="11">
        <f t="array" ref="N29">IFERROR(INDEX(Milestones!$F:$F, MATCH($B29, Milestones!$B:$B, 0)), "")</f>
        <v/>
      </c>
      <c r="O29" s="11">
        <f t="array" ref="O29">IFERROR(INDEX(Milestones!$G:$G, MATCH($B29, Milestones!$B:$B, 0)), "")</f>
        <v/>
      </c>
      <c r="P29" s="11">
        <f t="array" ref="P29">IFERROR(INDEX('Lookups - Rates'!$D:$D, MATCH($G29&amp;"|"&amp;$H29, 'Lookups - Rates'!$Z:$Z, 0)), "")</f>
        <v/>
      </c>
      <c r="Q29" s="11">
        <f t="array" ref="Q29">IFERROR(INDEX('Lookups - Rates'!$E:$E, MATCH($G29&amp;"|"&amp;$H29, 'Lookups - Rates'!$Z:$Z, 0)), "")</f>
        <v/>
      </c>
      <c r="R29" s="11">
        <f>LET(ev,$J29, ch,$L29, hr,$P29, dr,$Q29, hpday,Assumptions!$B$2, hpw,Assumptions!$B$3, w,$M29, hrs, IF($I29="Hours", ev, IF($I29="Days", ev*IF(dr&gt;0, dr/hr, hpday), IF($I29="FTE", ev*hpw*w, ch))), IF(hrs="", "", hrs*hr))</f>
        <v/>
      </c>
      <c r="S29" s="13" t="n"/>
      <c r="T29" s="11">
        <f t="array" ref="T29">XLOOKUP(Scenario_Selected, INDEX(Scenario_Table,0,1), INDEX(Scenario_Table,0,2))</f>
        <v/>
      </c>
      <c r="U29" s="11">
        <f t="array" ref="U29">XLOOKUP(Scenario_Selected, INDEX(Scenario_Table,0,1), INDEX(Scenario_Table,0,3))</f>
        <v/>
      </c>
      <c r="V29" s="11">
        <f t="array" ref="V29">XLOOKUP(Scenario_Selected, INDEX(Scenario_Table,0,1), INDEX(Scenario_Table,0,4))</f>
        <v/>
      </c>
      <c r="W29" s="11">
        <f t="array" ref="W29">LET(ev,$J29, ch,$L29, et,$I29, dr,$Q29, hpday,Assumptions!$B$2, hpw,Assumptions!$B$3, w,$M29,hm,INDIRECT("R[0]C[0]",FALSE),hrs, IF(et="Hours", ev, IF(et="Days", ev*IF(dr&gt;0, dr/$P29, hpday), IF(et="FTE", ev*hpw*w, ch))), IF(hrs="", "", hrs*hm))</f>
        <v/>
      </c>
      <c r="X29" s="11">
        <f>IF($P29="","", $P29*INDIRECT("R[0]C[-3]",FALSE))</f>
        <v/>
      </c>
      <c r="Y29" s="11">
        <f>IF(INDIRECT("R[0]C[-1]",FALSE)="","", INDIRECT("R[0]C[-2]",FALSE)*INDIRECT("R[0]C[-1]",FALSE)*(1+INDIRECT("R[0]C[-3]",FALSE)))</f>
        <v/>
      </c>
      <c r="Z29" s="13" t="n"/>
    </row>
    <row r="30" ht="15.75" customHeight="1" s="74">
      <c r="A30" s="11" t="n">
        <v>29</v>
      </c>
      <c r="B30" s="10" t="inlineStr">
        <is>
          <t>Partner Enablement &amp; Recognition</t>
        </is>
      </c>
      <c r="C30" s="11">
        <f t="array" ref="C30">IFERROR(INDEX(Milestones!$A:$A, MATCH($B30, Milestones!$B:$B, 0)), "")</f>
        <v/>
      </c>
      <c r="D30" s="11">
        <f t="array" ref="D30">IFERROR(INDEX(Milestones!$C:$C, MATCH($B30, Milestones!$B:$B, 0)), "")</f>
        <v/>
      </c>
      <c r="E30" s="11" t="inlineStr">
        <is>
          <t>Drive engagement through recognition and contribution metrics.</t>
        </is>
      </c>
      <c r="F30" s="11">
        <f t="array" ref="F30">IFERROR(INDEX(Milestones!$E:$E, MATCH($B30, Milestones!$B:$B, 0)), "")</f>
        <v/>
      </c>
      <c r="G30" s="11" t="inlineStr">
        <is>
          <t>Adobe</t>
        </is>
      </c>
      <c r="H30" s="11" t="inlineStr">
        <is>
          <t>Adobe</t>
        </is>
      </c>
      <c r="I30" s="11" t="inlineStr">
        <is>
          <t>FTE</t>
        </is>
      </c>
      <c r="J30" s="20" t="n">
        <v>0.05</v>
      </c>
      <c r="K30" s="11" t="inlineStr">
        <is>
          <t>High</t>
        </is>
      </c>
      <c r="L30" s="11">
        <f t="array" ref="L30">IF($K30="","", IFERROR(IFS($K30="Low", INDEX('Lookups - Complexity'!$C:$C, MATCH($B30, 'Lookups - Complexity'!$B:$B,0)), $K30="Medium", INDEX('Lookups - Complexity'!$D:$D, MATCH($B30, 'Lookups - Complexity'!$B:$B,0)), $K30="High", INDEX('Lookups - Complexity'!$E:$E, MATCH($B30, 'Lookups - Complexity'!$B:$B,0))), ""))</f>
        <v/>
      </c>
      <c r="M30" s="11">
        <f>IF($I30="FTE", Assumptions!$B$3, "")</f>
        <v/>
      </c>
      <c r="N30" s="11">
        <f t="array" ref="N30">IFERROR(INDEX(Milestones!$F:$F, MATCH($B30, Milestones!$B:$B, 0)), "")</f>
        <v/>
      </c>
      <c r="O30" s="11">
        <f t="array" ref="O30">IFERROR(INDEX(Milestones!$G:$G, MATCH($B30, Milestones!$B:$B, 0)), "")</f>
        <v/>
      </c>
      <c r="P30" s="11">
        <f t="array" ref="P30">IFERROR(INDEX('Lookups - Rates'!$D:$D, MATCH($G30&amp;"|"&amp;$H30, 'Lookups - Rates'!$Z:$Z, 0)), "")</f>
        <v/>
      </c>
      <c r="Q30" s="11">
        <f t="array" ref="Q30">IFERROR(INDEX('Lookups - Rates'!$E:$E, MATCH($G30&amp;"|"&amp;$H30, 'Lookups - Rates'!$Z:$Z, 0)), "")</f>
        <v/>
      </c>
      <c r="R30" s="11">
        <f>LET(ev,$J30, ch,$L30, hr,$P30, dr,$Q30, hpday,Assumptions!$B$2, hpw,Assumptions!$B$3, w,$M30, hrs, IF($I30="Hours", ev, IF($I30="Days", ev*IF(dr&gt;0, dr/hr, hpday), IF($I30="FTE", ev*hpw*w, ch))), IF(hrs="", "", hrs*hr))</f>
        <v/>
      </c>
      <c r="S30" s="13" t="n"/>
      <c r="T30" s="11">
        <f t="array" ref="T30">XLOOKUP(Scenario_Selected, INDEX(Scenario_Table,0,1), INDEX(Scenario_Table,0,2))</f>
        <v/>
      </c>
      <c r="U30" s="11">
        <f t="array" ref="U30">XLOOKUP(Scenario_Selected, INDEX(Scenario_Table,0,1), INDEX(Scenario_Table,0,3))</f>
        <v/>
      </c>
      <c r="V30" s="11">
        <f t="array" ref="V30">XLOOKUP(Scenario_Selected, INDEX(Scenario_Table,0,1), INDEX(Scenario_Table,0,4))</f>
        <v/>
      </c>
      <c r="W30" s="11">
        <f t="array" ref="W30">LET(ev,$J30, ch,$L30, et,$I30, dr,$Q30, hpday,Assumptions!$B$2, hpw,Assumptions!$B$3, w,$M30,hm,INDIRECT("R[0]C[0]",FALSE),hrs, IF(et="Hours", ev, IF(et="Days", ev*IF(dr&gt;0, dr/$P30, hpday), IF(et="FTE", ev*hpw*w, ch))), IF(hrs="", "", hrs*hm))</f>
        <v/>
      </c>
      <c r="X30" s="11">
        <f>IF($P30="","", $P30*INDIRECT("R[0]C[-3]",FALSE))</f>
        <v/>
      </c>
      <c r="Y30" s="11">
        <f>IF(INDIRECT("R[0]C[-1]",FALSE)="","", INDIRECT("R[0]C[-2]",FALSE)*INDIRECT("R[0]C[-1]",FALSE)*(1+INDIRECT("R[0]C[-3]",FALSE)))</f>
        <v/>
      </c>
      <c r="Z30" s="13" t="n"/>
    </row>
    <row r="31" ht="15.75" customHeight="1" s="74">
      <c r="A31" s="11" t="n">
        <v>30</v>
      </c>
      <c r="B31" s="10" t="inlineStr">
        <is>
          <t>Transition support</t>
        </is>
      </c>
      <c r="C31" s="11">
        <f t="array" ref="C31">IFERROR(INDEX(Milestones!$A:$A, MATCH($B31, Milestones!$B:$B, 0)), "")</f>
        <v/>
      </c>
      <c r="D31" s="11">
        <f t="array" ref="D31">IFERROR(INDEX(Milestones!$C:$C, MATCH($B31, Milestones!$B:$B, 0)), "")</f>
        <v/>
      </c>
      <c r="E31" s="11" t="inlineStr">
        <is>
          <t>Continuous improvement plan with analytics and recommendations</t>
        </is>
      </c>
      <c r="F31" s="11">
        <f t="array" ref="F31">IFERROR(INDEX(Milestones!$E:$E, MATCH($B31, Milestones!$B:$B, 0)), "")</f>
        <v/>
      </c>
      <c r="G31" s="11" t="inlineStr">
        <is>
          <t>Knapsack</t>
        </is>
      </c>
      <c r="H31" s="11">
        <f t="array" ref="H31">IFERROR(INDEX(Milestones!$E:$E, MATCH($B31, Milestones!$B:$B, 0)), "")</f>
        <v/>
      </c>
      <c r="I31" s="11" t="inlineStr">
        <is>
          <t>FTE</t>
        </is>
      </c>
      <c r="J31" s="20" t="n">
        <v>0.025</v>
      </c>
      <c r="K31" s="11" t="inlineStr">
        <is>
          <t>Low</t>
        </is>
      </c>
      <c r="L31" s="11">
        <f t="array" ref="L31">IF($K31="","", IFERROR(IFS($K31="Low", INDEX('Lookups - Complexity'!$C:$C, MATCH($B31, 'Lookups - Complexity'!$B:$B,0)), $K31="Medium", INDEX('Lookups - Complexity'!$D:$D, MATCH($B31, 'Lookups - Complexity'!$B:$B,0)), $K31="High", INDEX('Lookups - Complexity'!$E:$E, MATCH($B31, 'Lookups - Complexity'!$B:$B,0))), ""))</f>
        <v/>
      </c>
      <c r="M31" s="11">
        <f>IF($I31="FTE", Assumptions!$B$3, "")</f>
        <v/>
      </c>
      <c r="N31" s="11">
        <f t="array" ref="N31">IFERROR(INDEX(Milestones!$F:$F, MATCH($B31, Milestones!$B:$B, 0)), "")</f>
        <v/>
      </c>
      <c r="O31" s="11">
        <f t="array" ref="O31">IFERROR(INDEX(Milestones!$G:$G, MATCH($B31, Milestones!$B:$B, 0)), "")</f>
        <v/>
      </c>
      <c r="P31" s="11">
        <f t="array" ref="P31">IFERROR(INDEX('Lookups - Rates'!$D:$D, MATCH($G31&amp;"|"&amp;$H31, 'Lookups - Rates'!$Z:$Z, 0)), "")</f>
        <v/>
      </c>
      <c r="Q31" s="11">
        <f t="array" ref="Q31">IFERROR(INDEX('Lookups - Rates'!$E:$E, MATCH($G31&amp;"|"&amp;$H31, 'Lookups - Rates'!$Z:$Z, 0)), "")</f>
        <v/>
      </c>
      <c r="R31" s="11">
        <f>LET(ev,$J31, ch,$L31, hr,$P31, dr,$Q31, hpday,Assumptions!$B$2, hpw,Assumptions!$B$3, w,$M31, hrs, IF($I31="Hours", ev, IF($I31="Days", ev*IF(dr&gt;0, dr/hr, hpday), IF($I31="FTE", ev*hpw*w, ch))), IF(hrs="", "", hrs*hr))</f>
        <v/>
      </c>
      <c r="S31" s="13" t="n"/>
      <c r="T31" s="11">
        <f t="array" ref="T31">XLOOKUP(Scenario_Selected, INDEX(Scenario_Table,0,1), INDEX(Scenario_Table,0,2))</f>
        <v/>
      </c>
      <c r="U31" s="11">
        <f t="array" ref="U31">XLOOKUP(Scenario_Selected, INDEX(Scenario_Table,0,1), INDEX(Scenario_Table,0,3))</f>
        <v/>
      </c>
      <c r="V31" s="11">
        <f t="array" ref="V31">XLOOKUP(Scenario_Selected, INDEX(Scenario_Table,0,1), INDEX(Scenario_Table,0,4))</f>
        <v/>
      </c>
      <c r="W31" s="11">
        <f t="array" ref="W31">LET(ev,$J31, ch,$L31, et,$I31, dr,$Q31, hpday,Assumptions!$B$2, hpw,Assumptions!$B$3, w,$M31,hm,INDIRECT("R[0]C[0]",FALSE),hrs, IF(et="Hours", ev, IF(et="Days", ev*IF(dr&gt;0, dr/$P31, hpday), IF(et="FTE", ev*hpw*w, ch))), IF(hrs="", "", hrs*hm))</f>
        <v/>
      </c>
      <c r="X31" s="11">
        <f>IF($P31="","", $P31*INDIRECT("R[0]C[-3]",FALSE))</f>
        <v/>
      </c>
      <c r="Y31" s="11">
        <f>IF(INDIRECT("R[0]C[-1]",FALSE)="","", INDIRECT("R[0]C[-2]",FALSE)*INDIRECT("R[0]C[-1]",FALSE)*(1+INDIRECT("R[0]C[-3]",FALSE)))</f>
        <v/>
      </c>
      <c r="Z31" s="13" t="n"/>
    </row>
    <row r="32" ht="15.75" customHeight="1" s="74">
      <c r="A32" s="11" t="n">
        <v>31</v>
      </c>
      <c r="B32" s="10" t="inlineStr">
        <is>
          <t>Cutover Execution</t>
        </is>
      </c>
      <c r="C32" s="11">
        <f t="array" ref="C32">IFERROR(INDEX(Milestones!$A:$A, MATCH($B32, Milestones!$B:$B, 0)), "")</f>
        <v/>
      </c>
      <c r="D32" s="11">
        <f t="array" ref="D32">IFERROR(INDEX(Milestones!$C:$C, MATCH($B32, Milestones!$B:$B, 0)), "")</f>
        <v/>
      </c>
      <c r="E32" s="11" t="inlineStr">
        <is>
          <t>Execute production deployment; validate access controls, deployment integrity, and service health.</t>
        </is>
      </c>
      <c r="F32" s="11">
        <f t="array" ref="F32">IFERROR(INDEX(Milestones!$E:$E, MATCH($B32, Milestones!$B:$B, 0)), "")</f>
        <v/>
      </c>
      <c r="G32" s="11" t="inlineStr">
        <is>
          <t>Knapsack</t>
        </is>
      </c>
      <c r="H32" s="11">
        <f t="array" ref="H32">IFERROR(INDEX(Milestones!$E:$E, MATCH($B32, Milestones!$B:$B, 0)), "")</f>
        <v/>
      </c>
      <c r="I32" s="11" t="inlineStr">
        <is>
          <t>FTE</t>
        </is>
      </c>
      <c r="J32" s="20" t="n">
        <v>0.05</v>
      </c>
      <c r="K32" s="11" t="inlineStr">
        <is>
          <t>Low</t>
        </is>
      </c>
      <c r="L32" s="11">
        <f t="array" ref="L32">IF($K32="","", IFERROR(IFS($K32="Low", INDEX('Lookups - Complexity'!$C:$C, MATCH($B32, 'Lookups - Complexity'!$B:$B,0)), $K32="Medium", INDEX('Lookups - Complexity'!$D:$D, MATCH($B32, 'Lookups - Complexity'!$B:$B,0)), $K32="High", INDEX('Lookups - Complexity'!$E:$E, MATCH($B32, 'Lookups - Complexity'!$B:$B,0))), ""))</f>
        <v/>
      </c>
      <c r="M32" s="11">
        <f>IF($I32="FTE", Assumptions!$B$3, "")</f>
        <v/>
      </c>
      <c r="N32" s="11">
        <f t="array" ref="N32">IFERROR(INDEX(Milestones!$F:$F, MATCH($B32, Milestones!$B:$B, 0)), "")</f>
        <v/>
      </c>
      <c r="O32" s="11">
        <f t="array" ref="O32">IFERROR(INDEX(Milestones!$G:$G, MATCH($B32, Milestones!$B:$B, 0)), "")</f>
        <v/>
      </c>
      <c r="P32" s="11">
        <f t="array" ref="P32">IFERROR(INDEX('Lookups - Rates'!$D:$D, MATCH($G32&amp;"|"&amp;$H32, 'Lookups - Rates'!$Z:$Z, 0)), "")</f>
        <v/>
      </c>
      <c r="Q32" s="11">
        <f t="array" ref="Q32">IFERROR(INDEX('Lookups - Rates'!$E:$E, MATCH($G32&amp;"|"&amp;$H32, 'Lookups - Rates'!$Z:$Z, 0)), "")</f>
        <v/>
      </c>
      <c r="R32" s="11">
        <f>LET(ev,$J32, ch,$L32, hr,$P32, dr,$Q32, hpday,Assumptions!$B$2, hpw,Assumptions!$B$3, w,$M32, hrs, IF($I32="Hours", ev, IF($I32="Days", ev*IF(dr&gt;0, dr/hr, hpday), IF($I32="FTE", ev*hpw*w, ch))), IF(hrs="", "", hrs*hr))</f>
        <v/>
      </c>
      <c r="S32" s="13" t="n"/>
      <c r="T32" s="11">
        <f t="array" ref="T32">XLOOKUP(Scenario_Selected, INDEX(Scenario_Table,0,1), INDEX(Scenario_Table,0,2))</f>
        <v/>
      </c>
      <c r="U32" s="11">
        <f t="array" ref="U32">XLOOKUP(Scenario_Selected, INDEX(Scenario_Table,0,1), INDEX(Scenario_Table,0,3))</f>
        <v/>
      </c>
      <c r="V32" s="11">
        <f t="array" ref="V32">XLOOKUP(Scenario_Selected, INDEX(Scenario_Table,0,1), INDEX(Scenario_Table,0,4))</f>
        <v/>
      </c>
      <c r="W32" s="11">
        <f t="array" ref="W32">LET(ev,$J32, ch,$L32, et,$I32, dr,$Q32, hpday,Assumptions!$B$2, hpw,Assumptions!$B$3, w,$M32,hm,INDIRECT("R[0]C[0]",FALSE),hrs, IF(et="Hours", ev, IF(et="Days", ev*IF(dr&gt;0, dr/$P32, hpday), IF(et="FTE", ev*hpw*w, ch))), IF(hrs="", "", hrs*hm))</f>
        <v/>
      </c>
      <c r="X32" s="11">
        <f>IF($P32="","", $P32*INDIRECT("R[0]C[-3]",FALSE))</f>
        <v/>
      </c>
      <c r="Y32" s="11">
        <f>IF(INDIRECT("R[0]C[-1]",FALSE)="","", INDIRECT("R[0]C[-2]",FALSE)*INDIRECT("R[0]C[-1]",FALSE)*(1+INDIRECT("R[0]C[-3]",FALSE)))</f>
        <v/>
      </c>
      <c r="Z32" s="13" t="n"/>
    </row>
    <row r="33" ht="15.75" customHeight="1" s="74">
      <c r="A33" s="11" t="n">
        <v>32</v>
      </c>
      <c r="B33" s="10" t="inlineStr">
        <is>
          <t>Go-Live Communication Launch</t>
        </is>
      </c>
      <c r="C33" s="11">
        <f t="array" ref="C33">IFERROR(INDEX(Milestones!$A:$A, MATCH($B33, Milestones!$B:$B, 0)), "")</f>
        <v/>
      </c>
      <c r="D33" s="11">
        <f t="array" ref="D33">IFERROR(INDEX(Milestones!$C:$C, MATCH($B33, Milestones!$B:$B, 0)), "")</f>
        <v/>
      </c>
      <c r="E33" s="11" t="inlineStr">
        <is>
          <t>Announce official go-live to stakeholders; provide communication templates and support channels.</t>
        </is>
      </c>
      <c r="F33" s="11">
        <f t="array" ref="F33">IFERROR(INDEX(Milestones!$E:$E, MATCH($B33, Milestones!$B:$B, 0)), "")</f>
        <v/>
      </c>
      <c r="G33" s="11" t="inlineStr">
        <is>
          <t>Adobe</t>
        </is>
      </c>
      <c r="H33" s="11">
        <f t="array" ref="H33">IFERROR(INDEX(Milestones!$E:$E, MATCH($B33, Milestones!$B:$B, 0)), "")</f>
        <v/>
      </c>
      <c r="I33" s="11" t="inlineStr">
        <is>
          <t>FTE</t>
        </is>
      </c>
      <c r="J33" s="20" t="n">
        <v>0.03</v>
      </c>
      <c r="K33" s="11" t="inlineStr">
        <is>
          <t>Medium</t>
        </is>
      </c>
      <c r="L33" s="11">
        <f t="array" ref="L33">IF($K33="","", IFERROR(IFS($K33="Low", INDEX('Lookups - Complexity'!$C:$C, MATCH($B33, 'Lookups - Complexity'!$B:$B,0)), $K33="Medium", INDEX('Lookups - Complexity'!$D:$D, MATCH($B33, 'Lookups - Complexity'!$B:$B,0)), $K33="High", INDEX('Lookups - Complexity'!$E:$E, MATCH($B33, 'Lookups - Complexity'!$B:$B,0))), ""))</f>
        <v/>
      </c>
      <c r="M33" s="11">
        <f>IF($I33="FTE", Assumptions!$B$3, "")</f>
        <v/>
      </c>
      <c r="N33" s="11">
        <f t="array" ref="N33">IFERROR(INDEX(Milestones!$F:$F, MATCH($B33, Milestones!$B:$B, 0)), "")</f>
        <v/>
      </c>
      <c r="O33" s="11">
        <f t="array" ref="O33">IFERROR(INDEX(Milestones!$G:$G, MATCH($B33, Milestones!$B:$B, 0)), "")</f>
        <v/>
      </c>
      <c r="P33" s="11">
        <f t="array" ref="P33">IFERROR(INDEX('Lookups - Rates'!$D:$D, MATCH($G33&amp;"|"&amp;$H33, 'Lookups - Rates'!$Z:$Z, 0)), "")</f>
        <v/>
      </c>
      <c r="Q33" s="11">
        <f t="array" ref="Q33">IFERROR(INDEX('Lookups - Rates'!$E:$E, MATCH($G33&amp;"|"&amp;$H33, 'Lookups - Rates'!$Z:$Z, 0)), "")</f>
        <v/>
      </c>
      <c r="R33" s="11">
        <f>LET(ev,$J33, ch,$L33, hr,$P33, dr,$Q33, hpday,Assumptions!$B$2, hpw,Assumptions!$B$3, w,$M33, hrs, IF($I33="Hours", ev, IF($I33="Days", ev*IF(dr&gt;0, dr/hr, hpday), IF($I33="FTE", ev*hpw*w, ch))), IF(hrs="", "", hrs*hr))</f>
        <v/>
      </c>
      <c r="S33" s="13" t="n"/>
      <c r="T33" s="11">
        <f t="array" ref="T33">XLOOKUP(Scenario_Selected, INDEX(Scenario_Table,0,1), INDEX(Scenario_Table,0,2))</f>
        <v/>
      </c>
      <c r="U33" s="11">
        <f t="array" ref="U33">XLOOKUP(Scenario_Selected, INDEX(Scenario_Table,0,1), INDEX(Scenario_Table,0,3))</f>
        <v/>
      </c>
      <c r="V33" s="11">
        <f t="array" ref="V33">XLOOKUP(Scenario_Selected, INDEX(Scenario_Table,0,1), INDEX(Scenario_Table,0,4))</f>
        <v/>
      </c>
      <c r="W33" s="11">
        <f t="array" ref="W33">LET(ev,$J33, ch,$L33, et,$I33, dr,$Q33, hpday,Assumptions!$B$2, hpw,Assumptions!$B$3, w,$M33,hm,INDIRECT("R[0]C[0]",FALSE),hrs, IF(et="Hours", ev, IF(et="Days", ev*IF(dr&gt;0, dr/$P33, hpday), IF(et="FTE", ev*hpw*w, ch))), IF(hrs="", "", hrs*hm))</f>
        <v/>
      </c>
      <c r="X33" s="11">
        <f>IF($P33="","", $P33*INDIRECT("R[0]C[-3]",FALSE))</f>
        <v/>
      </c>
      <c r="Y33" s="11">
        <f>IF(INDIRECT("R[0]C[-1]",FALSE)="","", INDIRECT("R[0]C[-2]",FALSE)*INDIRECT("R[0]C[-1]",FALSE)*(1+INDIRECT("R[0]C[-3]",FALSE)))</f>
        <v/>
      </c>
      <c r="Z33" s="13" t="n"/>
    </row>
    <row r="34" ht="15.75" customHeight="1" s="74">
      <c r="A34" s="11" t="n">
        <v>33</v>
      </c>
      <c r="B34" s="10" t="inlineStr">
        <is>
          <t>Hypercare Phase (Post-Go-Live Support)</t>
        </is>
      </c>
      <c r="C34" s="11">
        <f t="array" ref="C34">IFERROR(INDEX(Milestones!$A:$A, MATCH($B34, Milestones!$B:$B, 0)), "")</f>
        <v/>
      </c>
      <c r="D34" s="11">
        <f t="array" ref="D34">IFERROR(INDEX(Milestones!$C:$C, MATCH($B34, Milestones!$B:$B, 0)), "")</f>
        <v/>
      </c>
      <c r="E34" s="11" t="inlineStr">
        <is>
          <t>Provide high-touch support for 30–90 days post go-live, track SLAs, and stabilize the system.</t>
        </is>
      </c>
      <c r="F34" s="11">
        <f t="array" ref="F34">IFERROR(INDEX(Milestones!$E:$E, MATCH($B34, Milestones!$B:$B, 0)), "")</f>
        <v/>
      </c>
      <c r="G34" s="11" t="inlineStr">
        <is>
          <t>Knapsack</t>
        </is>
      </c>
      <c r="H34" s="11">
        <f t="array" ref="H34">IFERROR(INDEX(Milestones!$E:$E, MATCH($B34, Milestones!$B:$B, 0)), "")</f>
        <v/>
      </c>
      <c r="I34" s="11" t="inlineStr">
        <is>
          <t>FTE</t>
        </is>
      </c>
      <c r="J34" s="20" t="n">
        <v>0.03</v>
      </c>
      <c r="K34" s="11" t="inlineStr">
        <is>
          <t>Medium</t>
        </is>
      </c>
      <c r="L34" s="11">
        <f t="array" ref="L34">IF($K34="","", IFERROR(IFS($K34="Low", INDEX('Lookups - Complexity'!$C:$C, MATCH($B34, 'Lookups - Complexity'!$B:$B,0)), $K34="Medium", INDEX('Lookups - Complexity'!$D:$D, MATCH($B34, 'Lookups - Complexity'!$B:$B,0)), $K34="High", INDEX('Lookups - Complexity'!$E:$E, MATCH($B34, 'Lookups - Complexity'!$B:$B,0))), ""))</f>
        <v/>
      </c>
      <c r="M34" s="11">
        <f>IF($I34="FTE", Assumptions!$B$3, "")</f>
        <v/>
      </c>
      <c r="N34" s="11">
        <f t="array" ref="N34">IFERROR(INDEX(Milestones!$F:$F, MATCH($B34, Milestones!$B:$B, 0)), "")</f>
        <v/>
      </c>
      <c r="O34" s="11">
        <f t="array" ref="O34">IFERROR(INDEX(Milestones!$G:$G, MATCH($B34, Milestones!$B:$B, 0)), "")</f>
        <v/>
      </c>
      <c r="P34" s="11">
        <f t="array" ref="P34">IFERROR(INDEX('Lookups - Rates'!$D:$D, MATCH($G34&amp;"|"&amp;$H34, 'Lookups - Rates'!$Z:$Z, 0)), "")</f>
        <v/>
      </c>
      <c r="Q34" s="11">
        <f t="array" ref="Q34">IFERROR(INDEX('Lookups - Rates'!$E:$E, MATCH($G34&amp;"|"&amp;$H34, 'Lookups - Rates'!$Z:$Z, 0)), "")</f>
        <v/>
      </c>
      <c r="R34" s="11">
        <f>LET(ev,$J34, ch,$L34, hr,$P34, dr,$Q34, hpday,Assumptions!$B$2, hpw,Assumptions!$B$3, w,$M34, hrs, IF($I34="Hours", ev, IF($I34="Days", ev*IF(dr&gt;0, dr/hr, hpday), IF($I34="FTE", ev*hpw*w, ch))), IF(hrs="", "", hrs*hr))</f>
        <v/>
      </c>
      <c r="S34" s="13" t="n"/>
      <c r="T34" s="11">
        <f t="array" ref="T34">XLOOKUP(Scenario_Selected, INDEX(Scenario_Table,0,1), INDEX(Scenario_Table,0,2))</f>
        <v/>
      </c>
      <c r="U34" s="11">
        <f t="array" ref="U34">XLOOKUP(Scenario_Selected, INDEX(Scenario_Table,0,1), INDEX(Scenario_Table,0,3))</f>
        <v/>
      </c>
      <c r="V34" s="11">
        <f t="array" ref="V34">XLOOKUP(Scenario_Selected, INDEX(Scenario_Table,0,1), INDEX(Scenario_Table,0,4))</f>
        <v/>
      </c>
      <c r="W34" s="11">
        <f t="array" ref="W34">LET(ev,$J34, ch,$L34, et,$I34, dr,$Q34, hpday,Assumptions!$B$2, hpw,Assumptions!$B$3, w,$M34,hm,INDIRECT("R[0]C[0]",FALSE),hrs, IF(et="Hours", ev, IF(et="Days", ev*IF(dr&gt;0, dr/$P34, hpday), IF(et="FTE", ev*hpw*w, ch))), IF(hrs="", "", hrs*hm))</f>
        <v/>
      </c>
      <c r="X34" s="11">
        <f>IF($P34="","", $P34*INDIRECT("R[0]C[-3]",FALSE))</f>
        <v/>
      </c>
      <c r="Y34" s="11">
        <f>IF(INDIRECT("R[0]C[-1]",FALSE)="","", INDIRECT("R[0]C[-2]",FALSE)*INDIRECT("R[0]C[-1]",FALSE)*(1+INDIRECT("R[0]C[-3]",FALSE)))</f>
        <v/>
      </c>
      <c r="Z34" s="13" t="n"/>
    </row>
    <row r="35" ht="15.75" customHeight="1" s="74">
      <c r="A35" s="11" t="n">
        <v>34</v>
      </c>
      <c r="B35" s="10" t="inlineStr">
        <is>
          <t>Post-Implementation Review</t>
        </is>
      </c>
      <c r="C35" s="11">
        <f t="array" ref="C35">IFERROR(INDEX(Milestones!$A:$A, MATCH($B35, Milestones!$B:$B, 0)), "")</f>
        <v/>
      </c>
      <c r="D35" s="11">
        <f t="array" ref="D35">IFERROR(INDEX(Milestones!$C:$C, MATCH($B35, Milestones!$B:$B, 0)), "")</f>
        <v/>
      </c>
      <c r="E35" s="11" t="inlineStr">
        <is>
          <t>Evaluate performance, adoption, and partner satisfaction to inform optimization roadmap.</t>
        </is>
      </c>
      <c r="F35" s="11">
        <f t="array" ref="F35">IFERROR(INDEX(Milestones!$E:$E, MATCH($B35, Milestones!$B:$B, 0)), "")</f>
        <v/>
      </c>
      <c r="G35" s="11" t="inlineStr">
        <is>
          <t>Adobe</t>
        </is>
      </c>
      <c r="H35" s="11">
        <f t="array" ref="H35">IFERROR(INDEX(Milestones!$E:$E, MATCH($B35, Milestones!$B:$B, 0)), "")</f>
        <v/>
      </c>
      <c r="I35" s="11" t="inlineStr">
        <is>
          <t>FTE</t>
        </is>
      </c>
      <c r="J35" s="20" t="n">
        <v>0.03</v>
      </c>
      <c r="K35" s="11" t="inlineStr">
        <is>
          <t>Medium</t>
        </is>
      </c>
      <c r="L35" s="11">
        <f t="array" ref="L35">IF($K35="","", IFERROR(IFS($K35="Low", INDEX('Lookups - Complexity'!$C:$C, MATCH($B35, 'Lookups - Complexity'!$B:$B,0)), $K35="Medium", INDEX('Lookups - Complexity'!$D:$D, MATCH($B35, 'Lookups - Complexity'!$B:$B,0)), $K35="High", INDEX('Lookups - Complexity'!$E:$E, MATCH($B35, 'Lookups - Complexity'!$B:$B,0))), ""))</f>
        <v/>
      </c>
      <c r="M35" s="11">
        <f>IF($I35="FTE", Assumptions!$B$3, "")</f>
        <v/>
      </c>
      <c r="N35" s="11">
        <f t="array" ref="N35">IFERROR(INDEX(Milestones!$F:$F, MATCH($B35, Milestones!$B:$B, 0)), "")</f>
        <v/>
      </c>
      <c r="O35" s="11">
        <f t="array" ref="O35">IFERROR(INDEX(Milestones!$G:$G, MATCH($B35, Milestones!$B:$B, 0)), "")</f>
        <v/>
      </c>
      <c r="P35" s="11">
        <f t="array" ref="P35">IFERROR(INDEX('Lookups - Rates'!$D:$D, MATCH($G35&amp;"|"&amp;$H35, 'Lookups - Rates'!$Z:$Z, 0)), "")</f>
        <v/>
      </c>
      <c r="Q35" s="11">
        <f t="array" ref="Q35">IFERROR(INDEX('Lookups - Rates'!$E:$E, MATCH($G35&amp;"|"&amp;$H35, 'Lookups - Rates'!$Z:$Z, 0)), "")</f>
        <v/>
      </c>
      <c r="R35" s="11">
        <f>LET(ev,$J35, ch,$L35, hr,$P35, dr,$Q35, hpday,Assumptions!$B$2, hpw,Assumptions!$B$3, w,$M35, hrs, IF($I35="Hours", ev, IF($I35="Days", ev*IF(dr&gt;0, dr/hr, hpday), IF($I35="FTE", ev*hpw*w, ch))), IF(hrs="", "", hrs*hr))</f>
        <v/>
      </c>
      <c r="S35" s="13" t="n"/>
      <c r="T35" s="11">
        <f t="array" ref="T35">XLOOKUP(Scenario_Selected, INDEX(Scenario_Table,0,1), INDEX(Scenario_Table,0,2))</f>
        <v/>
      </c>
      <c r="U35" s="11">
        <f t="array" ref="U35">XLOOKUP(Scenario_Selected, INDEX(Scenario_Table,0,1), INDEX(Scenario_Table,0,3))</f>
        <v/>
      </c>
      <c r="V35" s="11">
        <f t="array" ref="V35">XLOOKUP(Scenario_Selected, INDEX(Scenario_Table,0,1), INDEX(Scenario_Table,0,4))</f>
        <v/>
      </c>
      <c r="W35" s="11">
        <f t="array" ref="W35">LET(ev,$J35, ch,$L35, et,$I35, dr,$Q35, hpday,Assumptions!$B$2, hpw,Assumptions!$B$3, w,$M35,hm,INDIRECT("R[0]C[0]",FALSE),hrs, IF(et="Hours", ev, IF(et="Days", ev*IF(dr&gt;0, dr/$P35, hpday), IF(et="FTE", ev*hpw*w, ch))), IF(hrs="", "", hrs*hm))</f>
        <v/>
      </c>
      <c r="X35" s="11">
        <f>IF($P35="","", $P35*INDIRECT("R[0]C[-3]",FALSE))</f>
        <v/>
      </c>
      <c r="Y35" s="11">
        <f>IF(INDIRECT("R[0]C[-1]",FALSE)="","", INDIRECT("R[0]C[-2]",FALSE)*INDIRECT("R[0]C[-1]",FALSE)*(1+INDIRECT("R[0]C[-3]",FALSE)))</f>
        <v/>
      </c>
      <c r="Z35" s="13" t="n"/>
    </row>
    <row r="36" ht="15.75" customHeight="1" s="74">
      <c r="A36" s="11" t="n">
        <v>35</v>
      </c>
      <c r="B36" s="10" t="inlineStr">
        <is>
          <t>Transition to Steady-State Operations</t>
        </is>
      </c>
      <c r="C36" s="11">
        <f t="array" ref="C36">IFERROR(INDEX(Milestones!$A:$A, MATCH($B36, Milestones!$B:$B, 0)), "")</f>
        <v/>
      </c>
      <c r="D36" s="11">
        <f t="array" ref="D36">IFERROR(INDEX(Milestones!$C:$C, MATCH($B36, Milestones!$B:$B, 0)), "")</f>
        <v/>
      </c>
      <c r="E36" s="11" t="inlineStr">
        <is>
          <t>Transition ownership to internal design ops and engineering teams; confirm governance cadence.</t>
        </is>
      </c>
      <c r="F36" s="11">
        <f t="array" ref="F36">IFERROR(INDEX(Milestones!$E:$E, MATCH($B36, Milestones!$B:$B, 0)), "")</f>
        <v/>
      </c>
      <c r="G36" s="11" t="inlineStr">
        <is>
          <t>Adobe</t>
        </is>
      </c>
      <c r="H36" s="11">
        <f t="array" ref="H36">IFERROR(INDEX(Milestones!$E:$E, MATCH($B36, Milestones!$B:$B, 0)), "")</f>
        <v/>
      </c>
      <c r="I36" s="11" t="inlineStr">
        <is>
          <t>FTE</t>
        </is>
      </c>
      <c r="J36" s="20" t="n">
        <v>0.05</v>
      </c>
      <c r="K36" s="11" t="inlineStr">
        <is>
          <t>High</t>
        </is>
      </c>
      <c r="L36" s="11">
        <f t="array" ref="L36">IF($K36="","", IFERROR(IFS($K36="Low", INDEX('Lookups - Complexity'!$C:$C, MATCH($B36, 'Lookups - Complexity'!$B:$B,0)), $K36="Medium", INDEX('Lookups - Complexity'!$D:$D, MATCH($B36, 'Lookups - Complexity'!$B:$B,0)), $K36="High", INDEX('Lookups - Complexity'!$E:$E, MATCH($B36, 'Lookups - Complexity'!$B:$B,0))), ""))</f>
        <v/>
      </c>
      <c r="M36" s="11">
        <f>IF($I36="FTE", Assumptions!$B$3, "")</f>
        <v/>
      </c>
      <c r="N36" s="11">
        <f t="array" ref="N36">IFERROR(INDEX(Milestones!$F:$F, MATCH($B36, Milestones!$B:$B, 0)), "")</f>
        <v/>
      </c>
      <c r="O36" s="11">
        <f t="array" ref="O36">IFERROR(INDEX(Milestones!$G:$G, MATCH($B36, Milestones!$B:$B, 0)), "")</f>
        <v/>
      </c>
      <c r="P36" s="11">
        <f t="array" ref="P36">IFERROR(INDEX('Lookups - Rates'!$D:$D, MATCH($G36&amp;"|"&amp;$H36, 'Lookups - Rates'!$Z:$Z, 0)), "")</f>
        <v/>
      </c>
      <c r="Q36" s="11">
        <f t="array" ref="Q36">IFERROR(INDEX('Lookups - Rates'!$E:$E, MATCH($G36&amp;"|"&amp;$H36, 'Lookups - Rates'!$Z:$Z, 0)), "")</f>
        <v/>
      </c>
      <c r="R36" s="11">
        <f>LET(ev,$J36, ch,$L36, hr,$P36, dr,$Q36, hpday,Assumptions!$B$2, hpw,Assumptions!$B$3, w,$M36, hrs, IF($I36="Hours", ev, IF($I36="Days", ev*IF(dr&gt;0, dr/hr, hpday), IF($I36="FTE", ev*hpw*w, ch))), IF(hrs="", "", hrs*hr))</f>
        <v/>
      </c>
      <c r="S36" s="13" t="n"/>
      <c r="T36" s="11">
        <f t="array" ref="T36">XLOOKUP(Scenario_Selected, INDEX(Scenario_Table,0,1), INDEX(Scenario_Table,0,2))</f>
        <v/>
      </c>
      <c r="U36" s="11">
        <f t="array" ref="U36">XLOOKUP(Scenario_Selected, INDEX(Scenario_Table,0,1), INDEX(Scenario_Table,0,3))</f>
        <v/>
      </c>
      <c r="V36" s="11">
        <f t="array" ref="V36">XLOOKUP(Scenario_Selected, INDEX(Scenario_Table,0,1), INDEX(Scenario_Table,0,4))</f>
        <v/>
      </c>
      <c r="W36" s="11">
        <f t="array" ref="W36">LET(ev,$J36, ch,$L36, et,$I36, dr,$Q36, hpday,Assumptions!$B$2, hpw,Assumptions!$B$3, w,$M36,hm,INDIRECT("R[0]C[0]",FALSE),hrs, IF(et="Hours", ev, IF(et="Days", ev*IF(dr&gt;0, dr/$P36, hpday), IF(et="FTE", ev*hpw*w, ch))), IF(hrs="", "", hrs*hm))</f>
        <v/>
      </c>
      <c r="X36" s="11">
        <f>IF($P36="","", $P36*INDIRECT("R[0]C[-3]",FALSE))</f>
        <v/>
      </c>
      <c r="Y36" s="11">
        <f>IF(INDIRECT("R[0]C[-1]",FALSE)="","", INDIRECT("R[0]C[-2]",FALSE)*INDIRECT("R[0]C[-1]",FALSE)*(1+INDIRECT("R[0]C[-3]",FALSE)))</f>
        <v/>
      </c>
      <c r="Z36" s="13" t="n"/>
    </row>
    <row r="37" ht="15.75" customHeight="1" s="74">
      <c r="A37" s="11" t="n">
        <v>36</v>
      </c>
      <c r="B37" s="10" t="inlineStr">
        <is>
          <t>Continuous Improvement Framework</t>
        </is>
      </c>
      <c r="C37" s="11">
        <f t="array" ref="C37">IFERROR(INDEX(Milestones!$A:$A, MATCH($B37, Milestones!$B:$B, 0)), "")</f>
        <v/>
      </c>
      <c r="D37" s="11">
        <f t="array" ref="D37">IFERROR(INDEX(Milestones!$C:$C, MATCH($B37, Milestones!$B:$B, 0)), "")</f>
        <v/>
      </c>
      <c r="E37" s="11" t="inlineStr">
        <is>
          <t>Maintain engagement and track long-term adoption trends.</t>
        </is>
      </c>
      <c r="F37" s="11">
        <f t="array" ref="F37">IFERROR(INDEX(Milestones!$E:$E, MATCH($B37, Milestones!$B:$B, 0)), "")</f>
        <v/>
      </c>
      <c r="G37" s="11" t="inlineStr">
        <is>
          <t>Adobe</t>
        </is>
      </c>
      <c r="H37" s="11" t="inlineStr">
        <is>
          <t>Adobe</t>
        </is>
      </c>
      <c r="I37" s="11" t="inlineStr">
        <is>
          <t>FTE</t>
        </is>
      </c>
      <c r="J37" s="20" t="n">
        <v>0.03</v>
      </c>
      <c r="K37" s="11" t="inlineStr">
        <is>
          <t>Medium</t>
        </is>
      </c>
      <c r="L37" s="11">
        <f t="array" ref="L37">IF($K37="","", IFERROR(IFS($K37="Low", INDEX('Lookups - Complexity'!$C:$C, MATCH($B37, 'Lookups - Complexity'!$B:$B,0)), $K37="Medium", INDEX('Lookups - Complexity'!$D:$D, MATCH($B37, 'Lookups - Complexity'!$B:$B,0)), $K37="High", INDEX('Lookups - Complexity'!$E:$E, MATCH($B37, 'Lookups - Complexity'!$B:$B,0))), ""))</f>
        <v/>
      </c>
      <c r="M37" s="11">
        <f>IF($I37="FTE", Assumptions!$B$3, "")</f>
        <v/>
      </c>
      <c r="N37" s="11">
        <f t="array" ref="N37">IFERROR(INDEX(Milestones!$F:$F, MATCH($B37, Milestones!$B:$B, 0)), "")</f>
        <v/>
      </c>
      <c r="O37" s="11">
        <f t="array" ref="O37">IFERROR(INDEX(Milestones!$G:$G, MATCH($B37, Milestones!$B:$B, 0)), "")</f>
        <v/>
      </c>
      <c r="P37" s="11">
        <f t="array" ref="P37">IFERROR(INDEX('Lookups - Rates'!$D:$D, MATCH($G37&amp;"|"&amp;$H37, 'Lookups - Rates'!$Z:$Z, 0)), "")</f>
        <v/>
      </c>
      <c r="Q37" s="11">
        <f t="array" ref="Q37">IFERROR(INDEX('Lookups - Rates'!$E:$E, MATCH($G37&amp;"|"&amp;$H37, 'Lookups - Rates'!$Z:$Z, 0)), "")</f>
        <v/>
      </c>
      <c r="R37" s="11">
        <f>LET(ev,$J37, ch,$L37, hr,$P37, dr,$Q37, hpday,Assumptions!$B$2, hpw,Assumptions!$B$3, w,$M37, hrs, IF($I37="Hours", ev, IF($I37="Days", ev*IF(dr&gt;0, dr/hr, hpday), IF($I37="FTE", ev*hpw*w, ch))), IF(hrs="", "", hrs*hr))</f>
        <v/>
      </c>
      <c r="S37" s="13" t="n"/>
      <c r="T37" s="11">
        <f t="array" ref="T37">XLOOKUP(Scenario_Selected, INDEX(Scenario_Table,0,1), INDEX(Scenario_Table,0,2))</f>
        <v/>
      </c>
      <c r="U37" s="11">
        <f t="array" ref="U37">XLOOKUP(Scenario_Selected, INDEX(Scenario_Table,0,1), INDEX(Scenario_Table,0,3))</f>
        <v/>
      </c>
      <c r="V37" s="11">
        <f t="array" ref="V37">XLOOKUP(Scenario_Selected, INDEX(Scenario_Table,0,1), INDEX(Scenario_Table,0,4))</f>
        <v/>
      </c>
      <c r="W37" s="11">
        <f t="array" ref="W37">LET(ev,$J37, ch,$L37, et,$I37, dr,$Q37, hpday,Assumptions!$B$2, hpw,Assumptions!$B$3, w,$M37,hm,INDIRECT("R[0]C[0]",FALSE),hrs, IF(et="Hours", ev, IF(et="Days", ev*IF(dr&gt;0, dr/$P37, hpday), IF(et="FTE", ev*hpw*w, ch))), IF(hrs="", "", hrs*hm))</f>
        <v/>
      </c>
      <c r="X37" s="11">
        <f>IF($P37="","", $P37*INDIRECT("R[0]C[-3]",FALSE))</f>
        <v/>
      </c>
      <c r="Y37" s="11">
        <f>IF(INDIRECT("R[0]C[-1]",FALSE)="","", INDIRECT("R[0]C[-2]",FALSE)*INDIRECT("R[0]C[-1]",FALSE)*(1+INDIRECT("R[0]C[-3]",FALSE)))</f>
        <v/>
      </c>
      <c r="Z37" s="13" t="n"/>
    </row>
    <row r="38" ht="15.75" customHeight="1" s="74">
      <c r="A38" s="11" t="n">
        <v>37</v>
      </c>
      <c r="B38" s="10" t="inlineStr">
        <is>
          <t>Strategic Partnership Review</t>
        </is>
      </c>
      <c r="C38" s="11">
        <f t="array" ref="C38">IFERROR(INDEX(Milestones!$A:$A, MATCH($B38, Milestones!$B:$B, 0)), "")</f>
        <v/>
      </c>
      <c r="D38" s="11">
        <f t="array" ref="D38">IFERROR(INDEX(Milestones!$C:$C, MATCH($B38, Milestones!$B:$B, 0)), "")</f>
        <v/>
      </c>
      <c r="E38" s="11" t="inlineStr">
        <is>
          <t>Evaluate ongoing partnership alignment and strategic direction.</t>
        </is>
      </c>
      <c r="F38" s="11">
        <f t="array" ref="F38">IFERROR(INDEX(Milestones!$E:$E, MATCH($B38, Milestones!$B:$B, 0)), "")</f>
        <v/>
      </c>
      <c r="G38" s="11" t="inlineStr">
        <is>
          <t>Knapsack</t>
        </is>
      </c>
      <c r="H38" s="11" t="inlineStr">
        <is>
          <t>Adobe</t>
        </is>
      </c>
      <c r="I38" s="11" t="inlineStr">
        <is>
          <t>FTE</t>
        </is>
      </c>
      <c r="J38" s="20" t="n">
        <v>0.03</v>
      </c>
      <c r="K38" s="11" t="inlineStr">
        <is>
          <t>Medium</t>
        </is>
      </c>
      <c r="L38" s="11">
        <f t="array" ref="L38">IF($K38="","", IFERROR(IFS($K38="Low", INDEX('Lookups - Complexity'!$C:$C, MATCH($B38, 'Lookups - Complexity'!$B:$B,0)), $K38="Medium", INDEX('Lookups - Complexity'!$D:$D, MATCH($B38, 'Lookups - Complexity'!$B:$B,0)), $K38="High", INDEX('Lookups - Complexity'!$E:$E, MATCH($B38, 'Lookups - Complexity'!$B:$B,0))), ""))</f>
        <v/>
      </c>
      <c r="M38" s="11">
        <f>IF($I38="FTE", Assumptions!$B$3, "")</f>
        <v/>
      </c>
      <c r="N38" s="11">
        <f t="array" ref="N38">IFERROR(INDEX(Milestones!$F:$F, MATCH($B38, Milestones!$B:$B, 0)), "")</f>
        <v/>
      </c>
      <c r="O38" s="11">
        <f t="array" ref="O38">IFERROR(INDEX(Milestones!$G:$G, MATCH($B38, Milestones!$B:$B, 0)), "")</f>
        <v/>
      </c>
      <c r="P38" s="11">
        <f t="array" ref="P38">IFERROR(INDEX('Lookups - Rates'!$D:$D, MATCH($G38&amp;"|"&amp;$H38, 'Lookups - Rates'!$Z:$Z, 0)), "")</f>
        <v/>
      </c>
      <c r="Q38" s="11">
        <f t="array" ref="Q38">IFERROR(INDEX('Lookups - Rates'!$E:$E, MATCH($G38&amp;"|"&amp;$H38, 'Lookups - Rates'!$Z:$Z, 0)), "")</f>
        <v/>
      </c>
      <c r="R38" s="11">
        <f>LET(ev,$J38, ch,$L38, hr,$P38, dr,$Q38, hpday,Assumptions!$B$2, hpw,Assumptions!$B$3, w,$M38, hrs, IF($I38="Hours", ev, IF($I38="Days", ev*IF(dr&gt;0, dr/hr, hpday), IF($I38="FTE", ev*hpw*w, ch))), IF(hrs="", "", hrs*hr))</f>
        <v/>
      </c>
      <c r="S38" s="13" t="n"/>
      <c r="T38" s="11">
        <f t="array" ref="T38">XLOOKUP(Scenario_Selected, INDEX(Scenario_Table,0,1), INDEX(Scenario_Table,0,2))</f>
        <v/>
      </c>
      <c r="U38" s="11">
        <f t="array" ref="U38">XLOOKUP(Scenario_Selected, INDEX(Scenario_Table,0,1), INDEX(Scenario_Table,0,3))</f>
        <v/>
      </c>
      <c r="V38" s="11">
        <f t="array" ref="V38">XLOOKUP(Scenario_Selected, INDEX(Scenario_Table,0,1), INDEX(Scenario_Table,0,4))</f>
        <v/>
      </c>
      <c r="W38" s="11">
        <f t="array" ref="W38">LET(ev,$J38, ch,$L38, et,$I38, dr,$Q38, hpday,Assumptions!$B$2, hpw,Assumptions!$B$3, w,$M38,hm,INDIRECT("R[0]C[0]",FALSE),hrs, IF(et="Hours", ev, IF(et="Days", ev*IF(dr&gt;0, dr/$P38, hpday), IF(et="FTE", ev*hpw*w, ch))), IF(hrs="", "", hrs*hm))</f>
        <v/>
      </c>
      <c r="X38" s="11">
        <f>IF($P38="","", $P38*INDIRECT("R[0]C[-3]",FALSE))</f>
        <v/>
      </c>
      <c r="Y38" s="11">
        <f>IF(INDIRECT("R[0]C[-1]",FALSE)="","", INDIRECT("R[0]C[-2]",FALSE)*INDIRECT("R[0]C[-1]",FALSE)*(1+INDIRECT("R[0]C[-3]",FALSE)))</f>
        <v/>
      </c>
      <c r="Z38" s="13" t="n"/>
    </row>
    <row r="39" ht="15.75" customHeight="1" s="74">
      <c r="A39" s="11" t="n">
        <v>38</v>
      </c>
      <c r="B39" s="10" t="inlineStr">
        <is>
          <t>Case Study Development</t>
        </is>
      </c>
      <c r="C39" s="11">
        <f t="array" ref="C39">IFERROR(INDEX(Milestones!$A:$A, MATCH($B39, Milestones!$B:$B, 0)), "")</f>
        <v/>
      </c>
      <c r="D39" s="11">
        <f t="array" ref="D39">IFERROR(INDEX(Milestones!$C:$C, MATCH($B39, Milestones!$B:$B, 0)), "")</f>
        <v/>
      </c>
      <c r="E39" s="11" t="inlineStr">
        <is>
          <t>Document program success and outcomes for future scaling.</t>
        </is>
      </c>
      <c r="F39" s="11">
        <f t="array" ref="F39">IFERROR(INDEX(Milestones!$E:$E, MATCH($B39, Milestones!$B:$B, 0)), "")</f>
        <v/>
      </c>
      <c r="G39" s="11" t="inlineStr">
        <is>
          <t>Adobe</t>
        </is>
      </c>
      <c r="H39" s="11">
        <f t="array" ref="H39">IFERROR(INDEX(Milestones!$E:$E, MATCH($B39, Milestones!$B:$B, 0)), "")</f>
        <v/>
      </c>
      <c r="I39" s="11" t="inlineStr">
        <is>
          <t>FTE</t>
        </is>
      </c>
      <c r="J39" s="20" t="n">
        <v>0.03</v>
      </c>
      <c r="K39" s="11" t="inlineStr">
        <is>
          <t>Medium</t>
        </is>
      </c>
      <c r="L39" s="11">
        <f t="array" ref="L39">IF($K39="","", IFERROR(IFS($K39="Low", INDEX('Lookups - Complexity'!$C:$C, MATCH($B39, 'Lookups - Complexity'!$B:$B,0)), $K39="Medium", INDEX('Lookups - Complexity'!$D:$D, MATCH($B39, 'Lookups - Complexity'!$B:$B,0)), $K39="High", INDEX('Lookups - Complexity'!$E:$E, MATCH($B39, 'Lookups - Complexity'!$B:$B,0))), ""))</f>
        <v/>
      </c>
      <c r="M39" s="11">
        <f>IF($I39="FTE", Assumptions!$B$3, "")</f>
        <v/>
      </c>
      <c r="N39" s="11">
        <f t="array" ref="N39">IFERROR(INDEX(Milestones!$F:$F, MATCH($B39, Milestones!$B:$B, 0)), "")</f>
        <v/>
      </c>
      <c r="O39" s="11">
        <f t="array" ref="O39">IFERROR(INDEX(Milestones!$G:$G, MATCH($B39, Milestones!$B:$B, 0)), "")</f>
        <v/>
      </c>
      <c r="P39" s="11">
        <f t="array" ref="P39">IFERROR(INDEX('Lookups - Rates'!$D:$D, MATCH($G39&amp;"|"&amp;$H39, 'Lookups - Rates'!$Z:$Z, 0)), "")</f>
        <v/>
      </c>
      <c r="Q39" s="11">
        <f t="array" ref="Q39">IFERROR(INDEX('Lookups - Rates'!$E:$E, MATCH($G39&amp;"|"&amp;$H39, 'Lookups - Rates'!$Z:$Z, 0)), "")</f>
        <v/>
      </c>
      <c r="R39" s="11">
        <f>LET(ev,$J39, ch,$L39, hr,$P39, dr,$Q39, hpday,Assumptions!$B$2, hpw,Assumptions!$B$3, w,$M39, hrs, IF($I39="Hours", ev, IF($I39="Days", ev*IF(dr&gt;0, dr/hr, hpday), IF($I39="FTE", ev*hpw*w, ch))), IF(hrs="", "", hrs*hr))</f>
        <v/>
      </c>
      <c r="S39" s="13" t="n"/>
      <c r="T39" s="11">
        <f t="array" ref="T39">XLOOKUP(Scenario_Selected, INDEX(Scenario_Table,0,1), INDEX(Scenario_Table,0,2))</f>
        <v/>
      </c>
      <c r="U39" s="11">
        <f t="array" ref="U39">XLOOKUP(Scenario_Selected, INDEX(Scenario_Table,0,1), INDEX(Scenario_Table,0,3))</f>
        <v/>
      </c>
      <c r="V39" s="11">
        <f t="array" ref="V39">XLOOKUP(Scenario_Selected, INDEX(Scenario_Table,0,1), INDEX(Scenario_Table,0,4))</f>
        <v/>
      </c>
      <c r="W39" s="11">
        <f t="array" ref="W39">LET(ev,$J39, ch,$L39, et,$I39, dr,$Q39, hpday,Assumptions!$B$2, hpw,Assumptions!$B$3, w,$M39,hm,INDIRECT("R[0]C[0]",FALSE),hrs, IF(et="Hours", ev, IF(et="Days", ev*IF(dr&gt;0, dr/$P39, hpday), IF(et="FTE", ev*hpw*w, ch))), IF(hrs="", "", hrs*hm))</f>
        <v/>
      </c>
      <c r="X39" s="11">
        <f>IF($P39="","", $P39*INDIRECT("R[0]C[-3]",FALSE))</f>
        <v/>
      </c>
      <c r="Y39" s="11">
        <f>IF(INDIRECT("R[0]C[-1]",FALSE)="","", INDIRECT("R[0]C[-2]",FALSE)*INDIRECT("R[0]C[-1]",FALSE)*(1+INDIRECT("R[0]C[-3]",FALSE)))</f>
        <v/>
      </c>
      <c r="Z39" s="13" t="n"/>
    </row>
    <row r="40" ht="15.75" customHeight="1" s="74">
      <c r="A40" s="11" t="n">
        <v>39</v>
      </c>
      <c r="J40" s="20" t="n"/>
      <c r="S40" s="13" t="n"/>
      <c r="Z40" s="13" t="n"/>
    </row>
    <row r="41" ht="15.75" customHeight="1" s="74">
      <c r="A41" s="11" t="n">
        <v>40</v>
      </c>
      <c r="C41" s="11">
        <f t="array" ref="C41">IFERROR(INDEX(Milestones!$A:$A, MATCH($B41, Milestones!$B:$B, 0)), "")</f>
        <v/>
      </c>
      <c r="D41" s="11">
        <f t="array" ref="D41">IFERROR(INDEX(Milestones!$C:$C, MATCH($B41, Milestones!$B:$B, 0)), "")</f>
        <v/>
      </c>
      <c r="F41" s="11">
        <f t="array" ref="F41">IFERROR(INDEX(Milestones!$E:$E, MATCH($B41, Milestones!$B:$B, 0)), "")</f>
        <v/>
      </c>
      <c r="I41" s="11" t="n"/>
      <c r="J41" s="20" t="n"/>
      <c r="K41" s="11" t="n"/>
      <c r="L41" s="11">
        <f t="array" ref="L41">IF($K41="","", IFERROR(IFS($K41="Low", INDEX('Lookups - Complexity'!$C:$C, MATCH($B41, 'Lookups - Complexity'!$B:$B,0)), $K41="Medium", INDEX('Lookups - Complexity'!$D:$D, MATCH($B41, 'Lookups - Complexity'!$B:$B,0)), $K41="High", INDEX('Lookups - Complexity'!$E:$E, MATCH($B41, 'Lookups - Complexity'!$B:$B,0))), ""))</f>
        <v/>
      </c>
      <c r="M41" s="11">
        <f>IF($I41="FTE", Assumptions!$B$3, "")</f>
        <v/>
      </c>
      <c r="N41" s="11">
        <f t="array" ref="N41">IFERROR(INDEX(Milestones!$F:$F, MATCH($B41, Milestones!$B:$B, 0)), "")</f>
        <v/>
      </c>
      <c r="O41" s="11">
        <f t="array" ref="O41">IFERROR(INDEX(Milestones!$G:$G, MATCH($B41, Milestones!$B:$B, 0)), "")</f>
        <v/>
      </c>
      <c r="P41" s="11">
        <f t="array" ref="P41">IFERROR(INDEX('Lookups - Rates'!$D:$D, MATCH($G41&amp;"|"&amp;$H41, 'Lookups - Rates'!$Z:$Z, 0)), "")</f>
        <v/>
      </c>
      <c r="Q41" s="11">
        <f t="array" ref="Q41">IFERROR(INDEX('Lookups - Rates'!$E:$E, MATCH($G41&amp;"|"&amp;$H41, 'Lookups - Rates'!$Z:$Z, 0)), "")</f>
        <v/>
      </c>
      <c r="R41" s="11">
        <f>LET(ev,$J41, ch,$L41, hr,$P41, dr,$Q41, hpday,Assumptions!$B$2, hpw,Assumptions!$B$3, w,$M41, hrs, IF($I41="Hours", ev, IF($I41="Days", ev*IF(dr&gt;0, dr/hr, hpday), IF($I41="FTE", ev*hpw*w, ch))), IF(hrs="", "", hrs*hr))</f>
        <v/>
      </c>
      <c r="S41" s="13" t="n"/>
      <c r="T41" s="11">
        <f t="array" ref="T41">XLOOKUP(Scenario_Selected, INDEX(Scenario_Table,0,1), INDEX(Scenario_Table,0,2))</f>
        <v/>
      </c>
      <c r="U41" s="11">
        <f t="array" ref="U41">XLOOKUP(Scenario_Selected, INDEX(Scenario_Table,0,1), INDEX(Scenario_Table,0,3))</f>
        <v/>
      </c>
      <c r="V41" s="11">
        <f t="array" ref="V41">XLOOKUP(Scenario_Selected, INDEX(Scenario_Table,0,1), INDEX(Scenario_Table,0,4))</f>
        <v/>
      </c>
      <c r="W41" s="11">
        <f t="array" ref="W41">LET(ev,$J41, ch,$L41, et,$I41, dr,$Q41, hpday,Assumptions!$B$2, hpw,Assumptions!$B$3, w,$M41,hm,INDIRECT("R[0]C[0]",FALSE),hrs, IF(et="Hours", ev, IF(et="Days", ev*IF(dr&gt;0, dr/$P41, hpday), IF(et="FTE", ev*hpw*w, ch))), IF(hrs="", "", hrs*hm))</f>
        <v/>
      </c>
      <c r="X41" s="11">
        <f>IF($P41="","", $P41*INDIRECT("R[0]C[-3]",FALSE))</f>
        <v/>
      </c>
      <c r="Y41" s="11">
        <f>IF(INDIRECT("R[0]C[-1]",FALSE)="","", INDIRECT("R[0]C[-2]",FALSE)*INDIRECT("R[0]C[-1]",FALSE)*(1+INDIRECT("R[0]C[-3]",FALSE)))</f>
        <v/>
      </c>
      <c r="Z41" s="13" t="n"/>
    </row>
    <row r="42" ht="15.75" customHeight="1" s="74">
      <c r="A42" s="11" t="n">
        <v>41</v>
      </c>
      <c r="C42" s="11">
        <f t="array" ref="C42">IFERROR(INDEX(Milestones!$A:$A, MATCH($B42, Milestones!$B:$B, 0)), "")</f>
        <v/>
      </c>
      <c r="D42" s="11">
        <f t="array" ref="D42">IFERROR(INDEX(Milestones!$C:$C, MATCH($B42, Milestones!$B:$B, 0)), "")</f>
        <v/>
      </c>
      <c r="F42" s="11">
        <f t="array" ref="F42">IFERROR(INDEX(Milestones!$E:$E, MATCH($B42, Milestones!$B:$B, 0)), "")</f>
        <v/>
      </c>
      <c r="I42" s="11" t="n"/>
      <c r="J42" s="20" t="n"/>
      <c r="K42" s="11" t="n"/>
      <c r="L42" s="11">
        <f t="array" ref="L42">IF($K42="","", IFERROR(IFS($K42="Low", INDEX('Lookups - Complexity'!$C:$C, MATCH($B42, 'Lookups - Complexity'!$B:$B,0)), $K42="Medium", INDEX('Lookups - Complexity'!$D:$D, MATCH($B42, 'Lookups - Complexity'!$B:$B,0)), $K42="High", INDEX('Lookups - Complexity'!$E:$E, MATCH($B42, 'Lookups - Complexity'!$B:$B,0))), ""))</f>
        <v/>
      </c>
      <c r="M42" s="11">
        <f>IF($I42="FTE", Assumptions!$B$3, "")</f>
        <v/>
      </c>
      <c r="N42" s="11">
        <f t="array" ref="N42">IFERROR(INDEX(Milestones!$F:$F, MATCH($B42, Milestones!$B:$B, 0)), "")</f>
        <v/>
      </c>
      <c r="O42" s="11">
        <f t="array" ref="O42">IFERROR(INDEX(Milestones!$G:$G, MATCH($B42, Milestones!$B:$B, 0)), "")</f>
        <v/>
      </c>
      <c r="P42" s="11">
        <f t="array" ref="P42">IFERROR(INDEX('Lookups - Rates'!$D:$D, MATCH($G42&amp;"|"&amp;$H42, 'Lookups - Rates'!$Z:$Z, 0)), "")</f>
        <v/>
      </c>
      <c r="Q42" s="11">
        <f t="array" ref="Q42">IFERROR(INDEX('Lookups - Rates'!$E:$E, MATCH($G42&amp;"|"&amp;$H42, 'Lookups - Rates'!$Z:$Z, 0)), "")</f>
        <v/>
      </c>
      <c r="R42" s="11">
        <f>LET(ev,$J42, ch,$L42, hr,$P42, dr,$Q42, hpday,Assumptions!$B$2, hpw,Assumptions!$B$3, w,$M42, hrs, IF($I42="Hours", ev, IF($I42="Days", ev*IF(dr&gt;0, dr/hr, hpday), IF($I42="FTE", ev*hpw*w, ch))), IF(hrs="", "", hrs*hr))</f>
        <v/>
      </c>
      <c r="S42" s="13" t="n"/>
      <c r="T42" s="11">
        <f t="array" ref="T42">XLOOKUP(Scenario_Selected, INDEX(Scenario_Table,0,1), INDEX(Scenario_Table,0,2))</f>
        <v/>
      </c>
      <c r="U42" s="11">
        <f t="array" ref="U42">XLOOKUP(Scenario_Selected, INDEX(Scenario_Table,0,1), INDEX(Scenario_Table,0,3))</f>
        <v/>
      </c>
      <c r="V42" s="11">
        <f t="array" ref="V42">XLOOKUP(Scenario_Selected, INDEX(Scenario_Table,0,1), INDEX(Scenario_Table,0,4))</f>
        <v/>
      </c>
      <c r="W42" s="11">
        <f t="array" ref="W42">LET(ev,$J42, ch,$L42, et,$I42, dr,$Q42, hpday,Assumptions!$B$2, hpw,Assumptions!$B$3, w,$M42,hm,INDIRECT("R[0]C[0]",FALSE),hrs, IF(et="Hours", ev, IF(et="Days", ev*IF(dr&gt;0, dr/$P42, hpday), IF(et="FTE", ev*hpw*w, ch))), IF(hrs="", "", hrs*hm))</f>
        <v/>
      </c>
      <c r="X42" s="11">
        <f>IF($P42="","", $P42*INDIRECT("R[0]C[-3]",FALSE))</f>
        <v/>
      </c>
      <c r="Y42" s="11">
        <f>IF(INDIRECT("R[0]C[-1]",FALSE)="","", INDIRECT("R[0]C[-2]",FALSE)*INDIRECT("R[0]C[-1]",FALSE)*(1+INDIRECT("R[0]C[-3]",FALSE)))</f>
        <v/>
      </c>
      <c r="Z42" s="13" t="n"/>
    </row>
    <row r="43" ht="15.75" customHeight="1" s="74">
      <c r="A43" s="11" t="n">
        <v>42</v>
      </c>
      <c r="C43" s="11">
        <f t="array" ref="C43">IFERROR(INDEX(Milestones!$A:$A, MATCH($B43, Milestones!$B:$B, 0)), "")</f>
        <v/>
      </c>
      <c r="D43" s="11">
        <f t="array" ref="D43">IFERROR(INDEX(Milestones!$C:$C, MATCH($B43, Milestones!$B:$B, 0)), "")</f>
        <v/>
      </c>
      <c r="F43" s="11">
        <f t="array" ref="F43">IFERROR(INDEX(Milestones!$E:$E, MATCH($B43, Milestones!$B:$B, 0)), "")</f>
        <v/>
      </c>
      <c r="I43" s="11" t="n"/>
      <c r="J43" s="20" t="n"/>
      <c r="K43" s="11" t="n"/>
      <c r="L43" s="11">
        <f t="array" ref="L43">IF($K43="","", IFERROR(IFS($K43="Low", INDEX('Lookups - Complexity'!$C:$C, MATCH($B43, 'Lookups - Complexity'!$B:$B,0)), $K43="Medium", INDEX('Lookups - Complexity'!$D:$D, MATCH($B43, 'Lookups - Complexity'!$B:$B,0)), $K43="High", INDEX('Lookups - Complexity'!$E:$E, MATCH($B43, 'Lookups - Complexity'!$B:$B,0))), ""))</f>
        <v/>
      </c>
      <c r="M43" s="11">
        <f>IF($I43="FTE", Assumptions!$B$3, "")</f>
        <v/>
      </c>
      <c r="N43" s="11">
        <f t="array" ref="N43">IFERROR(INDEX(Milestones!$F:$F, MATCH($B43, Milestones!$B:$B, 0)), "")</f>
        <v/>
      </c>
      <c r="O43" s="11">
        <f t="array" ref="O43">IFERROR(INDEX(Milestones!$G:$G, MATCH($B43, Milestones!$B:$B, 0)), "")</f>
        <v/>
      </c>
      <c r="P43" s="11">
        <f t="array" ref="P43">IFERROR(INDEX('Lookups - Rates'!$D:$D, MATCH($G43&amp;"|"&amp;$H43, 'Lookups - Rates'!$Z:$Z, 0)), "")</f>
        <v/>
      </c>
      <c r="Q43" s="11">
        <f t="array" ref="Q43">IFERROR(INDEX('Lookups - Rates'!$E:$E, MATCH($G43&amp;"|"&amp;$H43, 'Lookups - Rates'!$Z:$Z, 0)), "")</f>
        <v/>
      </c>
      <c r="R43" s="11">
        <f>LET(ev,$J43, ch,$L43, hr,$P43, dr,$Q43, hpday,Assumptions!$B$2, hpw,Assumptions!$B$3, w,$M43, hrs, IF($I43="Hours", ev, IF($I43="Days", ev*IF(dr&gt;0, dr/hr, hpday), IF($I43="FTE", ev*hpw*w, ch))), IF(hrs="", "", hrs*hr))</f>
        <v/>
      </c>
      <c r="S43" s="13" t="n"/>
      <c r="T43" s="11">
        <f t="array" ref="T43">XLOOKUP(Scenario_Selected, INDEX(Scenario_Table,0,1), INDEX(Scenario_Table,0,2))</f>
        <v/>
      </c>
      <c r="U43" s="11">
        <f t="array" ref="U43">XLOOKUP(Scenario_Selected, INDEX(Scenario_Table,0,1), INDEX(Scenario_Table,0,3))</f>
        <v/>
      </c>
      <c r="V43" s="11">
        <f t="array" ref="V43">XLOOKUP(Scenario_Selected, INDEX(Scenario_Table,0,1), INDEX(Scenario_Table,0,4))</f>
        <v/>
      </c>
      <c r="W43" s="11">
        <f t="array" ref="W43">LET(ev,$J43, ch,$L43, et,$I43, dr,$Q43, hpday,Assumptions!$B$2, hpw,Assumptions!$B$3, w,$M43,hm,INDIRECT("R[0]C[0]",FALSE),hrs, IF(et="Hours", ev, IF(et="Days", ev*IF(dr&gt;0, dr/$P43, hpday), IF(et="FTE", ev*hpw*w, ch))), IF(hrs="", "", hrs*hm))</f>
        <v/>
      </c>
      <c r="X43" s="11">
        <f>IF($P43="","", $P43*INDIRECT("R[0]C[-3]",FALSE))</f>
        <v/>
      </c>
      <c r="Y43" s="11">
        <f>IF(INDIRECT("R[0]C[-1]",FALSE)="","", INDIRECT("R[0]C[-2]",FALSE)*INDIRECT("R[0]C[-1]",FALSE)*(1+INDIRECT("R[0]C[-3]",FALSE)))</f>
        <v/>
      </c>
      <c r="Z43" s="13" t="n"/>
    </row>
    <row r="44" ht="15.75" customHeight="1" s="74">
      <c r="A44" s="11" t="n">
        <v>43</v>
      </c>
      <c r="C44" s="11">
        <f t="array" ref="C44">IFERROR(INDEX(Milestones!$A:$A, MATCH($B44, Milestones!$B:$B, 0)), "")</f>
        <v/>
      </c>
      <c r="D44" s="11">
        <f t="array" ref="D44">IFERROR(INDEX(Milestones!$C:$C, MATCH($B44, Milestones!$B:$B, 0)), "")</f>
        <v/>
      </c>
      <c r="F44" s="11">
        <f t="array" ref="F44">IFERROR(INDEX(Milestones!$E:$E, MATCH($B44, Milestones!$B:$B, 0)), "")</f>
        <v/>
      </c>
      <c r="I44" s="11" t="n"/>
      <c r="J44" s="20" t="n"/>
      <c r="K44" s="11" t="n"/>
      <c r="L44" s="11">
        <f t="array" ref="L44">IF($K44="","", IFERROR(IFS($K44="Low", INDEX('Lookups - Complexity'!$C:$C, MATCH($B44, 'Lookups - Complexity'!$B:$B,0)), $K44="Medium", INDEX('Lookups - Complexity'!$D:$D, MATCH($B44, 'Lookups - Complexity'!$B:$B,0)), $K44="High", INDEX('Lookups - Complexity'!$E:$E, MATCH($B44, 'Lookups - Complexity'!$B:$B,0))), ""))</f>
        <v/>
      </c>
      <c r="M44" s="11">
        <f>IF($I44="FTE", Assumptions!$B$3, "")</f>
        <v/>
      </c>
      <c r="N44" s="11">
        <f t="array" ref="N44">IFERROR(INDEX(Milestones!$F:$F, MATCH($B44, Milestones!$B:$B, 0)), "")</f>
        <v/>
      </c>
      <c r="O44" s="11">
        <f t="array" ref="O44">IFERROR(INDEX(Milestones!$G:$G, MATCH($B44, Milestones!$B:$B, 0)), "")</f>
        <v/>
      </c>
      <c r="P44" s="11">
        <f t="array" ref="P44">IFERROR(INDEX('Lookups - Rates'!$D:$D, MATCH($G44&amp;"|"&amp;$H44, 'Lookups - Rates'!$Z:$Z, 0)), "")</f>
        <v/>
      </c>
      <c r="Q44" s="11">
        <f t="array" ref="Q44">IFERROR(INDEX('Lookups - Rates'!$E:$E, MATCH($G44&amp;"|"&amp;$H44, 'Lookups - Rates'!$Z:$Z, 0)), "")</f>
        <v/>
      </c>
      <c r="R44" s="11">
        <f>LET(ev,$J44, ch,$L44, hr,$P44, dr,$Q44, hpday,Assumptions!$B$2, hpw,Assumptions!$B$3, w,$M44, hrs, IF($I44="Hours", ev, IF($I44="Days", ev*IF(dr&gt;0, dr/hr, hpday), IF($I44="FTE", ev*hpw*w, ch))), IF(hrs="", "", hrs*hr))</f>
        <v/>
      </c>
      <c r="S44" s="13" t="n"/>
      <c r="T44" s="11">
        <f t="array" ref="T44">XLOOKUP(Scenario_Selected, INDEX(Scenario_Table,0,1), INDEX(Scenario_Table,0,2))</f>
        <v/>
      </c>
      <c r="U44" s="11">
        <f t="array" ref="U44">XLOOKUP(Scenario_Selected, INDEX(Scenario_Table,0,1), INDEX(Scenario_Table,0,3))</f>
        <v/>
      </c>
      <c r="V44" s="11">
        <f t="array" ref="V44">XLOOKUP(Scenario_Selected, INDEX(Scenario_Table,0,1), INDEX(Scenario_Table,0,4))</f>
        <v/>
      </c>
      <c r="W44" s="11">
        <f t="array" ref="W44">LET(ev,$J44, ch,$L44, et,$I44, dr,$Q44, hpday,Assumptions!$B$2, hpw,Assumptions!$B$3, w,$M44,hm,INDIRECT("R[0]C[0]",FALSE),hrs, IF(et="Hours", ev, IF(et="Days", ev*IF(dr&gt;0, dr/$P44, hpday), IF(et="FTE", ev*hpw*w, ch))), IF(hrs="", "", hrs*hm))</f>
        <v/>
      </c>
      <c r="X44" s="11">
        <f>IF($P44="","", $P44*INDIRECT("R[0]C[-3]",FALSE))</f>
        <v/>
      </c>
      <c r="Y44" s="11">
        <f>IF(INDIRECT("R[0]C[-1]",FALSE)="","", INDIRECT("R[0]C[-2]",FALSE)*INDIRECT("R[0]C[-1]",FALSE)*(1+INDIRECT("R[0]C[-3]",FALSE)))</f>
        <v/>
      </c>
      <c r="Z44" s="13" t="n"/>
    </row>
    <row r="45" ht="15.75" customHeight="1" s="74">
      <c r="A45" s="11" t="n">
        <v>44</v>
      </c>
      <c r="C45" s="11">
        <f t="array" ref="C45">IFERROR(INDEX(Milestones!$A:$A, MATCH($B45, Milestones!$B:$B, 0)), "")</f>
        <v/>
      </c>
      <c r="D45" s="11">
        <f t="array" ref="D45">IFERROR(INDEX(Milestones!$C:$C, MATCH($B45, Milestones!$B:$B, 0)), "")</f>
        <v/>
      </c>
      <c r="F45" s="11">
        <f t="array" ref="F45">IFERROR(INDEX(Milestones!$E:$E, MATCH($B45, Milestones!$B:$B, 0)), "")</f>
        <v/>
      </c>
      <c r="I45" s="11" t="n"/>
      <c r="J45" s="20" t="n"/>
      <c r="K45" s="11" t="n"/>
      <c r="L45" s="11">
        <f t="array" ref="L45">IF($K45="","", IFERROR(IFS($K45="Low", INDEX('Lookups - Complexity'!$C:$C, MATCH($B45, 'Lookups - Complexity'!$B:$B,0)), $K45="Medium", INDEX('Lookups - Complexity'!$D:$D, MATCH($B45, 'Lookups - Complexity'!$B:$B,0)), $K45="High", INDEX('Lookups - Complexity'!$E:$E, MATCH($B45, 'Lookups - Complexity'!$B:$B,0))), ""))</f>
        <v/>
      </c>
      <c r="M45" s="11">
        <f>IF($I45="FTE", Assumptions!$B$3, "")</f>
        <v/>
      </c>
      <c r="N45" s="11">
        <f t="array" ref="N45">IFERROR(INDEX(Milestones!$F:$F, MATCH($B45, Milestones!$B:$B, 0)), "")</f>
        <v/>
      </c>
      <c r="O45" s="11">
        <f t="array" ref="O45">IFERROR(INDEX(Milestones!$G:$G, MATCH($B45, Milestones!$B:$B, 0)), "")</f>
        <v/>
      </c>
      <c r="P45" s="11">
        <f t="array" ref="P45">IFERROR(INDEX('Lookups - Rates'!$D:$D, MATCH($G45&amp;"|"&amp;$H45, 'Lookups - Rates'!$Z:$Z, 0)), "")</f>
        <v/>
      </c>
      <c r="Q45" s="11">
        <f t="array" ref="Q45">IFERROR(INDEX('Lookups - Rates'!$E:$E, MATCH($G45&amp;"|"&amp;$H45, 'Lookups - Rates'!$Z:$Z, 0)), "")</f>
        <v/>
      </c>
      <c r="R45" s="11">
        <f>LET(ev,$J45, ch,$L45, hr,$P45, dr,$Q45, hpday,Assumptions!$B$2, hpw,Assumptions!$B$3, w,$M45, hrs, IF($I45="Hours", ev, IF($I45="Days", ev*IF(dr&gt;0, dr/hr, hpday), IF($I45="FTE", ev*hpw*w, ch))), IF(hrs="", "", hrs*hr))</f>
        <v/>
      </c>
      <c r="S45" s="13" t="n"/>
      <c r="T45" s="11">
        <f t="array" ref="T45">XLOOKUP(Scenario_Selected, INDEX(Scenario_Table,0,1), INDEX(Scenario_Table,0,2))</f>
        <v/>
      </c>
      <c r="U45" s="11">
        <f t="array" ref="U45">XLOOKUP(Scenario_Selected, INDEX(Scenario_Table,0,1), INDEX(Scenario_Table,0,3))</f>
        <v/>
      </c>
      <c r="V45" s="11">
        <f t="array" ref="V45">XLOOKUP(Scenario_Selected, INDEX(Scenario_Table,0,1), INDEX(Scenario_Table,0,4))</f>
        <v/>
      </c>
      <c r="W45" s="11">
        <f t="array" ref="W45">LET(ev,$J45, ch,$L45, et,$I45, dr,$Q45, hpday,Assumptions!$B$2, hpw,Assumptions!$B$3, w,$M45,hm,INDIRECT("R[0]C[0]",FALSE),hrs, IF(et="Hours", ev, IF(et="Days", ev*IF(dr&gt;0, dr/$P45, hpday), IF(et="FTE", ev*hpw*w, ch))), IF(hrs="", "", hrs*hm))</f>
        <v/>
      </c>
      <c r="X45" s="11">
        <f>IF($P45="","", $P45*INDIRECT("R[0]C[-3]",FALSE))</f>
        <v/>
      </c>
      <c r="Y45" s="11">
        <f>IF(INDIRECT("R[0]C[-1]",FALSE)="","", INDIRECT("R[0]C[-2]",FALSE)*INDIRECT("R[0]C[-1]",FALSE)*(1+INDIRECT("R[0]C[-3]",FALSE)))</f>
        <v/>
      </c>
      <c r="Z45" s="13" t="n"/>
    </row>
    <row r="46" ht="15.75" customHeight="1" s="74">
      <c r="A46" s="11" t="n">
        <v>45</v>
      </c>
      <c r="C46" s="11">
        <f t="array" ref="C46">IFERROR(INDEX(Milestones!$A:$A, MATCH($B46, Milestones!$B:$B, 0)), "")</f>
        <v/>
      </c>
      <c r="D46" s="11">
        <f t="array" ref="D46">IFERROR(INDEX(Milestones!$C:$C, MATCH($B46, Milestones!$B:$B, 0)), "")</f>
        <v/>
      </c>
      <c r="F46" s="11">
        <f t="array" ref="F46">IFERROR(INDEX(Milestones!$E:$E, MATCH($B46, Milestones!$B:$B, 0)), "")</f>
        <v/>
      </c>
      <c r="I46" s="11" t="n"/>
      <c r="J46" s="20" t="n"/>
      <c r="K46" s="11" t="n"/>
      <c r="L46" s="11">
        <f t="array" ref="L46">IF($K46="","", IFERROR(IFS($K46="Low", INDEX('Lookups - Complexity'!$C:$C, MATCH($B46, 'Lookups - Complexity'!$B:$B,0)), $K46="Medium", INDEX('Lookups - Complexity'!$D:$D, MATCH($B46, 'Lookups - Complexity'!$B:$B,0)), $K46="High", INDEX('Lookups - Complexity'!$E:$E, MATCH($B46, 'Lookups - Complexity'!$B:$B,0))), ""))</f>
        <v/>
      </c>
      <c r="M46" s="11">
        <f>IF($I46="FTE", Assumptions!$B$3, "")</f>
        <v/>
      </c>
      <c r="N46" s="11">
        <f t="array" ref="N46">IFERROR(INDEX(Milestones!$F:$F, MATCH($B46, Milestones!$B:$B, 0)), "")</f>
        <v/>
      </c>
      <c r="O46" s="11">
        <f t="array" ref="O46">IFERROR(INDEX(Milestones!$G:$G, MATCH($B46, Milestones!$B:$B, 0)), "")</f>
        <v/>
      </c>
      <c r="P46" s="11">
        <f t="array" ref="P46">IFERROR(INDEX('Lookups - Rates'!$D:$D, MATCH($G46&amp;"|"&amp;$H46, 'Lookups - Rates'!$Z:$Z, 0)), "")</f>
        <v/>
      </c>
      <c r="Q46" s="11">
        <f t="array" ref="Q46">IFERROR(INDEX('Lookups - Rates'!$E:$E, MATCH($G46&amp;"|"&amp;$H46, 'Lookups - Rates'!$Z:$Z, 0)), "")</f>
        <v/>
      </c>
      <c r="R46" s="11">
        <f>LET(ev,$J46, ch,$L46, hr,$P46, dr,$Q46, hpday,Assumptions!$B$2, hpw,Assumptions!$B$3, w,$M46, hrs, IF($I46="Hours", ev, IF($I46="Days", ev*IF(dr&gt;0, dr/hr, hpday), IF($I46="FTE", ev*hpw*w, ch))), IF(hrs="", "", hrs*hr))</f>
        <v/>
      </c>
      <c r="S46" s="13" t="n"/>
      <c r="T46" s="11">
        <f t="array" ref="T46">XLOOKUP(Scenario_Selected, INDEX(Scenario_Table,0,1), INDEX(Scenario_Table,0,2))</f>
        <v/>
      </c>
      <c r="U46" s="11">
        <f t="array" ref="U46">XLOOKUP(Scenario_Selected, INDEX(Scenario_Table,0,1), INDEX(Scenario_Table,0,3))</f>
        <v/>
      </c>
      <c r="V46" s="11">
        <f t="array" ref="V46">XLOOKUP(Scenario_Selected, INDEX(Scenario_Table,0,1), INDEX(Scenario_Table,0,4))</f>
        <v/>
      </c>
      <c r="W46" s="11">
        <f t="array" ref="W46">LET(ev,$J46, ch,$L46, et,$I46, dr,$Q46, hpday,Assumptions!$B$2, hpw,Assumptions!$B$3, w,$M46,hm,INDIRECT("R[0]C[0]",FALSE),hrs, IF(et="Hours", ev, IF(et="Days", ev*IF(dr&gt;0, dr/$P46, hpday), IF(et="FTE", ev*hpw*w, ch))), IF(hrs="", "", hrs*hm))</f>
        <v/>
      </c>
      <c r="X46" s="11">
        <f>IF($P46="","", $P46*INDIRECT("R[0]C[-3]",FALSE))</f>
        <v/>
      </c>
      <c r="Y46" s="11">
        <f>IF(INDIRECT("R[0]C[-1]",FALSE)="","", INDIRECT("R[0]C[-2]",FALSE)*INDIRECT("R[0]C[-1]",FALSE)*(1+INDIRECT("R[0]C[-3]",FALSE)))</f>
        <v/>
      </c>
      <c r="Z46" s="13" t="n"/>
    </row>
    <row r="47" ht="15.75" customHeight="1" s="74">
      <c r="A47" s="11" t="n">
        <v>46</v>
      </c>
      <c r="C47" s="11">
        <f t="array" ref="C47">IFERROR(INDEX(Milestones!$A:$A, MATCH($B47, Milestones!$B:$B, 0)), "")</f>
        <v/>
      </c>
      <c r="D47" s="11">
        <f t="array" ref="D47">IFERROR(INDEX(Milestones!$C:$C, MATCH($B47, Milestones!$B:$B, 0)), "")</f>
        <v/>
      </c>
      <c r="F47" s="11">
        <f t="array" ref="F47">IFERROR(INDEX(Milestones!$E:$E, MATCH($B47, Milestones!$B:$B, 0)), "")</f>
        <v/>
      </c>
      <c r="I47" s="11" t="n"/>
      <c r="J47" s="20" t="n"/>
      <c r="K47" s="11" t="n"/>
      <c r="L47" s="11">
        <f t="array" ref="L47">IF($K47="","", IFERROR(IFS($K47="Low", INDEX('Lookups - Complexity'!$C:$C, MATCH($B47, 'Lookups - Complexity'!$B:$B,0)), $K47="Medium", INDEX('Lookups - Complexity'!$D:$D, MATCH($B47, 'Lookups - Complexity'!$B:$B,0)), $K47="High", INDEX('Lookups - Complexity'!$E:$E, MATCH($B47, 'Lookups - Complexity'!$B:$B,0))), ""))</f>
        <v/>
      </c>
      <c r="M47" s="11">
        <f>IF($I47="FTE", Assumptions!$B$3, "")</f>
        <v/>
      </c>
      <c r="N47" s="11">
        <f t="array" ref="N47">IFERROR(INDEX(Milestones!$F:$F, MATCH($B47, Milestones!$B:$B, 0)), "")</f>
        <v/>
      </c>
      <c r="O47" s="11">
        <f t="array" ref="O47">IFERROR(INDEX(Milestones!$G:$G, MATCH($B47, Milestones!$B:$B, 0)), "")</f>
        <v/>
      </c>
      <c r="P47" s="11">
        <f t="array" ref="P47">IFERROR(INDEX('Lookups - Rates'!$D:$D, MATCH($G47&amp;"|"&amp;$H47, 'Lookups - Rates'!$Z:$Z, 0)), "")</f>
        <v/>
      </c>
      <c r="Q47" s="11">
        <f t="array" ref="Q47">IFERROR(INDEX('Lookups - Rates'!$E:$E, MATCH($G47&amp;"|"&amp;$H47, 'Lookups - Rates'!$Z:$Z, 0)), "")</f>
        <v/>
      </c>
      <c r="R47" s="11">
        <f>LET(ev,$J47, ch,$L47, hr,$P47, dr,$Q47, hpday,Assumptions!$B$2, hpw,Assumptions!$B$3, w,$M47, hrs, IF($I47="Hours", ev, IF($I47="Days", ev*IF(dr&gt;0, dr/hr, hpday), IF($I47="FTE", ev*hpw*w, ch))), IF(hrs="", "", hrs*hr))</f>
        <v/>
      </c>
      <c r="S47" s="13" t="n"/>
      <c r="T47" s="11">
        <f t="array" ref="T47">XLOOKUP(Scenario_Selected, INDEX(Scenario_Table,0,1), INDEX(Scenario_Table,0,2))</f>
        <v/>
      </c>
      <c r="U47" s="11">
        <f t="array" ref="U47">XLOOKUP(Scenario_Selected, INDEX(Scenario_Table,0,1), INDEX(Scenario_Table,0,3))</f>
        <v/>
      </c>
      <c r="V47" s="11">
        <f t="array" ref="V47">XLOOKUP(Scenario_Selected, INDEX(Scenario_Table,0,1), INDEX(Scenario_Table,0,4))</f>
        <v/>
      </c>
      <c r="W47" s="11">
        <f t="array" ref="W47">LET(ev,$J47, ch,$L47, et,$I47, dr,$Q47, hpday,Assumptions!$B$2, hpw,Assumptions!$B$3, w,$M47,hm,INDIRECT("R[0]C[0]",FALSE),hrs, IF(et="Hours", ev, IF(et="Days", ev*IF(dr&gt;0, dr/$P47, hpday), IF(et="FTE", ev*hpw*w, ch))), IF(hrs="", "", hrs*hm))</f>
        <v/>
      </c>
      <c r="X47" s="11">
        <f>IF($P47="","", $P47*INDIRECT("R[0]C[-3]",FALSE))</f>
        <v/>
      </c>
      <c r="Y47" s="11">
        <f>IF(INDIRECT("R[0]C[-1]",FALSE)="","", INDIRECT("R[0]C[-2]",FALSE)*INDIRECT("R[0]C[-1]",FALSE)*(1+INDIRECT("R[0]C[-3]",FALSE)))</f>
        <v/>
      </c>
      <c r="Z47" s="13" t="n"/>
    </row>
    <row r="48" ht="15.75" customHeight="1" s="74">
      <c r="A48" s="11" t="n">
        <v>47</v>
      </c>
      <c r="C48" s="11">
        <f t="array" ref="C48">IFERROR(INDEX(Milestones!$A:$A, MATCH($B48, Milestones!$B:$B, 0)), "")</f>
        <v/>
      </c>
      <c r="D48" s="11">
        <f t="array" ref="D48">IFERROR(INDEX(Milestones!$C:$C, MATCH($B48, Milestones!$B:$B, 0)), "")</f>
        <v/>
      </c>
      <c r="F48" s="11">
        <f t="array" ref="F48">IFERROR(INDEX(Milestones!$E:$E, MATCH($B48, Milestones!$B:$B, 0)), "")</f>
        <v/>
      </c>
      <c r="I48" s="11" t="n"/>
      <c r="J48" s="20" t="n"/>
      <c r="K48" s="11" t="n"/>
      <c r="L48" s="11">
        <f t="array" ref="L48">IF($K48="","", IFERROR(IFS($K48="Low", INDEX('Lookups - Complexity'!$C:$C, MATCH($B48, 'Lookups - Complexity'!$B:$B,0)), $K48="Medium", INDEX('Lookups - Complexity'!$D:$D, MATCH($B48, 'Lookups - Complexity'!$B:$B,0)), $K48="High", INDEX('Lookups - Complexity'!$E:$E, MATCH($B48, 'Lookups - Complexity'!$B:$B,0))), ""))</f>
        <v/>
      </c>
      <c r="M48" s="11">
        <f>IF($I48="FTE", Assumptions!$B$3, "")</f>
        <v/>
      </c>
      <c r="N48" s="11">
        <f t="array" ref="N48">IFERROR(INDEX(Milestones!$F:$F, MATCH($B48, Milestones!$B:$B, 0)), "")</f>
        <v/>
      </c>
      <c r="O48" s="11">
        <f t="array" ref="O48">IFERROR(INDEX(Milestones!$G:$G, MATCH($B48, Milestones!$B:$B, 0)), "")</f>
        <v/>
      </c>
      <c r="P48" s="11">
        <f t="array" ref="P48">IFERROR(INDEX('Lookups - Rates'!$D:$D, MATCH($G48&amp;"|"&amp;$H48, 'Lookups - Rates'!$Z:$Z, 0)), "")</f>
        <v/>
      </c>
      <c r="Q48" s="11">
        <f t="array" ref="Q48">IFERROR(INDEX('Lookups - Rates'!$E:$E, MATCH($G48&amp;"|"&amp;$H48, 'Lookups - Rates'!$Z:$Z, 0)), "")</f>
        <v/>
      </c>
      <c r="R48" s="11">
        <f>LET(ev,$J48, ch,$L48, hr,$P48, dr,$Q48, hpday,Assumptions!$B$2, hpw,Assumptions!$B$3, w,$M48, hrs, IF($I48="Hours", ev, IF($I48="Days", ev*IF(dr&gt;0, dr/hr, hpday), IF($I48="FTE", ev*hpw*w, ch))), IF(hrs="", "", hrs*hr))</f>
        <v/>
      </c>
      <c r="S48" s="13" t="n"/>
      <c r="T48" s="11">
        <f t="array" ref="T48">XLOOKUP(Scenario_Selected, INDEX(Scenario_Table,0,1), INDEX(Scenario_Table,0,2))</f>
        <v/>
      </c>
      <c r="U48" s="11">
        <f t="array" ref="U48">XLOOKUP(Scenario_Selected, INDEX(Scenario_Table,0,1), INDEX(Scenario_Table,0,3))</f>
        <v/>
      </c>
      <c r="V48" s="11">
        <f t="array" ref="V48">XLOOKUP(Scenario_Selected, INDEX(Scenario_Table,0,1), INDEX(Scenario_Table,0,4))</f>
        <v/>
      </c>
      <c r="W48" s="11">
        <f t="array" ref="W48">LET(ev,$J48, ch,$L48, et,$I48, dr,$Q48, hpday,Assumptions!$B$2, hpw,Assumptions!$B$3, w,$M48,hm,INDIRECT("R[0]C[0]",FALSE),hrs, IF(et="Hours", ev, IF(et="Days", ev*IF(dr&gt;0, dr/$P48, hpday), IF(et="FTE", ev*hpw*w, ch))), IF(hrs="", "", hrs*hm))</f>
        <v/>
      </c>
      <c r="X48" s="11">
        <f>IF($P48="","", $P48*INDIRECT("R[0]C[-3]",FALSE))</f>
        <v/>
      </c>
      <c r="Y48" s="11">
        <f>IF(INDIRECT("R[0]C[-1]",FALSE)="","", INDIRECT("R[0]C[-2]",FALSE)*INDIRECT("R[0]C[-1]",FALSE)*(1+INDIRECT("R[0]C[-3]",FALSE)))</f>
        <v/>
      </c>
      <c r="Z48" s="13" t="n"/>
    </row>
    <row r="49" ht="15.75" customHeight="1" s="74">
      <c r="A49" s="11" t="n">
        <v>48</v>
      </c>
      <c r="C49" s="11">
        <f t="array" ref="C49">IFERROR(INDEX(Milestones!$A:$A, MATCH($B49, Milestones!$B:$B, 0)), "")</f>
        <v/>
      </c>
      <c r="D49" s="11">
        <f t="array" ref="D49">IFERROR(INDEX(Milestones!$C:$C, MATCH($B49, Milestones!$B:$B, 0)), "")</f>
        <v/>
      </c>
      <c r="F49" s="11">
        <f t="array" ref="F49">IFERROR(INDEX(Milestones!$E:$E, MATCH($B49, Milestones!$B:$B, 0)), "")</f>
        <v/>
      </c>
      <c r="I49" s="11" t="n"/>
      <c r="J49" s="20" t="n"/>
      <c r="K49" s="11" t="n"/>
      <c r="L49" s="11">
        <f t="array" ref="L49">IF($K49="","", IFERROR(IFS($K49="Low", INDEX('Lookups - Complexity'!$C:$C, MATCH($B49, 'Lookups - Complexity'!$B:$B,0)), $K49="Medium", INDEX('Lookups - Complexity'!$D:$D, MATCH($B49, 'Lookups - Complexity'!$B:$B,0)), $K49="High", INDEX('Lookups - Complexity'!$E:$E, MATCH($B49, 'Lookups - Complexity'!$B:$B,0))), ""))</f>
        <v/>
      </c>
      <c r="M49" s="11">
        <f>IF($I49="FTE", Assumptions!$B$3, "")</f>
        <v/>
      </c>
      <c r="N49" s="11">
        <f t="array" ref="N49">IFERROR(INDEX(Milestones!$F:$F, MATCH($B49, Milestones!$B:$B, 0)), "")</f>
        <v/>
      </c>
      <c r="O49" s="11">
        <f t="array" ref="O49">IFERROR(INDEX(Milestones!$G:$G, MATCH($B49, Milestones!$B:$B, 0)), "")</f>
        <v/>
      </c>
      <c r="P49" s="11">
        <f t="array" ref="P49">IFERROR(INDEX('Lookups - Rates'!$D:$D, MATCH($G49&amp;"|"&amp;$H49, 'Lookups - Rates'!$Z:$Z, 0)), "")</f>
        <v/>
      </c>
      <c r="Q49" s="11">
        <f t="array" ref="Q49">IFERROR(INDEX('Lookups - Rates'!$E:$E, MATCH($G49&amp;"|"&amp;$H49, 'Lookups - Rates'!$Z:$Z, 0)), "")</f>
        <v/>
      </c>
      <c r="R49" s="11">
        <f>LET(ev,$J49, ch,$L49, hr,$P49, dr,$Q49, hpday,Assumptions!$B$2, hpw,Assumptions!$B$3, w,$M49, hrs, IF($I49="Hours", ev, IF($I49="Days", ev*IF(dr&gt;0, dr/hr, hpday), IF($I49="FTE", ev*hpw*w, ch))), IF(hrs="", "", hrs*hr))</f>
        <v/>
      </c>
      <c r="S49" s="13" t="n"/>
      <c r="T49" s="11">
        <f t="array" ref="T49">XLOOKUP(Scenario_Selected, INDEX(Scenario_Table,0,1), INDEX(Scenario_Table,0,2))</f>
        <v/>
      </c>
      <c r="U49" s="11">
        <f t="array" ref="U49">XLOOKUP(Scenario_Selected, INDEX(Scenario_Table,0,1), INDEX(Scenario_Table,0,3))</f>
        <v/>
      </c>
      <c r="V49" s="11">
        <f t="array" ref="V49">XLOOKUP(Scenario_Selected, INDEX(Scenario_Table,0,1), INDEX(Scenario_Table,0,4))</f>
        <v/>
      </c>
      <c r="W49" s="11">
        <f t="array" ref="W49">LET(ev,$J49, ch,$L49, et,$I49, dr,$Q49, hpday,Assumptions!$B$2, hpw,Assumptions!$B$3, w,$M49,hm,INDIRECT("R[0]C[0]",FALSE),hrs, IF(et="Hours", ev, IF(et="Days", ev*IF(dr&gt;0, dr/$P49, hpday), IF(et="FTE", ev*hpw*w, ch))), IF(hrs="", "", hrs*hm))</f>
        <v/>
      </c>
      <c r="X49" s="11">
        <f>IF($P49="","", $P49*INDIRECT("R[0]C[-3]",FALSE))</f>
        <v/>
      </c>
      <c r="Y49" s="11">
        <f>IF(INDIRECT("R[0]C[-1]",FALSE)="","", INDIRECT("R[0]C[-2]",FALSE)*INDIRECT("R[0]C[-1]",FALSE)*(1+INDIRECT("R[0]C[-3]",FALSE)))</f>
        <v/>
      </c>
      <c r="Z49" s="13" t="n"/>
    </row>
    <row r="50" ht="15.75" customHeight="1" s="74">
      <c r="A50" s="11" t="n">
        <v>49</v>
      </c>
      <c r="C50" s="11">
        <f t="array" ref="C50">IFERROR(INDEX(Milestones!$A:$A, MATCH($B50, Milestones!$B:$B, 0)), "")</f>
        <v/>
      </c>
      <c r="D50" s="11">
        <f t="array" ref="D50">IFERROR(INDEX(Milestones!$C:$C, MATCH($B50, Milestones!$B:$B, 0)), "")</f>
        <v/>
      </c>
      <c r="F50" s="11">
        <f t="array" ref="F50">IFERROR(INDEX(Milestones!$E:$E, MATCH($B50, Milestones!$B:$B, 0)), "")</f>
        <v/>
      </c>
      <c r="I50" s="11" t="n"/>
      <c r="J50" s="20" t="n"/>
      <c r="K50" s="11" t="n"/>
      <c r="L50" s="11">
        <f t="array" ref="L50">IF($K50="","", IFERROR(IFS($K50="Low", INDEX('Lookups - Complexity'!$C:$C, MATCH($B50, 'Lookups - Complexity'!$B:$B,0)), $K50="Medium", INDEX('Lookups - Complexity'!$D:$D, MATCH($B50, 'Lookups - Complexity'!$B:$B,0)), $K50="High", INDEX('Lookups - Complexity'!$E:$E, MATCH($B50, 'Lookups - Complexity'!$B:$B,0))), ""))</f>
        <v/>
      </c>
      <c r="M50" s="11">
        <f>IF($I50="FTE", Assumptions!$B$3, "")</f>
        <v/>
      </c>
      <c r="N50" s="11">
        <f t="array" ref="N50">IFERROR(INDEX(Milestones!$F:$F, MATCH($B50, Milestones!$B:$B, 0)), "")</f>
        <v/>
      </c>
      <c r="O50" s="11">
        <f t="array" ref="O50">IFERROR(INDEX(Milestones!$G:$G, MATCH($B50, Milestones!$B:$B, 0)), "")</f>
        <v/>
      </c>
      <c r="P50" s="11">
        <f t="array" ref="P50">IFERROR(INDEX('Lookups - Rates'!$D:$D, MATCH($G50&amp;"|"&amp;$H50, 'Lookups - Rates'!$Z:$Z, 0)), "")</f>
        <v/>
      </c>
      <c r="Q50" s="11">
        <f t="array" ref="Q50">IFERROR(INDEX('Lookups - Rates'!$E:$E, MATCH($G50&amp;"|"&amp;$H50, 'Lookups - Rates'!$Z:$Z, 0)), "")</f>
        <v/>
      </c>
      <c r="R50" s="11">
        <f>LET(ev,$J50, ch,$L50, hr,$P50, dr,$Q50, hpday,Assumptions!$B$2, hpw,Assumptions!$B$3, w,$M50, hrs, IF($I50="Hours", ev, IF($I50="Days", ev*IF(dr&gt;0, dr/hr, hpday), IF($I50="FTE", ev*hpw*w, ch))), IF(hrs="", "", hrs*hr))</f>
        <v/>
      </c>
      <c r="S50" s="13" t="n"/>
      <c r="T50" s="11">
        <f t="array" ref="T50">XLOOKUP(Scenario_Selected, INDEX(Scenario_Table,0,1), INDEX(Scenario_Table,0,2))</f>
        <v/>
      </c>
      <c r="U50" s="11">
        <f t="array" ref="U50">XLOOKUP(Scenario_Selected, INDEX(Scenario_Table,0,1), INDEX(Scenario_Table,0,3))</f>
        <v/>
      </c>
      <c r="V50" s="11">
        <f t="array" ref="V50">XLOOKUP(Scenario_Selected, INDEX(Scenario_Table,0,1), INDEX(Scenario_Table,0,4))</f>
        <v/>
      </c>
      <c r="W50" s="11">
        <f t="array" ref="W50">LET(ev,$J50, ch,$L50, et,$I50, dr,$Q50, hpday,Assumptions!$B$2, hpw,Assumptions!$B$3, w,$M50,hm,INDIRECT("R[0]C[0]",FALSE),hrs, IF(et="Hours", ev, IF(et="Days", ev*IF(dr&gt;0, dr/$P50, hpday), IF(et="FTE", ev*hpw*w, ch))), IF(hrs="", "", hrs*hm))</f>
        <v/>
      </c>
      <c r="X50" s="11">
        <f>IF($P50="","", $P50*INDIRECT("R[0]C[-3]",FALSE))</f>
        <v/>
      </c>
      <c r="Y50" s="11">
        <f>IF(INDIRECT("R[0]C[-1]",FALSE)="","", INDIRECT("R[0]C[-2]",FALSE)*INDIRECT("R[0]C[-1]",FALSE)*(1+INDIRECT("R[0]C[-3]",FALSE)))</f>
        <v/>
      </c>
      <c r="Z50" s="13" t="n"/>
    </row>
    <row r="51" ht="15.75" customHeight="1" s="74">
      <c r="A51" s="11" t="n">
        <v>50</v>
      </c>
      <c r="C51" s="11">
        <f t="array" ref="C51">IFERROR(INDEX(Milestones!$A:$A, MATCH($B51, Milestones!$B:$B, 0)), "")</f>
        <v/>
      </c>
      <c r="D51" s="11">
        <f t="array" ref="D51">IFERROR(INDEX(Milestones!$C:$C, MATCH($B51, Milestones!$B:$B, 0)), "")</f>
        <v/>
      </c>
      <c r="F51" s="11">
        <f t="array" ref="F51">IFERROR(INDEX(Milestones!$E:$E, MATCH($B51, Milestones!$B:$B, 0)), "")</f>
        <v/>
      </c>
      <c r="I51" s="11" t="n"/>
      <c r="J51" s="20" t="n"/>
      <c r="K51" s="11" t="n"/>
      <c r="L51" s="11">
        <f t="array" ref="L51">IF($K51="","", IFERROR(IFS($K51="Low", INDEX('Lookups - Complexity'!$C:$C, MATCH($B51, 'Lookups - Complexity'!$B:$B,0)), $K51="Medium", INDEX('Lookups - Complexity'!$D:$D, MATCH($B51, 'Lookups - Complexity'!$B:$B,0)), $K51="High", INDEX('Lookups - Complexity'!$E:$E, MATCH($B51, 'Lookups - Complexity'!$B:$B,0))), ""))</f>
        <v/>
      </c>
      <c r="M51" s="11">
        <f>IF($I51="FTE", Assumptions!$B$3, "")</f>
        <v/>
      </c>
      <c r="N51" s="11">
        <f t="array" ref="N51">IFERROR(INDEX(Milestones!$F:$F, MATCH($B51, Milestones!$B:$B, 0)), "")</f>
        <v/>
      </c>
      <c r="O51" s="11">
        <f t="array" ref="O51">IFERROR(INDEX(Milestones!$G:$G, MATCH($B51, Milestones!$B:$B, 0)), "")</f>
        <v/>
      </c>
      <c r="P51" s="11">
        <f t="array" ref="P51">IFERROR(INDEX('Lookups - Rates'!$D:$D, MATCH($G51&amp;"|"&amp;$H51, 'Lookups - Rates'!$Z:$Z, 0)), "")</f>
        <v/>
      </c>
      <c r="Q51" s="11">
        <f t="array" ref="Q51">IFERROR(INDEX('Lookups - Rates'!$E:$E, MATCH($G51&amp;"|"&amp;$H51, 'Lookups - Rates'!$Z:$Z, 0)), "")</f>
        <v/>
      </c>
      <c r="R51" s="11">
        <f>LET(ev,$J51, ch,$L51, hr,$P51, dr,$Q51, hpday,Assumptions!$B$2, hpw,Assumptions!$B$3, w,$M51, hrs, IF($I51="Hours", ev, IF($I51="Days", ev*IF(dr&gt;0, dr/hr, hpday), IF($I51="FTE", ev*hpw*w, ch))), IF(hrs="", "", hrs*hr))</f>
        <v/>
      </c>
      <c r="S51" s="13" t="n"/>
      <c r="T51" s="11">
        <f t="array" ref="T51">XLOOKUP(Scenario_Selected, INDEX(Scenario_Table,0,1), INDEX(Scenario_Table,0,2))</f>
        <v/>
      </c>
      <c r="U51" s="11">
        <f t="array" ref="U51">XLOOKUP(Scenario_Selected, INDEX(Scenario_Table,0,1), INDEX(Scenario_Table,0,3))</f>
        <v/>
      </c>
      <c r="V51" s="11">
        <f t="array" ref="V51">XLOOKUP(Scenario_Selected, INDEX(Scenario_Table,0,1), INDEX(Scenario_Table,0,4))</f>
        <v/>
      </c>
      <c r="W51" s="11">
        <f t="array" ref="W51">LET(ev,$J51, ch,$L51, et,$I51, dr,$Q51, hpday,Assumptions!$B$2, hpw,Assumptions!$B$3, w,$M51,hm,INDIRECT("R[0]C[0]",FALSE),hrs, IF(et="Hours", ev, IF(et="Days", ev*IF(dr&gt;0, dr/$P51, hpday), IF(et="FTE", ev*hpw*w, ch))), IF(hrs="", "", hrs*hm))</f>
        <v/>
      </c>
      <c r="X51" s="11">
        <f>IF($P51="","", $P51*INDIRECT("R[0]C[-3]",FALSE))</f>
        <v/>
      </c>
      <c r="Y51" s="11">
        <f>IF(INDIRECT("R[0]C[-1]",FALSE)="","", INDIRECT("R[0]C[-2]",FALSE)*INDIRECT("R[0]C[-1]",FALSE)*(1+INDIRECT("R[0]C[-3]",FALSE)))</f>
        <v/>
      </c>
      <c r="Z51" s="13" t="n"/>
    </row>
    <row r="52" ht="15.75" customHeight="1" s="74">
      <c r="A52" s="11" t="n">
        <v>51</v>
      </c>
      <c r="C52" s="11">
        <f t="array" ref="C52">IFERROR(INDEX(Milestones!$A:$A, MATCH($B52, Milestones!$B:$B, 0)), "")</f>
        <v/>
      </c>
      <c r="D52" s="11">
        <f t="array" ref="D52">IFERROR(INDEX(Milestones!$C:$C, MATCH($B52, Milestones!$B:$B, 0)), "")</f>
        <v/>
      </c>
      <c r="F52" s="11">
        <f t="array" ref="F52">IFERROR(INDEX(Milestones!$E:$E, MATCH($B52, Milestones!$B:$B, 0)), "")</f>
        <v/>
      </c>
      <c r="I52" s="11" t="n"/>
      <c r="J52" s="20" t="n"/>
      <c r="K52" s="11" t="n"/>
      <c r="L52" s="11">
        <f t="array" ref="L52">IF($K52="","", IFERROR(IFS($K52="Low", INDEX('Lookups - Complexity'!$C:$C, MATCH($B52, 'Lookups - Complexity'!$B:$B,0)), $K52="Medium", INDEX('Lookups - Complexity'!$D:$D, MATCH($B52, 'Lookups - Complexity'!$B:$B,0)), $K52="High", INDEX('Lookups - Complexity'!$E:$E, MATCH($B52, 'Lookups - Complexity'!$B:$B,0))), ""))</f>
        <v/>
      </c>
      <c r="M52" s="11">
        <f>IF($I52="FTE", Assumptions!$B$3, "")</f>
        <v/>
      </c>
      <c r="N52" s="11">
        <f t="array" ref="N52">IFERROR(INDEX(Milestones!$F:$F, MATCH($B52, Milestones!$B:$B, 0)), "")</f>
        <v/>
      </c>
      <c r="O52" s="11">
        <f t="array" ref="O52">IFERROR(INDEX(Milestones!$G:$G, MATCH($B52, Milestones!$B:$B, 0)), "")</f>
        <v/>
      </c>
      <c r="P52" s="11">
        <f t="array" ref="P52">IFERROR(INDEX('Lookups - Rates'!$D:$D, MATCH($G52&amp;"|"&amp;$H52, 'Lookups - Rates'!$Z:$Z, 0)), "")</f>
        <v/>
      </c>
      <c r="Q52" s="11">
        <f t="array" ref="Q52">IFERROR(INDEX('Lookups - Rates'!$E:$E, MATCH($G52&amp;"|"&amp;$H52, 'Lookups - Rates'!$Z:$Z, 0)), "")</f>
        <v/>
      </c>
      <c r="R52" s="11">
        <f>LET(ev,$J52, ch,$L52, hr,$P52, dr,$Q52, hpday,Assumptions!$B$2, hpw,Assumptions!$B$3, w,$M52, hrs, IF($I52="Hours", ev, IF($I52="Days", ev*IF(dr&gt;0, dr/hr, hpday), IF($I52="FTE", ev*hpw*w, ch))), IF(hrs="", "", hrs*hr))</f>
        <v/>
      </c>
      <c r="S52" s="13" t="n"/>
      <c r="T52" s="11">
        <f t="array" ref="T52">XLOOKUP(Scenario_Selected, INDEX(Scenario_Table,0,1), INDEX(Scenario_Table,0,2))</f>
        <v/>
      </c>
      <c r="U52" s="11">
        <f t="array" ref="U52">XLOOKUP(Scenario_Selected, INDEX(Scenario_Table,0,1), INDEX(Scenario_Table,0,3))</f>
        <v/>
      </c>
      <c r="V52" s="11">
        <f t="array" ref="V52">XLOOKUP(Scenario_Selected, INDEX(Scenario_Table,0,1), INDEX(Scenario_Table,0,4))</f>
        <v/>
      </c>
      <c r="W52" s="11">
        <f t="array" ref="W52">LET(ev,$J52, ch,$L52, et,$I52, dr,$Q52, hpday,Assumptions!$B$2, hpw,Assumptions!$B$3, w,$M52,hm,INDIRECT("R[0]C[0]",FALSE),hrs, IF(et="Hours", ev, IF(et="Days", ev*IF(dr&gt;0, dr/$P52, hpday), IF(et="FTE", ev*hpw*w, ch))), IF(hrs="", "", hrs*hm))</f>
        <v/>
      </c>
      <c r="X52" s="11">
        <f>IF($P52="","", $P52*INDIRECT("R[0]C[-3]",FALSE))</f>
        <v/>
      </c>
      <c r="Y52" s="11">
        <f>IF(INDIRECT("R[0]C[-1]",FALSE)="","", INDIRECT("R[0]C[-2]",FALSE)*INDIRECT("R[0]C[-1]",FALSE)*(1+INDIRECT("R[0]C[-3]",FALSE)))</f>
        <v/>
      </c>
      <c r="Z52" s="13" t="n"/>
    </row>
    <row r="53" ht="15.75" customHeight="1" s="74">
      <c r="A53" s="11" t="n">
        <v>52</v>
      </c>
      <c r="C53" s="11">
        <f t="array" ref="C53">IFERROR(INDEX(Milestones!$A:$A, MATCH($B53, Milestones!$B:$B, 0)), "")</f>
        <v/>
      </c>
      <c r="D53" s="11">
        <f t="array" ref="D53">IFERROR(INDEX(Milestones!$C:$C, MATCH($B53, Milestones!$B:$B, 0)), "")</f>
        <v/>
      </c>
      <c r="F53" s="11">
        <f t="array" ref="F53">IFERROR(INDEX(Milestones!$E:$E, MATCH($B53, Milestones!$B:$B, 0)), "")</f>
        <v/>
      </c>
      <c r="I53" s="11" t="n"/>
      <c r="J53" s="20" t="n"/>
      <c r="K53" s="11" t="n"/>
      <c r="L53" s="11">
        <f t="array" ref="L53">IF($K53="","", IFERROR(IFS($K53="Low", INDEX('Lookups - Complexity'!$C:$C, MATCH($B53, 'Lookups - Complexity'!$B:$B,0)), $K53="Medium", INDEX('Lookups - Complexity'!$D:$D, MATCH($B53, 'Lookups - Complexity'!$B:$B,0)), $K53="High", INDEX('Lookups - Complexity'!$E:$E, MATCH($B53, 'Lookups - Complexity'!$B:$B,0))), ""))</f>
        <v/>
      </c>
      <c r="M53" s="11">
        <f>IF($I53="FTE", Assumptions!$B$3, "")</f>
        <v/>
      </c>
      <c r="N53" s="11">
        <f t="array" ref="N53">IFERROR(INDEX(Milestones!$F:$F, MATCH($B53, Milestones!$B:$B, 0)), "")</f>
        <v/>
      </c>
      <c r="O53" s="11">
        <f t="array" ref="O53">IFERROR(INDEX(Milestones!$G:$G, MATCH($B53, Milestones!$B:$B, 0)), "")</f>
        <v/>
      </c>
      <c r="P53" s="11">
        <f t="array" ref="P53">IFERROR(INDEX('Lookups - Rates'!$D:$D, MATCH($G53&amp;"|"&amp;$H53, 'Lookups - Rates'!$Z:$Z, 0)), "")</f>
        <v/>
      </c>
      <c r="Q53" s="11">
        <f t="array" ref="Q53">IFERROR(INDEX('Lookups - Rates'!$E:$E, MATCH($G53&amp;"|"&amp;$H53, 'Lookups - Rates'!$Z:$Z, 0)), "")</f>
        <v/>
      </c>
      <c r="R53" s="11">
        <f>LET(ev,$J53, ch,$L53, hr,$P53, dr,$Q53, hpday,Assumptions!$B$2, hpw,Assumptions!$B$3, w,$M53, hrs, IF($I53="Hours", ev, IF($I53="Days", ev*IF(dr&gt;0, dr/hr, hpday), IF($I53="FTE", ev*hpw*w, ch))), IF(hrs="", "", hrs*hr))</f>
        <v/>
      </c>
      <c r="S53" s="13" t="n"/>
      <c r="T53" s="11">
        <f t="array" ref="T53">XLOOKUP(Scenario_Selected, INDEX(Scenario_Table,0,1), INDEX(Scenario_Table,0,2))</f>
        <v/>
      </c>
      <c r="U53" s="11">
        <f t="array" ref="U53">XLOOKUP(Scenario_Selected, INDEX(Scenario_Table,0,1), INDEX(Scenario_Table,0,3))</f>
        <v/>
      </c>
      <c r="V53" s="11">
        <f t="array" ref="V53">XLOOKUP(Scenario_Selected, INDEX(Scenario_Table,0,1), INDEX(Scenario_Table,0,4))</f>
        <v/>
      </c>
      <c r="W53" s="11">
        <f t="array" ref="W53">LET(ev,$J53, ch,$L53, et,$I53, dr,$Q53, hpday,Assumptions!$B$2, hpw,Assumptions!$B$3, w,$M53,hm,INDIRECT("R[0]C[0]",FALSE),hrs, IF(et="Hours", ev, IF(et="Days", ev*IF(dr&gt;0, dr/$P53, hpday), IF(et="FTE", ev*hpw*w, ch))), IF(hrs="", "", hrs*hm))</f>
        <v/>
      </c>
      <c r="X53" s="11">
        <f>IF($P53="","", $P53*INDIRECT("R[0]C[-3]",FALSE))</f>
        <v/>
      </c>
      <c r="Y53" s="11">
        <f>IF(INDIRECT("R[0]C[-1]",FALSE)="","", INDIRECT("R[0]C[-2]",FALSE)*INDIRECT("R[0]C[-1]",FALSE)*(1+INDIRECT("R[0]C[-3]",FALSE)))</f>
        <v/>
      </c>
      <c r="Z53" s="13" t="n"/>
    </row>
    <row r="54" ht="15.75" customHeight="1" s="74">
      <c r="A54" s="11" t="n">
        <v>53</v>
      </c>
      <c r="C54" s="11">
        <f t="array" ref="C54">IFERROR(INDEX(Milestones!$A:$A, MATCH($B54, Milestones!$B:$B, 0)), "")</f>
        <v/>
      </c>
      <c r="D54" s="11">
        <f t="array" ref="D54">IFERROR(INDEX(Milestones!$C:$C, MATCH($B54, Milestones!$B:$B, 0)), "")</f>
        <v/>
      </c>
      <c r="F54" s="11">
        <f t="array" ref="F54">IFERROR(INDEX(Milestones!$E:$E, MATCH($B54, Milestones!$B:$B, 0)), "")</f>
        <v/>
      </c>
      <c r="I54" s="11" t="n"/>
      <c r="J54" s="20" t="n"/>
      <c r="K54" s="11" t="n"/>
      <c r="L54" s="11">
        <f t="array" ref="L54">IF($K54="","", IFERROR(IFS($K54="Low", INDEX('Lookups - Complexity'!$C:$C, MATCH($B54, 'Lookups - Complexity'!$B:$B,0)), $K54="Medium", INDEX('Lookups - Complexity'!$D:$D, MATCH($B54, 'Lookups - Complexity'!$B:$B,0)), $K54="High", INDEX('Lookups - Complexity'!$E:$E, MATCH($B54, 'Lookups - Complexity'!$B:$B,0))), ""))</f>
        <v/>
      </c>
      <c r="M54" s="11">
        <f>IF($I54="FTE", Assumptions!$B$3, "")</f>
        <v/>
      </c>
      <c r="N54" s="11">
        <f t="array" ref="N54">IFERROR(INDEX(Milestones!$F:$F, MATCH($B54, Milestones!$B:$B, 0)), "")</f>
        <v/>
      </c>
      <c r="O54" s="11">
        <f t="array" ref="O54">IFERROR(INDEX(Milestones!$G:$G, MATCH($B54, Milestones!$B:$B, 0)), "")</f>
        <v/>
      </c>
      <c r="P54" s="11">
        <f t="array" ref="P54">IFERROR(INDEX('Lookups - Rates'!$D:$D, MATCH($G54&amp;"|"&amp;$H54, 'Lookups - Rates'!$Z:$Z, 0)), "")</f>
        <v/>
      </c>
      <c r="Q54" s="11">
        <f t="array" ref="Q54">IFERROR(INDEX('Lookups - Rates'!$E:$E, MATCH($G54&amp;"|"&amp;$H54, 'Lookups - Rates'!$Z:$Z, 0)), "")</f>
        <v/>
      </c>
      <c r="R54" s="11">
        <f>LET(ev,$J54, ch,$L54, hr,$P54, dr,$Q54, hpday,Assumptions!$B$2, hpw,Assumptions!$B$3, w,$M54, hrs, IF($I54="Hours", ev, IF($I54="Days", ev*IF(dr&gt;0, dr/hr, hpday), IF($I54="FTE", ev*hpw*w, ch))), IF(hrs="", "", hrs*hr))</f>
        <v/>
      </c>
      <c r="S54" s="13" t="n"/>
      <c r="T54" s="11">
        <f t="array" ref="T54">XLOOKUP(Scenario_Selected, INDEX(Scenario_Table,0,1), INDEX(Scenario_Table,0,2))</f>
        <v/>
      </c>
      <c r="U54" s="11">
        <f t="array" ref="U54">XLOOKUP(Scenario_Selected, INDEX(Scenario_Table,0,1), INDEX(Scenario_Table,0,3))</f>
        <v/>
      </c>
      <c r="V54" s="11">
        <f t="array" ref="V54">XLOOKUP(Scenario_Selected, INDEX(Scenario_Table,0,1), INDEX(Scenario_Table,0,4))</f>
        <v/>
      </c>
      <c r="W54" s="11">
        <f t="array" ref="W54">LET(ev,$J54, ch,$L54, et,$I54, dr,$Q54, hpday,Assumptions!$B$2, hpw,Assumptions!$B$3, w,$M54,hm,INDIRECT("R[0]C[0]",FALSE),hrs, IF(et="Hours", ev, IF(et="Days", ev*IF(dr&gt;0, dr/$P54, hpday), IF(et="FTE", ev*hpw*w, ch))), IF(hrs="", "", hrs*hm))</f>
        <v/>
      </c>
      <c r="X54" s="11">
        <f>IF($P54="","", $P54*INDIRECT("R[0]C[-3]",FALSE))</f>
        <v/>
      </c>
      <c r="Y54" s="11">
        <f>IF(INDIRECT("R[0]C[-1]",FALSE)="","", INDIRECT("R[0]C[-2]",FALSE)*INDIRECT("R[0]C[-1]",FALSE)*(1+INDIRECT("R[0]C[-3]",FALSE)))</f>
        <v/>
      </c>
      <c r="Z54" s="13" t="n"/>
    </row>
    <row r="55" ht="15.75" customHeight="1" s="74">
      <c r="A55" s="11" t="n">
        <v>54</v>
      </c>
      <c r="C55" s="11">
        <f t="array" ref="C55">IFERROR(INDEX(Milestones!$A:$A, MATCH($B55, Milestones!$B:$B, 0)), "")</f>
        <v/>
      </c>
      <c r="D55" s="11">
        <f t="array" ref="D55">IFERROR(INDEX(Milestones!$C:$C, MATCH($B55, Milestones!$B:$B, 0)), "")</f>
        <v/>
      </c>
      <c r="F55" s="11">
        <f t="array" ref="F55">IFERROR(INDEX(Milestones!$E:$E, MATCH($B55, Milestones!$B:$B, 0)), "")</f>
        <v/>
      </c>
      <c r="I55" s="11" t="n"/>
      <c r="J55" s="20" t="n"/>
      <c r="K55" s="11" t="n"/>
      <c r="L55" s="11">
        <f t="array" ref="L55">IF($K55="","", IFERROR(IFS($K55="Low", INDEX('Lookups - Complexity'!$C:$C, MATCH($B55, 'Lookups - Complexity'!$B:$B,0)), $K55="Medium", INDEX('Lookups - Complexity'!$D:$D, MATCH($B55, 'Lookups - Complexity'!$B:$B,0)), $K55="High", INDEX('Lookups - Complexity'!$E:$E, MATCH($B55, 'Lookups - Complexity'!$B:$B,0))), ""))</f>
        <v/>
      </c>
      <c r="M55" s="11">
        <f>IF($I55="FTE", Assumptions!$B$3, "")</f>
        <v/>
      </c>
      <c r="N55" s="11">
        <f t="array" ref="N55">IFERROR(INDEX(Milestones!$F:$F, MATCH($B55, Milestones!$B:$B, 0)), "")</f>
        <v/>
      </c>
      <c r="O55" s="11">
        <f t="array" ref="O55">IFERROR(INDEX(Milestones!$G:$G, MATCH($B55, Milestones!$B:$B, 0)), "")</f>
        <v/>
      </c>
      <c r="P55" s="11">
        <f t="array" ref="P55">IFERROR(INDEX('Lookups - Rates'!$D:$D, MATCH($G55&amp;"|"&amp;$H55, 'Lookups - Rates'!$Z:$Z, 0)), "")</f>
        <v/>
      </c>
      <c r="Q55" s="11">
        <f t="array" ref="Q55">IFERROR(INDEX('Lookups - Rates'!$E:$E, MATCH($G55&amp;"|"&amp;$H55, 'Lookups - Rates'!$Z:$Z, 0)), "")</f>
        <v/>
      </c>
      <c r="R55" s="11">
        <f>LET(ev,$J55, ch,$L55, hr,$P55, dr,$Q55, hpday,Assumptions!$B$2, hpw,Assumptions!$B$3, w,$M55, hrs, IF($I55="Hours", ev, IF($I55="Days", ev*IF(dr&gt;0, dr/hr, hpday), IF($I55="FTE", ev*hpw*w, ch))), IF(hrs="", "", hrs*hr))</f>
        <v/>
      </c>
      <c r="S55" s="13" t="n"/>
      <c r="T55" s="11">
        <f t="array" ref="T55">XLOOKUP(Scenario_Selected, INDEX(Scenario_Table,0,1), INDEX(Scenario_Table,0,2))</f>
        <v/>
      </c>
      <c r="U55" s="11">
        <f t="array" ref="U55">XLOOKUP(Scenario_Selected, INDEX(Scenario_Table,0,1), INDEX(Scenario_Table,0,3))</f>
        <v/>
      </c>
      <c r="V55" s="11">
        <f t="array" ref="V55">XLOOKUP(Scenario_Selected, INDEX(Scenario_Table,0,1), INDEX(Scenario_Table,0,4))</f>
        <v/>
      </c>
      <c r="W55" s="11">
        <f t="array" ref="W55">LET(ev,$J55, ch,$L55, et,$I55, dr,$Q55, hpday,Assumptions!$B$2, hpw,Assumptions!$B$3, w,$M55,hm,INDIRECT("R[0]C[0]",FALSE),hrs, IF(et="Hours", ev, IF(et="Days", ev*IF(dr&gt;0, dr/$P55, hpday), IF(et="FTE", ev*hpw*w, ch))), IF(hrs="", "", hrs*hm))</f>
        <v/>
      </c>
      <c r="X55" s="11">
        <f>IF($P55="","", $P55*INDIRECT("R[0]C[-3]",FALSE))</f>
        <v/>
      </c>
      <c r="Y55" s="11">
        <f>IF(INDIRECT("R[0]C[-1]",FALSE)="","", INDIRECT("R[0]C[-2]",FALSE)*INDIRECT("R[0]C[-1]",FALSE)*(1+INDIRECT("R[0]C[-3]",FALSE)))</f>
        <v/>
      </c>
      <c r="Z55" s="13" t="n"/>
    </row>
    <row r="56" ht="15.75" customHeight="1" s="74">
      <c r="A56" s="11" t="n">
        <v>55</v>
      </c>
      <c r="C56" s="11">
        <f t="array" ref="C56">IFERROR(INDEX(Milestones!$A:$A, MATCH($B56, Milestones!$B:$B, 0)), "")</f>
        <v/>
      </c>
      <c r="D56" s="11">
        <f t="array" ref="D56">IFERROR(INDEX(Milestones!$C:$C, MATCH($B56, Milestones!$B:$B, 0)), "")</f>
        <v/>
      </c>
      <c r="F56" s="11">
        <f t="array" ref="F56">IFERROR(INDEX(Milestones!$E:$E, MATCH($B56, Milestones!$B:$B, 0)), "")</f>
        <v/>
      </c>
      <c r="I56" s="11" t="n"/>
      <c r="J56" s="20" t="n"/>
      <c r="K56" s="11" t="n"/>
      <c r="L56" s="11">
        <f t="array" ref="L56">IF($K56="","", IFERROR(IFS($K56="Low", INDEX('Lookups - Complexity'!$C:$C, MATCH($B56, 'Lookups - Complexity'!$B:$B,0)), $K56="Medium", INDEX('Lookups - Complexity'!$D:$D, MATCH($B56, 'Lookups - Complexity'!$B:$B,0)), $K56="High", INDEX('Lookups - Complexity'!$E:$E, MATCH($B56, 'Lookups - Complexity'!$B:$B,0))), ""))</f>
        <v/>
      </c>
      <c r="M56" s="11">
        <f>IF($I56="FTE", Assumptions!$B$3, "")</f>
        <v/>
      </c>
      <c r="N56" s="11">
        <f t="array" ref="N56">IFERROR(INDEX(Milestones!$F:$F, MATCH($B56, Milestones!$B:$B, 0)), "")</f>
        <v/>
      </c>
      <c r="O56" s="11">
        <f t="array" ref="O56">IFERROR(INDEX(Milestones!$G:$G, MATCH($B56, Milestones!$B:$B, 0)), "")</f>
        <v/>
      </c>
      <c r="P56" s="11">
        <f t="array" ref="P56">IFERROR(INDEX('Lookups - Rates'!$D:$D, MATCH($G56&amp;"|"&amp;$H56, 'Lookups - Rates'!$Z:$Z, 0)), "")</f>
        <v/>
      </c>
      <c r="Q56" s="11">
        <f t="array" ref="Q56">IFERROR(INDEX('Lookups - Rates'!$E:$E, MATCH($G56&amp;"|"&amp;$H56, 'Lookups - Rates'!$Z:$Z, 0)), "")</f>
        <v/>
      </c>
      <c r="R56" s="11">
        <f>LET(ev,$J56, ch,$L56, hr,$P56, dr,$Q56, hpday,Assumptions!$B$2, hpw,Assumptions!$B$3, w,$M56, hrs, IF($I56="Hours", ev, IF($I56="Days", ev*IF(dr&gt;0, dr/hr, hpday), IF($I56="FTE", ev*hpw*w, ch))), IF(hrs="", "", hrs*hr))</f>
        <v/>
      </c>
      <c r="S56" s="13" t="n"/>
      <c r="T56" s="11">
        <f t="array" ref="T56">XLOOKUP(Scenario_Selected, INDEX(Scenario_Table,0,1), INDEX(Scenario_Table,0,2))</f>
        <v/>
      </c>
      <c r="U56" s="11">
        <f t="array" ref="U56">XLOOKUP(Scenario_Selected, INDEX(Scenario_Table,0,1), INDEX(Scenario_Table,0,3))</f>
        <v/>
      </c>
      <c r="V56" s="11">
        <f t="array" ref="V56">XLOOKUP(Scenario_Selected, INDEX(Scenario_Table,0,1), INDEX(Scenario_Table,0,4))</f>
        <v/>
      </c>
      <c r="W56" s="11">
        <f t="array" ref="W56">LET(ev,$J56, ch,$L56, et,$I56, dr,$Q56, hpday,Assumptions!$B$2, hpw,Assumptions!$B$3, w,$M56,hm,INDIRECT("R[0]C[0]",FALSE),hrs, IF(et="Hours", ev, IF(et="Days", ev*IF(dr&gt;0, dr/$P56, hpday), IF(et="FTE", ev*hpw*w, ch))), IF(hrs="", "", hrs*hm))</f>
        <v/>
      </c>
      <c r="X56" s="11">
        <f>IF($P56="","", $P56*INDIRECT("R[0]C[-3]",FALSE))</f>
        <v/>
      </c>
      <c r="Y56" s="11">
        <f>IF(INDIRECT("R[0]C[-1]",FALSE)="","", INDIRECT("R[0]C[-2]",FALSE)*INDIRECT("R[0]C[-1]",FALSE)*(1+INDIRECT("R[0]C[-3]",FALSE)))</f>
        <v/>
      </c>
      <c r="Z56" s="13" t="n"/>
    </row>
    <row r="57" ht="15.75" customHeight="1" s="74">
      <c r="A57" s="11" t="n">
        <v>57</v>
      </c>
      <c r="C57" s="11">
        <f t="array" ref="C57">IFERROR(INDEX(Milestones!$A:$A, MATCH($B57, Milestones!$B:$B, 0)), "")</f>
        <v/>
      </c>
      <c r="D57" s="11">
        <f t="array" ref="D57">IFERROR(INDEX(Milestones!$C:$C, MATCH($B57, Milestones!$B:$B, 0)), "")</f>
        <v/>
      </c>
      <c r="F57" s="11">
        <f t="array" ref="F57">IFERROR(INDEX(Milestones!$E:$E, MATCH($B57, Milestones!$B:$B, 0)), "")</f>
        <v/>
      </c>
      <c r="I57" s="11" t="n"/>
      <c r="J57" s="20" t="n"/>
      <c r="K57" s="11" t="n"/>
      <c r="L57" s="11">
        <f t="array" ref="L57">IF($K57="","", IFERROR(IFS($K57="Low", INDEX('Lookups - Complexity'!$C:$C, MATCH($B57, 'Lookups - Complexity'!$B:$B,0)), $K57="Medium", INDEX('Lookups - Complexity'!$D:$D, MATCH($B57, 'Lookups - Complexity'!$B:$B,0)), $K57="High", INDEX('Lookups - Complexity'!$E:$E, MATCH($B57, 'Lookups - Complexity'!$B:$B,0))), ""))</f>
        <v/>
      </c>
      <c r="M57" s="11">
        <f>IF($I57="FTE", Assumptions!$B$3, "")</f>
        <v/>
      </c>
      <c r="N57" s="11">
        <f t="array" ref="N57">IFERROR(INDEX(Milestones!$F:$F, MATCH($B57, Milestones!$B:$B, 0)), "")</f>
        <v/>
      </c>
      <c r="O57" s="11">
        <f t="array" ref="O57">IFERROR(INDEX(Milestones!$G:$G, MATCH($B57, Milestones!$B:$B, 0)), "")</f>
        <v/>
      </c>
      <c r="P57" s="11">
        <f t="array" ref="P57">IFERROR(INDEX('Lookups - Rates'!$D:$D, MATCH($G57&amp;"|"&amp;$H57, 'Lookups - Rates'!$Z:$Z, 0)), "")</f>
        <v/>
      </c>
      <c r="Q57" s="11">
        <f t="array" ref="Q57">IFERROR(INDEX('Lookups - Rates'!$E:$E, MATCH($G57&amp;"|"&amp;$H57, 'Lookups - Rates'!$Z:$Z, 0)), "")</f>
        <v/>
      </c>
      <c r="R57" s="11">
        <f>LET(ev,$J57, ch,$L57, hr,$P57, dr,$Q57, hpday,Assumptions!$B$2, hpw,Assumptions!$B$3, w,$M57, hrs, IF($I57="Hours", ev, IF($I57="Days", ev*IF(dr&gt;0, dr/hr, hpday), IF($I57="FTE", ev*hpw*w, ch))), IF(hrs="", "", hrs*hr))</f>
        <v/>
      </c>
      <c r="S57" s="13" t="n"/>
      <c r="T57" s="11">
        <f t="array" ref="T57">XLOOKUP(Scenario_Selected, INDEX(Scenario_Table,0,1), INDEX(Scenario_Table,0,2))</f>
        <v/>
      </c>
      <c r="U57" s="11">
        <f t="array" ref="U57">XLOOKUP(Scenario_Selected, INDEX(Scenario_Table,0,1), INDEX(Scenario_Table,0,3))</f>
        <v/>
      </c>
      <c r="V57" s="11">
        <f t="array" ref="V57">XLOOKUP(Scenario_Selected, INDEX(Scenario_Table,0,1), INDEX(Scenario_Table,0,4))</f>
        <v/>
      </c>
      <c r="W57" s="11">
        <f t="array" ref="W57">LET(ev,$J57, ch,$L57, et,$I57, dr,$Q57, hpday,Assumptions!$B$2, hpw,Assumptions!$B$3, w,$M57,hm,INDIRECT("R[0]C[0]",FALSE),hrs, IF(et="Hours", ev, IF(et="Days", ev*IF(dr&gt;0, dr/$P57, hpday), IF(et="FTE", ev*hpw*w, ch))), IF(hrs="", "", hrs*hm))</f>
        <v/>
      </c>
      <c r="X57" s="11">
        <f>IF($P57="","", $P57*INDIRECT("R[0]C[-3]",FALSE))</f>
        <v/>
      </c>
      <c r="Y57" s="11">
        <f>IF(INDIRECT("R[0]C[-1]",FALSE)="","", INDIRECT("R[0]C[-2]",FALSE)*INDIRECT("R[0]C[-1]",FALSE)*(1+INDIRECT("R[0]C[-3]",FALSE)))</f>
        <v/>
      </c>
      <c r="Z57" s="13" t="n"/>
    </row>
    <row r="58" ht="15.75" customHeight="1" s="74">
      <c r="A58" s="11" t="n">
        <v>58</v>
      </c>
      <c r="C58" s="11">
        <f t="array" ref="C58">IFERROR(INDEX(Milestones!$A:$A, MATCH($B58, Milestones!$B:$B, 0)), "")</f>
        <v/>
      </c>
      <c r="D58" s="11">
        <f t="array" ref="D58">IFERROR(INDEX(Milestones!$C:$C, MATCH($B58, Milestones!$B:$B, 0)), "")</f>
        <v/>
      </c>
      <c r="F58" s="11">
        <f t="array" ref="F58">IFERROR(INDEX(Milestones!$E:$E, MATCH($B58, Milestones!$B:$B, 0)), "")</f>
        <v/>
      </c>
      <c r="I58" s="11" t="n"/>
      <c r="J58" s="20" t="n"/>
      <c r="K58" s="11" t="n"/>
      <c r="L58" s="11">
        <f t="array" ref="L58">IF($K58="","", IFERROR(IFS($K58="Low", INDEX('Lookups - Complexity'!$C:$C, MATCH($B58, 'Lookups - Complexity'!$B:$B,0)), $K58="Medium", INDEX('Lookups - Complexity'!$D:$D, MATCH($B58, 'Lookups - Complexity'!$B:$B,0)), $K58="High", INDEX('Lookups - Complexity'!$E:$E, MATCH($B58, 'Lookups - Complexity'!$B:$B,0))), ""))</f>
        <v/>
      </c>
      <c r="M58" s="11">
        <f>IF($I58="FTE", Assumptions!$B$3, "")</f>
        <v/>
      </c>
      <c r="N58" s="11">
        <f t="array" ref="N58">IFERROR(INDEX(Milestones!$F:$F, MATCH($B58, Milestones!$B:$B, 0)), "")</f>
        <v/>
      </c>
      <c r="O58" s="11">
        <f t="array" ref="O58">IFERROR(INDEX(Milestones!$G:$G, MATCH($B58, Milestones!$B:$B, 0)), "")</f>
        <v/>
      </c>
      <c r="P58" s="11">
        <f t="array" ref="P58">IFERROR(INDEX('Lookups - Rates'!$D:$D, MATCH($G58&amp;"|"&amp;$H58, 'Lookups - Rates'!$Z:$Z, 0)), "")</f>
        <v/>
      </c>
      <c r="Q58" s="11">
        <f t="array" ref="Q58">IFERROR(INDEX('Lookups - Rates'!$E:$E, MATCH($G58&amp;"|"&amp;$H58, 'Lookups - Rates'!$Z:$Z, 0)), "")</f>
        <v/>
      </c>
      <c r="R58" s="11">
        <f>LET(ev,$J58, ch,$L58, hr,$P58, dr,$Q58, hpday,Assumptions!$B$2, hpw,Assumptions!$B$3, w,$M58, hrs, IF($I58="Hours", ev, IF($I58="Days", ev*IF(dr&gt;0, dr/hr, hpday), IF($I58="FTE", ev*hpw*w, ch))), IF(hrs="", "", hrs*hr))</f>
        <v/>
      </c>
      <c r="S58" s="13" t="n"/>
      <c r="T58" s="11">
        <f t="array" ref="T58">XLOOKUP(Scenario_Selected, INDEX(Scenario_Table,0,1), INDEX(Scenario_Table,0,2))</f>
        <v/>
      </c>
      <c r="U58" s="11">
        <f t="array" ref="U58">XLOOKUP(Scenario_Selected, INDEX(Scenario_Table,0,1), INDEX(Scenario_Table,0,3))</f>
        <v/>
      </c>
      <c r="V58" s="11">
        <f t="array" ref="V58">XLOOKUP(Scenario_Selected, INDEX(Scenario_Table,0,1), INDEX(Scenario_Table,0,4))</f>
        <v/>
      </c>
      <c r="W58" s="11">
        <f t="array" ref="W58">LET(ev,$J58, ch,$L58, et,$I58, dr,$Q58, hpday,Assumptions!$B$2, hpw,Assumptions!$B$3, w,$M58,hm,INDIRECT("R[0]C[0]",FALSE),hrs, IF(et="Hours", ev, IF(et="Days", ev*IF(dr&gt;0, dr/$P58, hpday), IF(et="FTE", ev*hpw*w, ch))), IF(hrs="", "", hrs*hm))</f>
        <v/>
      </c>
      <c r="X58" s="11">
        <f>IF($P58="","", $P58*INDIRECT("R[0]C[-3]",FALSE))</f>
        <v/>
      </c>
      <c r="Y58" s="11">
        <f>IF(INDIRECT("R[0]C[-1]",FALSE)="","", INDIRECT("R[0]C[-2]",FALSE)*INDIRECT("R[0]C[-1]",FALSE)*(1+INDIRECT("R[0]C[-3]",FALSE)))</f>
        <v/>
      </c>
      <c r="Z58" s="13" t="n"/>
    </row>
    <row r="59" ht="15.75" customHeight="1" s="74">
      <c r="A59" s="11" t="n">
        <v>59</v>
      </c>
      <c r="C59" s="11">
        <f t="array" ref="C59">IFERROR(INDEX(Milestones!$A:$A, MATCH($B59, Milestones!$B:$B, 0)), "")</f>
        <v/>
      </c>
      <c r="D59" s="11">
        <f t="array" ref="D59">IFERROR(INDEX(Milestones!$C:$C, MATCH($B59, Milestones!$B:$B, 0)), "")</f>
        <v/>
      </c>
      <c r="F59" s="11">
        <f t="array" ref="F59">IFERROR(INDEX(Milestones!$E:$E, MATCH($B59, Milestones!$B:$B, 0)), "")</f>
        <v/>
      </c>
      <c r="I59" s="11" t="n"/>
      <c r="J59" s="20" t="n"/>
      <c r="K59" s="11" t="n"/>
      <c r="L59" s="11">
        <f t="array" ref="L59">IF($K59="","", IFERROR(IFS($K59="Low", INDEX('Lookups - Complexity'!$C:$C, MATCH($B59, 'Lookups - Complexity'!$B:$B,0)), $K59="Medium", INDEX('Lookups - Complexity'!$D:$D, MATCH($B59, 'Lookups - Complexity'!$B:$B,0)), $K59="High", INDEX('Lookups - Complexity'!$E:$E, MATCH($B59, 'Lookups - Complexity'!$B:$B,0))), ""))</f>
        <v/>
      </c>
      <c r="M59" s="11">
        <f>IF($I59="FTE", Assumptions!$B$3, "")</f>
        <v/>
      </c>
      <c r="N59" s="11">
        <f t="array" ref="N59">IFERROR(INDEX(Milestones!$F:$F, MATCH($B59, Milestones!$B:$B, 0)), "")</f>
        <v/>
      </c>
      <c r="O59" s="11">
        <f t="array" ref="O59">IFERROR(INDEX(Milestones!$G:$G, MATCH($B59, Milestones!$B:$B, 0)), "")</f>
        <v/>
      </c>
      <c r="P59" s="11">
        <f t="array" ref="P59">IFERROR(INDEX('Lookups - Rates'!$D:$D, MATCH($G59&amp;"|"&amp;$H59, 'Lookups - Rates'!$Z:$Z, 0)), "")</f>
        <v/>
      </c>
      <c r="Q59" s="11">
        <f t="array" ref="Q59">IFERROR(INDEX('Lookups - Rates'!$E:$E, MATCH($G59&amp;"|"&amp;$H59, 'Lookups - Rates'!$Z:$Z, 0)), "")</f>
        <v/>
      </c>
      <c r="R59" s="11">
        <f>LET(ev,$J59, ch,$L59, hr,$P59, dr,$Q59, hpday,Assumptions!$B$2, hpw,Assumptions!$B$3, w,$M59, hrs, IF($I59="Hours", ev, IF($I59="Days", ev*IF(dr&gt;0, dr/hr, hpday), IF($I59="FTE", ev*hpw*w, ch))), IF(hrs="", "", hrs*hr))</f>
        <v/>
      </c>
      <c r="S59" s="13" t="n"/>
      <c r="T59" s="11">
        <f t="array" ref="T59">XLOOKUP(Scenario_Selected, INDEX(Scenario_Table,0,1), INDEX(Scenario_Table,0,2))</f>
        <v/>
      </c>
      <c r="U59" s="11">
        <f t="array" ref="U59">XLOOKUP(Scenario_Selected, INDEX(Scenario_Table,0,1), INDEX(Scenario_Table,0,3))</f>
        <v/>
      </c>
      <c r="V59" s="11">
        <f t="array" ref="V59">XLOOKUP(Scenario_Selected, INDEX(Scenario_Table,0,1), INDEX(Scenario_Table,0,4))</f>
        <v/>
      </c>
      <c r="W59" s="11">
        <f t="array" ref="W59">LET(ev,$J59, ch,$L59, et,$I59, dr,$Q59, hpday,Assumptions!$B$2, hpw,Assumptions!$B$3, w,$M59,hm,INDIRECT("R[0]C[0]",FALSE),hrs, IF(et="Hours", ev, IF(et="Days", ev*IF(dr&gt;0, dr/$P59, hpday), IF(et="FTE", ev*hpw*w, ch))), IF(hrs="", "", hrs*hm))</f>
        <v/>
      </c>
      <c r="X59" s="11">
        <f>IF($P59="","", $P59*INDIRECT("R[0]C[-3]",FALSE))</f>
        <v/>
      </c>
      <c r="Y59" s="11">
        <f>IF(INDIRECT("R[0]C[-1]",FALSE)="","", INDIRECT("R[0]C[-2]",FALSE)*INDIRECT("R[0]C[-1]",FALSE)*(1+INDIRECT("R[0]C[-3]",FALSE)))</f>
        <v/>
      </c>
      <c r="Z59" s="13" t="n"/>
    </row>
    <row r="60" ht="15.75" customHeight="1" s="74">
      <c r="A60" s="11" t="n">
        <v>60</v>
      </c>
      <c r="C60" s="11">
        <f t="array" ref="C60">IFERROR(INDEX(Milestones!$A:$A, MATCH($B60, Milestones!$B:$B, 0)), "")</f>
        <v/>
      </c>
      <c r="D60" s="11">
        <f t="array" ref="D60">IFERROR(INDEX(Milestones!$C:$C, MATCH($B60, Milestones!$B:$B, 0)), "")</f>
        <v/>
      </c>
      <c r="F60" s="11">
        <f t="array" ref="F60">IFERROR(INDEX(Milestones!$E:$E, MATCH($B60, Milestones!$B:$B, 0)), "")</f>
        <v/>
      </c>
      <c r="I60" s="11" t="n"/>
      <c r="J60" s="20" t="n"/>
      <c r="K60" s="11" t="n"/>
      <c r="L60" s="11">
        <f t="array" ref="L60">IF($K60="","", IFERROR(IFS($K60="Low", INDEX('Lookups - Complexity'!$C:$C, MATCH($B60, 'Lookups - Complexity'!$B:$B,0)), $K60="Medium", INDEX('Lookups - Complexity'!$D:$D, MATCH($B60, 'Lookups - Complexity'!$B:$B,0)), $K60="High", INDEX('Lookups - Complexity'!$E:$E, MATCH($B60, 'Lookups - Complexity'!$B:$B,0))), ""))</f>
        <v/>
      </c>
      <c r="M60" s="11">
        <f>IF($I60="FTE", Assumptions!$B$3, "")</f>
        <v/>
      </c>
      <c r="N60" s="11">
        <f t="array" ref="N60">IFERROR(INDEX(Milestones!$F:$F, MATCH($B60, Milestones!$B:$B, 0)), "")</f>
        <v/>
      </c>
      <c r="O60" s="11">
        <f t="array" ref="O60">IFERROR(INDEX(Milestones!$G:$G, MATCH($B60, Milestones!$B:$B, 0)), "")</f>
        <v/>
      </c>
      <c r="P60" s="11">
        <f t="array" ref="P60">IFERROR(INDEX('Lookups - Rates'!$D:$D, MATCH($G60&amp;"|"&amp;$H60, 'Lookups - Rates'!$Z:$Z, 0)), "")</f>
        <v/>
      </c>
      <c r="Q60" s="11">
        <f t="array" ref="Q60">IFERROR(INDEX('Lookups - Rates'!$E:$E, MATCH($G60&amp;"|"&amp;$H60, 'Lookups - Rates'!$Z:$Z, 0)), "")</f>
        <v/>
      </c>
      <c r="R60" s="11">
        <f>LET(ev,$J60, ch,$L60, hr,$P60, dr,$Q60, hpday,Assumptions!$B$2, hpw,Assumptions!$B$3, w,$M60, hrs, IF($I60="Hours", ev, IF($I60="Days", ev*IF(dr&gt;0, dr/hr, hpday), IF($I60="FTE", ev*hpw*w, ch))), IF(hrs="", "", hrs*hr))</f>
        <v/>
      </c>
      <c r="S60" s="13" t="n"/>
      <c r="T60" s="11">
        <f t="array" ref="T60">XLOOKUP(Scenario_Selected, INDEX(Scenario_Table,0,1), INDEX(Scenario_Table,0,2))</f>
        <v/>
      </c>
      <c r="U60" s="11">
        <f t="array" ref="U60">XLOOKUP(Scenario_Selected, INDEX(Scenario_Table,0,1), INDEX(Scenario_Table,0,3))</f>
        <v/>
      </c>
      <c r="V60" s="11">
        <f t="array" ref="V60">XLOOKUP(Scenario_Selected, INDEX(Scenario_Table,0,1), INDEX(Scenario_Table,0,4))</f>
        <v/>
      </c>
      <c r="W60" s="11">
        <f t="array" ref="W60">LET(ev,$J60, ch,$L60, et,$I60, dr,$Q60, hpday,Assumptions!$B$2, hpw,Assumptions!$B$3, w,$M60,hm,INDIRECT("R[0]C[0]",FALSE),hrs, IF(et="Hours", ev, IF(et="Days", ev*IF(dr&gt;0, dr/$P60, hpday), IF(et="FTE", ev*hpw*w, ch))), IF(hrs="", "", hrs*hm))</f>
        <v/>
      </c>
      <c r="X60" s="11">
        <f>IF($P60="","", $P60*INDIRECT("R[0]C[-3]",FALSE))</f>
        <v/>
      </c>
      <c r="Y60" s="11">
        <f>IF(INDIRECT("R[0]C[-1]",FALSE)="","", INDIRECT("R[0]C[-2]",FALSE)*INDIRECT("R[0]C[-1]",FALSE)*(1+INDIRECT("R[0]C[-3]",FALSE)))</f>
        <v/>
      </c>
      <c r="Z60" s="13" t="n"/>
    </row>
    <row r="61" ht="15.75" customHeight="1" s="74">
      <c r="A61" s="11" t="n">
        <v>61</v>
      </c>
      <c r="C61" s="11">
        <f t="array" ref="C61">IFERROR(INDEX(Milestones!$A:$A, MATCH($B61, Milestones!$B:$B, 0)), "")</f>
        <v/>
      </c>
      <c r="D61" s="11">
        <f t="array" ref="D61">IFERROR(INDEX(Milestones!$C:$C, MATCH($B61, Milestones!$B:$B, 0)), "")</f>
        <v/>
      </c>
      <c r="F61" s="11">
        <f t="array" ref="F61">IFERROR(INDEX(Milestones!$E:$E, MATCH($B61, Milestones!$B:$B, 0)), "")</f>
        <v/>
      </c>
      <c r="I61" s="11" t="n"/>
      <c r="J61" s="20" t="n"/>
      <c r="K61" s="11" t="n"/>
      <c r="L61" s="11">
        <f t="array" ref="L61">IF($K61="","", IFERROR(IFS($K61="Low", INDEX('Lookups - Complexity'!$C:$C, MATCH($B61, 'Lookups - Complexity'!$B:$B,0)), $K61="Medium", INDEX('Lookups - Complexity'!$D:$D, MATCH($B61, 'Lookups - Complexity'!$B:$B,0)), $K61="High", INDEX('Lookups - Complexity'!$E:$E, MATCH($B61, 'Lookups - Complexity'!$B:$B,0))), ""))</f>
        <v/>
      </c>
      <c r="M61" s="11">
        <f>IF($I61="FTE", Assumptions!$B$3, "")</f>
        <v/>
      </c>
      <c r="N61" s="11">
        <f t="array" ref="N61">IFERROR(INDEX(Milestones!$F:$F, MATCH($B61, Milestones!$B:$B, 0)), "")</f>
        <v/>
      </c>
      <c r="O61" s="11">
        <f t="array" ref="O61">IFERROR(INDEX(Milestones!$G:$G, MATCH($B61, Milestones!$B:$B, 0)), "")</f>
        <v/>
      </c>
      <c r="P61" s="11">
        <f t="array" ref="P61">IFERROR(INDEX('Lookups - Rates'!$D:$D, MATCH($G61&amp;"|"&amp;$H61, 'Lookups - Rates'!$Z:$Z, 0)), "")</f>
        <v/>
      </c>
      <c r="Q61" s="11">
        <f t="array" ref="Q61">IFERROR(INDEX('Lookups - Rates'!$E:$E, MATCH($G61&amp;"|"&amp;$H61, 'Lookups - Rates'!$Z:$Z, 0)), "")</f>
        <v/>
      </c>
      <c r="R61" s="11">
        <f>LET(ev,$J61, ch,$L61, hr,$P61, dr,$Q61, hpday,Assumptions!$B$2, hpw,Assumptions!$B$3, w,$M61, hrs, IF($I61="Hours", ev, IF($I61="Days", ev*IF(dr&gt;0, dr/hr, hpday), IF($I61="FTE", ev*hpw*w, ch))), IF(hrs="", "", hrs*hr))</f>
        <v/>
      </c>
      <c r="S61" s="13" t="n"/>
      <c r="T61" s="11">
        <f t="array" ref="T61">XLOOKUP(Scenario_Selected, INDEX(Scenario_Table,0,1), INDEX(Scenario_Table,0,2))</f>
        <v/>
      </c>
      <c r="U61" s="11">
        <f t="array" ref="U61">XLOOKUP(Scenario_Selected, INDEX(Scenario_Table,0,1), INDEX(Scenario_Table,0,3))</f>
        <v/>
      </c>
      <c r="V61" s="11">
        <f t="array" ref="V61">XLOOKUP(Scenario_Selected, INDEX(Scenario_Table,0,1), INDEX(Scenario_Table,0,4))</f>
        <v/>
      </c>
      <c r="W61" s="11">
        <f t="array" ref="W61">LET(ev,$J61, ch,$L61, et,$I61, dr,$Q61, hpday,Assumptions!$B$2, hpw,Assumptions!$B$3, w,$M61,hm,INDIRECT("R[0]C[0]",FALSE),hrs, IF(et="Hours", ev, IF(et="Days", ev*IF(dr&gt;0, dr/$P61, hpday), IF(et="FTE", ev*hpw*w, ch))), IF(hrs="", "", hrs*hm))</f>
        <v/>
      </c>
      <c r="X61" s="11">
        <f>IF($P61="","", $P61*INDIRECT("R[0]C[-3]",FALSE))</f>
        <v/>
      </c>
      <c r="Y61" s="11">
        <f>IF(INDIRECT("R[0]C[-1]",FALSE)="","", INDIRECT("R[0]C[-2]",FALSE)*INDIRECT("R[0]C[-1]",FALSE)*(1+INDIRECT("R[0]C[-3]",FALSE)))</f>
        <v/>
      </c>
      <c r="Z61" s="13" t="n"/>
    </row>
    <row r="62" ht="15.75" customHeight="1" s="74">
      <c r="A62" s="11" t="n">
        <v>62</v>
      </c>
      <c r="C62" s="11">
        <f t="array" ref="C62">IFERROR(INDEX(Milestones!$A:$A, MATCH($B62, Milestones!$B:$B, 0)), "")</f>
        <v/>
      </c>
      <c r="D62" s="11">
        <f t="array" ref="D62">IFERROR(INDEX(Milestones!$C:$C, MATCH($B62, Milestones!$B:$B, 0)), "")</f>
        <v/>
      </c>
      <c r="F62" s="11">
        <f t="array" ref="F62">IFERROR(INDEX(Milestones!$E:$E, MATCH($B62, Milestones!$B:$B, 0)), "")</f>
        <v/>
      </c>
      <c r="I62" s="11" t="n"/>
      <c r="J62" s="20" t="n"/>
      <c r="K62" s="11" t="n"/>
      <c r="L62" s="11">
        <f t="array" ref="L62">IF($K62="","", IFERROR(IFS($K62="Low", INDEX('Lookups - Complexity'!$C:$C, MATCH($B62, 'Lookups - Complexity'!$B:$B,0)), $K62="Medium", INDEX('Lookups - Complexity'!$D:$D, MATCH($B62, 'Lookups - Complexity'!$B:$B,0)), $K62="High", INDEX('Lookups - Complexity'!$E:$E, MATCH($B62, 'Lookups - Complexity'!$B:$B,0))), ""))</f>
        <v/>
      </c>
      <c r="M62" s="11">
        <f>IF($I62="FTE", Assumptions!$B$3, "")</f>
        <v/>
      </c>
      <c r="N62" s="11">
        <f t="array" ref="N62">IFERROR(INDEX(Milestones!$F:$F, MATCH($B62, Milestones!$B:$B, 0)), "")</f>
        <v/>
      </c>
      <c r="O62" s="11">
        <f t="array" ref="O62">IFERROR(INDEX(Milestones!$G:$G, MATCH($B62, Milestones!$B:$B, 0)), "")</f>
        <v/>
      </c>
      <c r="P62" s="11">
        <f t="array" ref="P62">IFERROR(INDEX('Lookups - Rates'!$D:$D, MATCH($G62&amp;"|"&amp;$H62, 'Lookups - Rates'!$Z:$Z, 0)), "")</f>
        <v/>
      </c>
      <c r="Q62" s="11">
        <f t="array" ref="Q62">IFERROR(INDEX('Lookups - Rates'!$E:$E, MATCH($G62&amp;"|"&amp;$H62, 'Lookups - Rates'!$Z:$Z, 0)), "")</f>
        <v/>
      </c>
      <c r="R62" s="11">
        <f>LET(ev,$J62, ch,$L62, hr,$P62, dr,$Q62, hpday,Assumptions!$B$2, hpw,Assumptions!$B$3, w,$M62, hrs, IF($I62="Hours", ev, IF($I62="Days", ev*IF(dr&gt;0, dr/hr, hpday), IF($I62="FTE", ev*hpw*w, ch))), IF(hrs="", "", hrs*hr))</f>
        <v/>
      </c>
      <c r="S62" s="13" t="n"/>
      <c r="T62" s="11">
        <f t="array" ref="T62">XLOOKUP(Scenario_Selected, INDEX(Scenario_Table,0,1), INDEX(Scenario_Table,0,2))</f>
        <v/>
      </c>
      <c r="U62" s="11">
        <f t="array" ref="U62">XLOOKUP(Scenario_Selected, INDEX(Scenario_Table,0,1), INDEX(Scenario_Table,0,3))</f>
        <v/>
      </c>
      <c r="V62" s="11">
        <f t="array" ref="V62">XLOOKUP(Scenario_Selected, INDEX(Scenario_Table,0,1), INDEX(Scenario_Table,0,4))</f>
        <v/>
      </c>
      <c r="W62" s="11">
        <f t="array" ref="W62">LET(ev,$J62, ch,$L62, et,$I62, dr,$Q62, hpday,Assumptions!$B$2, hpw,Assumptions!$B$3, w,$M62,hm,INDIRECT("R[0]C[0]",FALSE),hrs, IF(et="Hours", ev, IF(et="Days", ev*IF(dr&gt;0, dr/$P62, hpday), IF(et="FTE", ev*hpw*w, ch))), IF(hrs="", "", hrs*hm))</f>
        <v/>
      </c>
      <c r="X62" s="11">
        <f>IF($P62="","", $P62*INDIRECT("R[0]C[-3]",FALSE))</f>
        <v/>
      </c>
      <c r="Y62" s="11">
        <f>IF(INDIRECT("R[0]C[-1]",FALSE)="","", INDIRECT("R[0]C[-2]",FALSE)*INDIRECT("R[0]C[-1]",FALSE)*(1+INDIRECT("R[0]C[-3]",FALSE)))</f>
        <v/>
      </c>
      <c r="Z62" s="13" t="n"/>
    </row>
    <row r="63" ht="15.75" customHeight="1" s="74">
      <c r="A63" s="11" t="n">
        <v>63</v>
      </c>
      <c r="C63" s="11">
        <f t="array" ref="C63">IFERROR(INDEX(Milestones!$A:$A, MATCH($B63, Milestones!$B:$B, 0)), "")</f>
        <v/>
      </c>
      <c r="D63" s="11">
        <f t="array" ref="D63">IFERROR(INDEX(Milestones!$C:$C, MATCH($B63, Milestones!$B:$B, 0)), "")</f>
        <v/>
      </c>
      <c r="F63" s="11">
        <f t="array" ref="F63">IFERROR(INDEX(Milestones!$E:$E, MATCH($B63, Milestones!$B:$B, 0)), "")</f>
        <v/>
      </c>
      <c r="I63" s="11" t="n"/>
      <c r="J63" s="20" t="n"/>
      <c r="K63" s="11" t="n"/>
      <c r="L63" s="11">
        <f t="array" ref="L63">IF($K63="","", IFERROR(IFS($K63="Low", INDEX('Lookups - Complexity'!$C:$C, MATCH($B63, 'Lookups - Complexity'!$B:$B,0)), $K63="Medium", INDEX('Lookups - Complexity'!$D:$D, MATCH($B63, 'Lookups - Complexity'!$B:$B,0)), $K63="High", INDEX('Lookups - Complexity'!$E:$E, MATCH($B63, 'Lookups - Complexity'!$B:$B,0))), ""))</f>
        <v/>
      </c>
      <c r="M63" s="11">
        <f>IF($I63="FTE", Assumptions!$B$3, "")</f>
        <v/>
      </c>
      <c r="N63" s="11">
        <f t="array" ref="N63">IFERROR(INDEX(Milestones!$F:$F, MATCH($B63, Milestones!$B:$B, 0)), "")</f>
        <v/>
      </c>
      <c r="O63" s="11">
        <f t="array" ref="O63">IFERROR(INDEX(Milestones!$G:$G, MATCH($B63, Milestones!$B:$B, 0)), "")</f>
        <v/>
      </c>
      <c r="P63" s="11">
        <f t="array" ref="P63">IFERROR(INDEX('Lookups - Rates'!$D:$D, MATCH($G63&amp;"|"&amp;$H63, 'Lookups - Rates'!$Z:$Z, 0)), "")</f>
        <v/>
      </c>
      <c r="Q63" s="11">
        <f t="array" ref="Q63">IFERROR(INDEX('Lookups - Rates'!$E:$E, MATCH($G63&amp;"|"&amp;$H63, 'Lookups - Rates'!$Z:$Z, 0)), "")</f>
        <v/>
      </c>
      <c r="R63" s="11">
        <f>LET(ev,$J63, ch,$L63, hr,$P63, dr,$Q63, hpday,Assumptions!$B$2, hpw,Assumptions!$B$3, w,$M63, hrs, IF($I63="Hours", ev, IF($I63="Days", ev*IF(dr&gt;0, dr/hr, hpday), IF($I63="FTE", ev*hpw*w, ch))), IF(hrs="", "", hrs*hr))</f>
        <v/>
      </c>
      <c r="S63" s="13" t="n"/>
      <c r="T63" s="11">
        <f t="array" ref="T63">XLOOKUP(Scenario_Selected, INDEX(Scenario_Table,0,1), INDEX(Scenario_Table,0,2))</f>
        <v/>
      </c>
      <c r="U63" s="11">
        <f t="array" ref="U63">XLOOKUP(Scenario_Selected, INDEX(Scenario_Table,0,1), INDEX(Scenario_Table,0,3))</f>
        <v/>
      </c>
      <c r="V63" s="11">
        <f t="array" ref="V63">XLOOKUP(Scenario_Selected, INDEX(Scenario_Table,0,1), INDEX(Scenario_Table,0,4))</f>
        <v/>
      </c>
      <c r="W63" s="11">
        <f t="array" ref="W63">LET(ev,$J63, ch,$L63, et,$I63, dr,$Q63, hpday,Assumptions!$B$2, hpw,Assumptions!$B$3, w,$M63,hm,INDIRECT("R[0]C[0]",FALSE),hrs, IF(et="Hours", ev, IF(et="Days", ev*IF(dr&gt;0, dr/$P63, hpday), IF(et="FTE", ev*hpw*w, ch))), IF(hrs="", "", hrs*hm))</f>
        <v/>
      </c>
      <c r="X63" s="11">
        <f>IF($P63="","", $P63*INDIRECT("R[0]C[-3]",FALSE))</f>
        <v/>
      </c>
      <c r="Y63" s="11">
        <f>IF(INDIRECT("R[0]C[-1]",FALSE)="","", INDIRECT("R[0]C[-2]",FALSE)*INDIRECT("R[0]C[-1]",FALSE)*(1+INDIRECT("R[0]C[-3]",FALSE)))</f>
        <v/>
      </c>
      <c r="Z63" s="13" t="n"/>
    </row>
    <row r="64" ht="15.75" customHeight="1" s="74">
      <c r="A64" s="11" t="n">
        <v>64</v>
      </c>
      <c r="C64" s="11">
        <f t="array" ref="C64">IFERROR(INDEX(Milestones!$A:$A, MATCH($B64, Milestones!$B:$B, 0)), "")</f>
        <v/>
      </c>
      <c r="D64" s="11">
        <f t="array" ref="D64">IFERROR(INDEX(Milestones!$C:$C, MATCH($B64, Milestones!$B:$B, 0)), "")</f>
        <v/>
      </c>
      <c r="F64" s="11">
        <f t="array" ref="F64">IFERROR(INDEX(Milestones!$E:$E, MATCH($B64, Milestones!$B:$B, 0)), "")</f>
        <v/>
      </c>
      <c r="I64" s="11" t="n"/>
      <c r="J64" s="20" t="n"/>
      <c r="K64" s="11" t="n"/>
      <c r="L64" s="11">
        <f t="array" ref="L64">IF($K64="","", IFERROR(IFS($K64="Low", INDEX('Lookups - Complexity'!$C:$C, MATCH($B64, 'Lookups - Complexity'!$B:$B,0)), $K64="Medium", INDEX('Lookups - Complexity'!$D:$D, MATCH($B64, 'Lookups - Complexity'!$B:$B,0)), $K64="High", INDEX('Lookups - Complexity'!$E:$E, MATCH($B64, 'Lookups - Complexity'!$B:$B,0))), ""))</f>
        <v/>
      </c>
      <c r="M64" s="11">
        <f>IF($I64="FTE", Assumptions!$B$3, "")</f>
        <v/>
      </c>
      <c r="N64" s="11">
        <f t="array" ref="N64">IFERROR(INDEX(Milestones!$F:$F, MATCH($B64, Milestones!$B:$B, 0)), "")</f>
        <v/>
      </c>
      <c r="O64" s="11">
        <f t="array" ref="O64">IFERROR(INDEX(Milestones!$G:$G, MATCH($B64, Milestones!$B:$B, 0)), "")</f>
        <v/>
      </c>
      <c r="P64" s="11">
        <f t="array" ref="P64">IFERROR(INDEX('Lookups - Rates'!$D:$D, MATCH($G64&amp;"|"&amp;$H64, 'Lookups - Rates'!$Z:$Z, 0)), "")</f>
        <v/>
      </c>
      <c r="Q64" s="11">
        <f t="array" ref="Q64">IFERROR(INDEX('Lookups - Rates'!$E:$E, MATCH($G64&amp;"|"&amp;$H64, 'Lookups - Rates'!$Z:$Z, 0)), "")</f>
        <v/>
      </c>
      <c r="R64" s="11">
        <f>LET(ev,$J64, ch,$L64, hr,$P64, dr,$Q64, hpday,Assumptions!$B$2, hpw,Assumptions!$B$3, w,$M64, hrs, IF($I64="Hours", ev, IF($I64="Days", ev*IF(dr&gt;0, dr/hr, hpday), IF($I64="FTE", ev*hpw*w, ch))), IF(hrs="", "", hrs*hr))</f>
        <v/>
      </c>
      <c r="S64" s="13" t="n"/>
      <c r="T64" s="11">
        <f t="array" ref="T64">XLOOKUP(Scenario_Selected, INDEX(Scenario_Table,0,1), INDEX(Scenario_Table,0,2))</f>
        <v/>
      </c>
      <c r="U64" s="11">
        <f t="array" ref="U64">XLOOKUP(Scenario_Selected, INDEX(Scenario_Table,0,1), INDEX(Scenario_Table,0,3))</f>
        <v/>
      </c>
      <c r="V64" s="11">
        <f t="array" ref="V64">XLOOKUP(Scenario_Selected, INDEX(Scenario_Table,0,1), INDEX(Scenario_Table,0,4))</f>
        <v/>
      </c>
      <c r="W64" s="11">
        <f t="array" ref="W64">LET(ev,$J64, ch,$L64, et,$I64, dr,$Q64, hpday,Assumptions!$B$2, hpw,Assumptions!$B$3, w,$M64,hm,INDIRECT("R[0]C[0]",FALSE),hrs, IF(et="Hours", ev, IF(et="Days", ev*IF(dr&gt;0, dr/$P64, hpday), IF(et="FTE", ev*hpw*w, ch))), IF(hrs="", "", hrs*hm))</f>
        <v/>
      </c>
      <c r="X64" s="11">
        <f>IF($P64="","", $P64*INDIRECT("R[0]C[-3]",FALSE))</f>
        <v/>
      </c>
      <c r="Y64" s="11">
        <f>IF(INDIRECT("R[0]C[-1]",FALSE)="","", INDIRECT("R[0]C[-2]",FALSE)*INDIRECT("R[0]C[-1]",FALSE)*(1+INDIRECT("R[0]C[-3]",FALSE)))</f>
        <v/>
      </c>
      <c r="Z64" s="13" t="n"/>
    </row>
    <row r="65" ht="15.75" customHeight="1" s="74">
      <c r="A65" s="11" t="n">
        <v>65</v>
      </c>
      <c r="C65" s="11">
        <f t="array" ref="C65">IFERROR(INDEX(Milestones!$A:$A, MATCH($B65, Milestones!$B:$B, 0)), "")</f>
        <v/>
      </c>
      <c r="D65" s="11">
        <f t="array" ref="D65">IFERROR(INDEX(Milestones!$C:$C, MATCH($B65, Milestones!$B:$B, 0)), "")</f>
        <v/>
      </c>
      <c r="F65" s="11">
        <f t="array" ref="F65">IFERROR(INDEX(Milestones!$E:$E, MATCH($B65, Milestones!$B:$B, 0)), "")</f>
        <v/>
      </c>
      <c r="I65" s="11" t="n"/>
      <c r="J65" s="20" t="n"/>
      <c r="K65" s="11" t="n"/>
      <c r="L65" s="11">
        <f t="array" ref="L65">IF($K65="","", IFERROR(IFS($K65="Low", INDEX('Lookups - Complexity'!$C:$C, MATCH($B65, 'Lookups - Complexity'!$B:$B,0)), $K65="Medium", INDEX('Lookups - Complexity'!$D:$D, MATCH($B65, 'Lookups - Complexity'!$B:$B,0)), $K65="High", INDEX('Lookups - Complexity'!$E:$E, MATCH($B65, 'Lookups - Complexity'!$B:$B,0))), ""))</f>
        <v/>
      </c>
      <c r="M65" s="11">
        <f>IF($I65="FTE", Assumptions!$B$3, "")</f>
        <v/>
      </c>
      <c r="N65" s="11">
        <f t="array" ref="N65">IFERROR(INDEX(Milestones!$F:$F, MATCH($B65, Milestones!$B:$B, 0)), "")</f>
        <v/>
      </c>
      <c r="O65" s="11">
        <f t="array" ref="O65">IFERROR(INDEX(Milestones!$G:$G, MATCH($B65, Milestones!$B:$B, 0)), "")</f>
        <v/>
      </c>
      <c r="P65" s="11">
        <f t="array" ref="P65">IFERROR(INDEX('Lookups - Rates'!$D:$D, MATCH($G65&amp;"|"&amp;$H65, 'Lookups - Rates'!$Z:$Z, 0)), "")</f>
        <v/>
      </c>
      <c r="Q65" s="11">
        <f t="array" ref="Q65">IFERROR(INDEX('Lookups - Rates'!$E:$E, MATCH($G65&amp;"|"&amp;$H65, 'Lookups - Rates'!$Z:$Z, 0)), "")</f>
        <v/>
      </c>
      <c r="R65" s="11">
        <f>LET(ev,$J65, ch,$L65, hr,$P65, dr,$Q65, hpday,Assumptions!$B$2, hpw,Assumptions!$B$3, w,$M65, hrs, IF($I65="Hours", ev, IF($I65="Days", ev*IF(dr&gt;0, dr/hr, hpday), IF($I65="FTE", ev*hpw*w, ch))), IF(hrs="", "", hrs*hr))</f>
        <v/>
      </c>
      <c r="S65" s="13" t="n"/>
      <c r="T65" s="11">
        <f t="array" ref="T65">XLOOKUP(Scenario_Selected, INDEX(Scenario_Table,0,1), INDEX(Scenario_Table,0,2))</f>
        <v/>
      </c>
      <c r="U65" s="11">
        <f t="array" ref="U65">XLOOKUP(Scenario_Selected, INDEX(Scenario_Table,0,1), INDEX(Scenario_Table,0,3))</f>
        <v/>
      </c>
      <c r="V65" s="11">
        <f t="array" ref="V65">XLOOKUP(Scenario_Selected, INDEX(Scenario_Table,0,1), INDEX(Scenario_Table,0,4))</f>
        <v/>
      </c>
      <c r="W65" s="11">
        <f t="array" ref="W65">LET(ev,$J65, ch,$L65, et,$I65, dr,$Q65, hpday,Assumptions!$B$2, hpw,Assumptions!$B$3, w,$M65,hm,INDIRECT("R[0]C[0]",FALSE),hrs, IF(et="Hours", ev, IF(et="Days", ev*IF(dr&gt;0, dr/$P65, hpday), IF(et="FTE", ev*hpw*w, ch))), IF(hrs="", "", hrs*hm))</f>
        <v/>
      </c>
      <c r="X65" s="11">
        <f>IF($P65="","", $P65*INDIRECT("R[0]C[-3]",FALSE))</f>
        <v/>
      </c>
      <c r="Y65" s="11">
        <f>IF(INDIRECT("R[0]C[-1]",FALSE)="","", INDIRECT("R[0]C[-2]",FALSE)*INDIRECT("R[0]C[-1]",FALSE)*(1+INDIRECT("R[0]C[-3]",FALSE)))</f>
        <v/>
      </c>
      <c r="Z65" s="13" t="n"/>
    </row>
    <row r="66" ht="15.75" customHeight="1" s="74">
      <c r="A66" s="11" t="n">
        <v>66</v>
      </c>
      <c r="C66" s="11">
        <f t="array" ref="C66">IFERROR(INDEX(Milestones!$A:$A, MATCH($B66, Milestones!$B:$B, 0)), "")</f>
        <v/>
      </c>
      <c r="D66" s="11">
        <f t="array" ref="D66">IFERROR(INDEX(Milestones!$C:$C, MATCH($B66, Milestones!$B:$B, 0)), "")</f>
        <v/>
      </c>
      <c r="F66" s="11">
        <f t="array" ref="F66">IFERROR(INDEX(Milestones!$E:$E, MATCH($B66, Milestones!$B:$B, 0)), "")</f>
        <v/>
      </c>
      <c r="I66" s="11" t="n"/>
      <c r="J66" s="20" t="n"/>
      <c r="K66" s="11" t="n"/>
      <c r="L66" s="11">
        <f t="array" ref="L66">IF($K66="","", IFERROR(IFS($K66="Low", INDEX('Lookups - Complexity'!$C:$C, MATCH($B66, 'Lookups - Complexity'!$B:$B,0)), $K66="Medium", INDEX('Lookups - Complexity'!$D:$D, MATCH($B66, 'Lookups - Complexity'!$B:$B,0)), $K66="High", INDEX('Lookups - Complexity'!$E:$E, MATCH($B66, 'Lookups - Complexity'!$B:$B,0))), ""))</f>
        <v/>
      </c>
      <c r="M66" s="11">
        <f>IF($I66="FTE", Assumptions!$B$3, "")</f>
        <v/>
      </c>
      <c r="N66" s="11">
        <f t="array" ref="N66">IFERROR(INDEX(Milestones!$F:$F, MATCH($B66, Milestones!$B:$B, 0)), "")</f>
        <v/>
      </c>
      <c r="O66" s="11">
        <f t="array" ref="O66">IFERROR(INDEX(Milestones!$G:$G, MATCH($B66, Milestones!$B:$B, 0)), "")</f>
        <v/>
      </c>
      <c r="P66" s="11">
        <f t="array" ref="P66">IFERROR(INDEX('Lookups - Rates'!$D:$D, MATCH($G66&amp;"|"&amp;$H66, 'Lookups - Rates'!$Z:$Z, 0)), "")</f>
        <v/>
      </c>
      <c r="Q66" s="11">
        <f t="array" ref="Q66">IFERROR(INDEX('Lookups - Rates'!$E:$E, MATCH($G66&amp;"|"&amp;$H66, 'Lookups - Rates'!$Z:$Z, 0)), "")</f>
        <v/>
      </c>
      <c r="R66" s="11">
        <f>LET(ev,$J66, ch,$L66, hr,$P66, dr,$Q66, hpday,Assumptions!$B$2, hpw,Assumptions!$B$3, w,$M66, hrs, IF($I66="Hours", ev, IF($I66="Days", ev*IF(dr&gt;0, dr/hr, hpday), IF($I66="FTE", ev*hpw*w, ch))), IF(hrs="", "", hrs*hr))</f>
        <v/>
      </c>
      <c r="S66" s="13" t="n"/>
      <c r="T66" s="11">
        <f t="array" ref="T66">XLOOKUP(Scenario_Selected, INDEX(Scenario_Table,0,1), INDEX(Scenario_Table,0,2))</f>
        <v/>
      </c>
      <c r="U66" s="11">
        <f t="array" ref="U66">XLOOKUP(Scenario_Selected, INDEX(Scenario_Table,0,1), INDEX(Scenario_Table,0,3))</f>
        <v/>
      </c>
      <c r="V66" s="11">
        <f t="array" ref="V66">XLOOKUP(Scenario_Selected, INDEX(Scenario_Table,0,1), INDEX(Scenario_Table,0,4))</f>
        <v/>
      </c>
      <c r="W66" s="11">
        <f t="array" ref="W66">LET(ev,$J66, ch,$L66, et,$I66, dr,$Q66, hpday,Assumptions!$B$2, hpw,Assumptions!$B$3, w,$M66,hm,INDIRECT("R[0]C[0]",FALSE),hrs, IF(et="Hours", ev, IF(et="Days", ev*IF(dr&gt;0, dr/$P66, hpday), IF(et="FTE", ev*hpw*w, ch))), IF(hrs="", "", hrs*hm))</f>
        <v/>
      </c>
      <c r="X66" s="11">
        <f>IF($P66="","", $P66*INDIRECT("R[0]C[-3]",FALSE))</f>
        <v/>
      </c>
      <c r="Y66" s="11">
        <f>IF(INDIRECT("R[0]C[-1]",FALSE)="","", INDIRECT("R[0]C[-2]",FALSE)*INDIRECT("R[0]C[-1]",FALSE)*(1+INDIRECT("R[0]C[-3]",FALSE)))</f>
        <v/>
      </c>
      <c r="Z66" s="13" t="n"/>
    </row>
    <row r="67" ht="15.75" customHeight="1" s="74">
      <c r="A67" s="11" t="n">
        <v>67</v>
      </c>
      <c r="C67" s="11">
        <f t="array" ref="C67">IFERROR(INDEX(Milestones!$A:$A, MATCH($B67, Milestones!$B:$B, 0)), "")</f>
        <v/>
      </c>
      <c r="D67" s="11">
        <f t="array" ref="D67">IFERROR(INDEX(Milestones!$C:$C, MATCH($B67, Milestones!$B:$B, 0)), "")</f>
        <v/>
      </c>
      <c r="F67" s="11">
        <f t="array" ref="F67">IFERROR(INDEX(Milestones!$E:$E, MATCH($B67, Milestones!$B:$B, 0)), "")</f>
        <v/>
      </c>
      <c r="I67" s="11" t="n"/>
      <c r="J67" s="20" t="n"/>
      <c r="K67" s="11" t="n"/>
      <c r="L67" s="11">
        <f t="array" ref="L67">IF($K67="","", IFERROR(IFS($K67="Low", INDEX('Lookups - Complexity'!$C:$C, MATCH($B67, 'Lookups - Complexity'!$B:$B,0)), $K67="Medium", INDEX('Lookups - Complexity'!$D:$D, MATCH($B67, 'Lookups - Complexity'!$B:$B,0)), $K67="High", INDEX('Lookups - Complexity'!$E:$E, MATCH($B67, 'Lookups - Complexity'!$B:$B,0))), ""))</f>
        <v/>
      </c>
      <c r="M67" s="11">
        <f>IF($I67="FTE", Assumptions!$B$3, "")</f>
        <v/>
      </c>
      <c r="N67" s="11">
        <f t="array" ref="N67">IFERROR(INDEX(Milestones!$F:$F, MATCH($B67, Milestones!$B:$B, 0)), "")</f>
        <v/>
      </c>
      <c r="O67" s="11">
        <f t="array" ref="O67">IFERROR(INDEX(Milestones!$G:$G, MATCH($B67, Milestones!$B:$B, 0)), "")</f>
        <v/>
      </c>
      <c r="P67" s="11">
        <f t="array" ref="P67">IFERROR(INDEX('Lookups - Rates'!$D:$D, MATCH($G67&amp;"|"&amp;$H67, 'Lookups - Rates'!$Z:$Z, 0)), "")</f>
        <v/>
      </c>
      <c r="Q67" s="11">
        <f t="array" ref="Q67">IFERROR(INDEX('Lookups - Rates'!$E:$E, MATCH($G67&amp;"|"&amp;$H67, 'Lookups - Rates'!$Z:$Z, 0)), "")</f>
        <v/>
      </c>
      <c r="R67" s="11">
        <f>LET(ev,$J67, ch,$L67, hr,$P67, dr,$Q67, hpday,Assumptions!$B$2, hpw,Assumptions!$B$3, w,$M67, hrs, IF($I67="Hours", ev, IF($I67="Days", ev*IF(dr&gt;0, dr/hr, hpday), IF($I67="FTE", ev*hpw*w, ch))), IF(hrs="", "", hrs*hr))</f>
        <v/>
      </c>
      <c r="S67" s="13" t="n"/>
      <c r="T67" s="11">
        <f t="array" ref="T67">XLOOKUP(Scenario_Selected, INDEX(Scenario_Table,0,1), INDEX(Scenario_Table,0,2))</f>
        <v/>
      </c>
      <c r="U67" s="11">
        <f t="array" ref="U67">XLOOKUP(Scenario_Selected, INDEX(Scenario_Table,0,1), INDEX(Scenario_Table,0,3))</f>
        <v/>
      </c>
      <c r="V67" s="11">
        <f t="array" ref="V67">XLOOKUP(Scenario_Selected, INDEX(Scenario_Table,0,1), INDEX(Scenario_Table,0,4))</f>
        <v/>
      </c>
      <c r="W67" s="11">
        <f t="array" ref="W67">LET(ev,$J67, ch,$L67, et,$I67, dr,$Q67, hpday,Assumptions!$B$2, hpw,Assumptions!$B$3, w,$M67,hm,INDIRECT("R[0]C[0]",FALSE),hrs, IF(et="Hours", ev, IF(et="Days", ev*IF(dr&gt;0, dr/$P67, hpday), IF(et="FTE", ev*hpw*w, ch))), IF(hrs="", "", hrs*hm))</f>
        <v/>
      </c>
      <c r="X67" s="11">
        <f>IF($P67="","", $P67*INDIRECT("R[0]C[-3]",FALSE))</f>
        <v/>
      </c>
      <c r="Y67" s="11">
        <f>IF(INDIRECT("R[0]C[-1]",FALSE)="","", INDIRECT("R[0]C[-2]",FALSE)*INDIRECT("R[0]C[-1]",FALSE)*(1+INDIRECT("R[0]C[-3]",FALSE)))</f>
        <v/>
      </c>
      <c r="Z67" s="13" t="n"/>
    </row>
    <row r="68" ht="15.75" customHeight="1" s="74">
      <c r="A68" s="11" t="n">
        <v>68</v>
      </c>
      <c r="C68" s="11">
        <f t="array" ref="C68">IFERROR(INDEX(Milestones!$A:$A, MATCH($B68, Milestones!$B:$B, 0)), "")</f>
        <v/>
      </c>
      <c r="D68" s="11">
        <f t="array" ref="D68">IFERROR(INDEX(Milestones!$C:$C, MATCH($B68, Milestones!$B:$B, 0)), "")</f>
        <v/>
      </c>
      <c r="F68" s="11">
        <f t="array" ref="F68">IFERROR(INDEX(Milestones!$E:$E, MATCH($B68, Milestones!$B:$B, 0)), "")</f>
        <v/>
      </c>
      <c r="I68" s="11" t="n"/>
      <c r="J68" s="20" t="n"/>
      <c r="K68" s="11" t="n"/>
      <c r="L68" s="11">
        <f t="array" ref="L68">IF($K68="","", IFERROR(IFS($K68="Low", INDEX('Lookups - Complexity'!$C:$C, MATCH($B68, 'Lookups - Complexity'!$B:$B,0)), $K68="Medium", INDEX('Lookups - Complexity'!$D:$D, MATCH($B68, 'Lookups - Complexity'!$B:$B,0)), $K68="High", INDEX('Lookups - Complexity'!$E:$E, MATCH($B68, 'Lookups - Complexity'!$B:$B,0))), ""))</f>
        <v/>
      </c>
      <c r="M68" s="11">
        <f>IF($I68="FTE", Assumptions!$B$3, "")</f>
        <v/>
      </c>
      <c r="N68" s="11">
        <f t="array" ref="N68">IFERROR(INDEX(Milestones!$F:$F, MATCH($B68, Milestones!$B:$B, 0)), "")</f>
        <v/>
      </c>
      <c r="O68" s="11">
        <f t="array" ref="O68">IFERROR(INDEX(Milestones!$G:$G, MATCH($B68, Milestones!$B:$B, 0)), "")</f>
        <v/>
      </c>
      <c r="P68" s="11">
        <f t="array" ref="P68">IFERROR(INDEX('Lookups - Rates'!$D:$D, MATCH($G68&amp;"|"&amp;$H68, 'Lookups - Rates'!$Z:$Z, 0)), "")</f>
        <v/>
      </c>
      <c r="Q68" s="11">
        <f t="array" ref="Q68">IFERROR(INDEX('Lookups - Rates'!$E:$E, MATCH($G68&amp;"|"&amp;$H68, 'Lookups - Rates'!$Z:$Z, 0)), "")</f>
        <v/>
      </c>
      <c r="R68" s="11">
        <f>LET(ev,$J68, ch,$L68, hr,$P68, dr,$Q68, hpday,Assumptions!$B$2, hpw,Assumptions!$B$3, w,$M68, hrs, IF($I68="Hours", ev, IF($I68="Days", ev*IF(dr&gt;0, dr/hr, hpday), IF($I68="FTE", ev*hpw*w, ch))), IF(hrs="", "", hrs*hr))</f>
        <v/>
      </c>
      <c r="S68" s="13" t="n"/>
      <c r="T68" s="11">
        <f t="array" ref="T68">XLOOKUP(Scenario_Selected, INDEX(Scenario_Table,0,1), INDEX(Scenario_Table,0,2))</f>
        <v/>
      </c>
      <c r="U68" s="11">
        <f t="array" ref="U68">XLOOKUP(Scenario_Selected, INDEX(Scenario_Table,0,1), INDEX(Scenario_Table,0,3))</f>
        <v/>
      </c>
      <c r="V68" s="11">
        <f t="array" ref="V68">XLOOKUP(Scenario_Selected, INDEX(Scenario_Table,0,1), INDEX(Scenario_Table,0,4))</f>
        <v/>
      </c>
      <c r="W68" s="11">
        <f t="array" ref="W68">LET(ev,$J68, ch,$L68, et,$I68, dr,$Q68, hpday,Assumptions!$B$2, hpw,Assumptions!$B$3, w,$M68,hm,INDIRECT("R[0]C[0]",FALSE),hrs, IF(et="Hours", ev, IF(et="Days", ev*IF(dr&gt;0, dr/$P68, hpday), IF(et="FTE", ev*hpw*w, ch))), IF(hrs="", "", hrs*hm))</f>
        <v/>
      </c>
      <c r="X68" s="11">
        <f>IF($P68="","", $P68*INDIRECT("R[0]C[-3]",FALSE))</f>
        <v/>
      </c>
      <c r="Y68" s="11">
        <f>IF(INDIRECT("R[0]C[-1]",FALSE)="","", INDIRECT("R[0]C[-2]",FALSE)*INDIRECT("R[0]C[-1]",FALSE)*(1+INDIRECT("R[0]C[-3]",FALSE)))</f>
        <v/>
      </c>
      <c r="Z68" s="13" t="n"/>
    </row>
    <row r="69" ht="15.75" customHeight="1" s="74">
      <c r="A69" s="11" t="n">
        <v>69</v>
      </c>
      <c r="C69" s="11">
        <f t="array" ref="C69">IFERROR(INDEX(Milestones!$A:$A, MATCH($B69, Milestones!$B:$B, 0)), "")</f>
        <v/>
      </c>
      <c r="D69" s="11">
        <f t="array" ref="D69">IFERROR(INDEX(Milestones!$C:$C, MATCH($B69, Milestones!$B:$B, 0)), "")</f>
        <v/>
      </c>
      <c r="F69" s="11">
        <f t="array" ref="F69">IFERROR(INDEX(Milestones!$E:$E, MATCH($B69, Milestones!$B:$B, 0)), "")</f>
        <v/>
      </c>
      <c r="I69" s="11" t="n"/>
      <c r="J69" s="20" t="n"/>
      <c r="K69" s="11" t="n"/>
      <c r="L69" s="11">
        <f t="array" ref="L69">IF($K69="","", IFERROR(IFS($K69="Low", INDEX('Lookups - Complexity'!$C:$C, MATCH($B69, 'Lookups - Complexity'!$B:$B,0)), $K69="Medium", INDEX('Lookups - Complexity'!$D:$D, MATCH($B69, 'Lookups - Complexity'!$B:$B,0)), $K69="High", INDEX('Lookups - Complexity'!$E:$E, MATCH($B69, 'Lookups - Complexity'!$B:$B,0))), ""))</f>
        <v/>
      </c>
      <c r="M69" s="11">
        <f>IF($I69="FTE", Assumptions!$B$3, "")</f>
        <v/>
      </c>
      <c r="N69" s="11">
        <f t="array" ref="N69">IFERROR(INDEX(Milestones!$F:$F, MATCH($B69, Milestones!$B:$B, 0)), "")</f>
        <v/>
      </c>
      <c r="O69" s="11">
        <f t="array" ref="O69">IFERROR(INDEX(Milestones!$G:$G, MATCH($B69, Milestones!$B:$B, 0)), "")</f>
        <v/>
      </c>
      <c r="P69" s="11">
        <f t="array" ref="P69">IFERROR(INDEX('Lookups - Rates'!$D:$D, MATCH($G69&amp;"|"&amp;$H69, 'Lookups - Rates'!$Z:$Z, 0)), "")</f>
        <v/>
      </c>
      <c r="Q69" s="11">
        <f t="array" ref="Q69">IFERROR(INDEX('Lookups - Rates'!$E:$E, MATCH($G69&amp;"|"&amp;$H69, 'Lookups - Rates'!$Z:$Z, 0)), "")</f>
        <v/>
      </c>
      <c r="R69" s="11">
        <f>LET(ev,$J69, ch,$L69, hr,$P69, dr,$Q69, hpday,Assumptions!$B$2, hpw,Assumptions!$B$3, w,$M69, hrs, IF($I69="Hours", ev, IF($I69="Days", ev*IF(dr&gt;0, dr/hr, hpday), IF($I69="FTE", ev*hpw*w, ch))), IF(hrs="", "", hrs*hr))</f>
        <v/>
      </c>
      <c r="S69" s="13" t="n"/>
      <c r="T69" s="11">
        <f t="array" ref="T69">XLOOKUP(Scenario_Selected, INDEX(Scenario_Table,0,1), INDEX(Scenario_Table,0,2))</f>
        <v/>
      </c>
      <c r="U69" s="11">
        <f t="array" ref="U69">XLOOKUP(Scenario_Selected, INDEX(Scenario_Table,0,1), INDEX(Scenario_Table,0,3))</f>
        <v/>
      </c>
      <c r="V69" s="11">
        <f t="array" ref="V69">XLOOKUP(Scenario_Selected, INDEX(Scenario_Table,0,1), INDEX(Scenario_Table,0,4))</f>
        <v/>
      </c>
      <c r="W69" s="11">
        <f t="array" ref="W69">LET(ev,$J69, ch,$L69, et,$I69, dr,$Q69, hpday,Assumptions!$B$2, hpw,Assumptions!$B$3, w,$M69,hm,INDIRECT("R[0]C[0]",FALSE),hrs, IF(et="Hours", ev, IF(et="Days", ev*IF(dr&gt;0, dr/$P69, hpday), IF(et="FTE", ev*hpw*w, ch))), IF(hrs="", "", hrs*hm))</f>
        <v/>
      </c>
      <c r="X69" s="11">
        <f>IF($P69="","", $P69*INDIRECT("R[0]C[-3]",FALSE))</f>
        <v/>
      </c>
      <c r="Y69" s="11">
        <f>IF(INDIRECT("R[0]C[-1]",FALSE)="","", INDIRECT("R[0]C[-2]",FALSE)*INDIRECT("R[0]C[-1]",FALSE)*(1+INDIRECT("R[0]C[-3]",FALSE)))</f>
        <v/>
      </c>
      <c r="Z69" s="13" t="n"/>
    </row>
    <row r="70" ht="15.75" customHeight="1" s="74">
      <c r="A70" s="11" t="n">
        <v>70</v>
      </c>
      <c r="C70" s="11">
        <f t="array" ref="C70">IFERROR(INDEX(Milestones!$A:$A, MATCH($B70, Milestones!$B:$B, 0)), "")</f>
        <v/>
      </c>
      <c r="D70" s="11">
        <f t="array" ref="D70">IFERROR(INDEX(Milestones!$C:$C, MATCH($B70, Milestones!$B:$B, 0)), "")</f>
        <v/>
      </c>
      <c r="F70" s="11">
        <f t="array" ref="F70">IFERROR(INDEX(Milestones!$E:$E, MATCH($B70, Milestones!$B:$B, 0)), "")</f>
        <v/>
      </c>
      <c r="I70" s="11" t="n"/>
      <c r="J70" s="20" t="n"/>
      <c r="K70" s="11" t="n"/>
      <c r="L70" s="11">
        <f t="array" ref="L70">IF($K70="","", IFERROR(IFS($K70="Low", INDEX('Lookups - Complexity'!$C:$C, MATCH($B70, 'Lookups - Complexity'!$B:$B,0)), $K70="Medium", INDEX('Lookups - Complexity'!$D:$D, MATCH($B70, 'Lookups - Complexity'!$B:$B,0)), $K70="High", INDEX('Lookups - Complexity'!$E:$E, MATCH($B70, 'Lookups - Complexity'!$B:$B,0))), ""))</f>
        <v/>
      </c>
      <c r="M70" s="11">
        <f>IF($I70="FTE", Assumptions!$B$3, "")</f>
        <v/>
      </c>
      <c r="N70" s="11">
        <f t="array" ref="N70">IFERROR(INDEX(Milestones!$F:$F, MATCH($B70, Milestones!$B:$B, 0)), "")</f>
        <v/>
      </c>
      <c r="O70" s="11">
        <f t="array" ref="O70">IFERROR(INDEX(Milestones!$G:$G, MATCH($B70, Milestones!$B:$B, 0)), "")</f>
        <v/>
      </c>
      <c r="P70" s="11">
        <f t="array" ref="P70">IFERROR(INDEX('Lookups - Rates'!$D:$D, MATCH($G70&amp;"|"&amp;$H70, 'Lookups - Rates'!$Z:$Z, 0)), "")</f>
        <v/>
      </c>
      <c r="Q70" s="11">
        <f t="array" ref="Q70">IFERROR(INDEX('Lookups - Rates'!$E:$E, MATCH($G70&amp;"|"&amp;$H70, 'Lookups - Rates'!$Z:$Z, 0)), "")</f>
        <v/>
      </c>
      <c r="R70" s="11">
        <f>LET(ev,$J70, ch,$L70, hr,$P70, dr,$Q70, hpday,Assumptions!$B$2, hpw,Assumptions!$B$3, w,$M70, hrs, IF($I70="Hours", ev, IF($I70="Days", ev*IF(dr&gt;0, dr/hr, hpday), IF($I70="FTE", ev*hpw*w, ch))), IF(hrs="", "", hrs*hr))</f>
        <v/>
      </c>
      <c r="S70" s="13" t="n"/>
      <c r="T70" s="11">
        <f t="array" ref="T70">XLOOKUP(Scenario_Selected, INDEX(Scenario_Table,0,1), INDEX(Scenario_Table,0,2))</f>
        <v/>
      </c>
      <c r="U70" s="11">
        <f t="array" ref="U70">XLOOKUP(Scenario_Selected, INDEX(Scenario_Table,0,1), INDEX(Scenario_Table,0,3))</f>
        <v/>
      </c>
      <c r="V70" s="11">
        <f t="array" ref="V70">XLOOKUP(Scenario_Selected, INDEX(Scenario_Table,0,1), INDEX(Scenario_Table,0,4))</f>
        <v/>
      </c>
      <c r="W70" s="11">
        <f t="array" ref="W70">LET(ev,$J70, ch,$L70, et,$I70, dr,$Q70, hpday,Assumptions!$B$2, hpw,Assumptions!$B$3, w,$M70,hm,INDIRECT("R[0]C[0]",FALSE),hrs, IF(et="Hours", ev, IF(et="Days", ev*IF(dr&gt;0, dr/$P70, hpday), IF(et="FTE", ev*hpw*w, ch))), IF(hrs="", "", hrs*hm))</f>
        <v/>
      </c>
      <c r="X70" s="11">
        <f>IF($P70="","", $P70*INDIRECT("R[0]C[-3]",FALSE))</f>
        <v/>
      </c>
      <c r="Y70" s="11">
        <f>IF(INDIRECT("R[0]C[-1]",FALSE)="","", INDIRECT("R[0]C[-2]",FALSE)*INDIRECT("R[0]C[-1]",FALSE)*(1+INDIRECT("R[0]C[-3]",FALSE)))</f>
        <v/>
      </c>
      <c r="Z70" s="13" t="n"/>
    </row>
    <row r="71" ht="15.75" customHeight="1" s="74">
      <c r="A71" s="11" t="n">
        <v>71</v>
      </c>
      <c r="C71" s="11">
        <f t="array" ref="C71">IFERROR(INDEX(Milestones!$A:$A, MATCH($B71, Milestones!$B:$B, 0)), "")</f>
        <v/>
      </c>
      <c r="D71" s="11">
        <f t="array" ref="D71">IFERROR(INDEX(Milestones!$C:$C, MATCH($B71, Milestones!$B:$B, 0)), "")</f>
        <v/>
      </c>
      <c r="F71" s="11">
        <f t="array" ref="F71">IFERROR(INDEX(Milestones!$E:$E, MATCH($B71, Milestones!$B:$B, 0)), "")</f>
        <v/>
      </c>
      <c r="I71" s="11" t="n"/>
      <c r="J71" s="20" t="n"/>
      <c r="K71" s="11" t="n"/>
      <c r="L71" s="11">
        <f t="array" ref="L71">IF($K71="","", IFERROR(IFS($K71="Low", INDEX('Lookups - Complexity'!$C:$C, MATCH($B71, 'Lookups - Complexity'!$B:$B,0)), $K71="Medium", INDEX('Lookups - Complexity'!$D:$D, MATCH($B71, 'Lookups - Complexity'!$B:$B,0)), $K71="High", INDEX('Lookups - Complexity'!$E:$E, MATCH($B71, 'Lookups - Complexity'!$B:$B,0))), ""))</f>
        <v/>
      </c>
      <c r="M71" s="11">
        <f>IF($I71="FTE", Assumptions!$B$3, "")</f>
        <v/>
      </c>
      <c r="N71" s="11">
        <f t="array" ref="N71">IFERROR(INDEX(Milestones!$F:$F, MATCH($B71, Milestones!$B:$B, 0)), "")</f>
        <v/>
      </c>
      <c r="O71" s="11">
        <f t="array" ref="O71">IFERROR(INDEX(Milestones!$G:$G, MATCH($B71, Milestones!$B:$B, 0)), "")</f>
        <v/>
      </c>
      <c r="P71" s="11">
        <f t="array" ref="P71">IFERROR(INDEX('Lookups - Rates'!$D:$D, MATCH($G71&amp;"|"&amp;$H71, 'Lookups - Rates'!$Z:$Z, 0)), "")</f>
        <v/>
      </c>
      <c r="Q71" s="11">
        <f t="array" ref="Q71">IFERROR(INDEX('Lookups - Rates'!$E:$E, MATCH($G71&amp;"|"&amp;$H71, 'Lookups - Rates'!$Z:$Z, 0)), "")</f>
        <v/>
      </c>
      <c r="R71" s="11">
        <f>LET(ev,$J71, ch,$L71, hr,$P71, dr,$Q71, hpday,Assumptions!$B$2, hpw,Assumptions!$B$3, w,$M71, hrs, IF($I71="Hours", ev, IF($I71="Days", ev*IF(dr&gt;0, dr/hr, hpday), IF($I71="FTE", ev*hpw*w, ch))), IF(hrs="", "", hrs*hr))</f>
        <v/>
      </c>
      <c r="S71" s="13" t="n"/>
      <c r="T71" s="11">
        <f t="array" ref="T71">XLOOKUP(Scenario_Selected, INDEX(Scenario_Table,0,1), INDEX(Scenario_Table,0,2))</f>
        <v/>
      </c>
      <c r="U71" s="11">
        <f t="array" ref="U71">XLOOKUP(Scenario_Selected, INDEX(Scenario_Table,0,1), INDEX(Scenario_Table,0,3))</f>
        <v/>
      </c>
      <c r="V71" s="11">
        <f t="array" ref="V71">XLOOKUP(Scenario_Selected, INDEX(Scenario_Table,0,1), INDEX(Scenario_Table,0,4))</f>
        <v/>
      </c>
      <c r="W71" s="11">
        <f t="array" ref="W71">LET(ev,$J71, ch,$L71, et,$I71, dr,$Q71, hpday,Assumptions!$B$2, hpw,Assumptions!$B$3, w,$M71,hm,INDIRECT("R[0]C[0]",FALSE),hrs, IF(et="Hours", ev, IF(et="Days", ev*IF(dr&gt;0, dr/$P71, hpday), IF(et="FTE", ev*hpw*w, ch))), IF(hrs="", "", hrs*hm))</f>
        <v/>
      </c>
      <c r="X71" s="11">
        <f>IF($P71="","", $P71*INDIRECT("R[0]C[-3]",FALSE))</f>
        <v/>
      </c>
      <c r="Y71" s="11">
        <f>IF(INDIRECT("R[0]C[-1]",FALSE)="","", INDIRECT("R[0]C[-2]",FALSE)*INDIRECT("R[0]C[-1]",FALSE)*(1+INDIRECT("R[0]C[-3]",FALSE)))</f>
        <v/>
      </c>
      <c r="Z71" s="13" t="n"/>
    </row>
    <row r="72" ht="15.75" customHeight="1" s="74">
      <c r="A72" s="11" t="n">
        <v>72</v>
      </c>
      <c r="C72" s="11">
        <f t="array" ref="C72">IFERROR(INDEX(Milestones!$A:$A, MATCH($B72, Milestones!$B:$B, 0)), "")</f>
        <v/>
      </c>
      <c r="D72" s="11">
        <f t="array" ref="D72">IFERROR(INDEX(Milestones!$C:$C, MATCH($B72, Milestones!$B:$B, 0)), "")</f>
        <v/>
      </c>
      <c r="F72" s="11">
        <f t="array" ref="F72">IFERROR(INDEX(Milestones!$E:$E, MATCH($B72, Milestones!$B:$B, 0)), "")</f>
        <v/>
      </c>
      <c r="I72" s="11" t="n"/>
      <c r="J72" s="20" t="n"/>
      <c r="K72" s="11" t="n"/>
      <c r="L72" s="11">
        <f t="array" ref="L72">IF($K72="","", IFERROR(IFS($K72="Low", INDEX('Lookups - Complexity'!$C:$C, MATCH($B72, 'Lookups - Complexity'!$B:$B,0)), $K72="Medium", INDEX('Lookups - Complexity'!$D:$D, MATCH($B72, 'Lookups - Complexity'!$B:$B,0)), $K72="High", INDEX('Lookups - Complexity'!$E:$E, MATCH($B72, 'Lookups - Complexity'!$B:$B,0))), ""))</f>
        <v/>
      </c>
      <c r="M72" s="11">
        <f>IF($I72="FTE", Assumptions!$B$3, "")</f>
        <v/>
      </c>
      <c r="N72" s="11">
        <f t="array" ref="N72">IFERROR(INDEX(Milestones!$F:$F, MATCH($B72, Milestones!$B:$B, 0)), "")</f>
        <v/>
      </c>
      <c r="O72" s="11">
        <f t="array" ref="O72">IFERROR(INDEX(Milestones!$G:$G, MATCH($B72, Milestones!$B:$B, 0)), "")</f>
        <v/>
      </c>
      <c r="P72" s="11">
        <f t="array" ref="P72">IFERROR(INDEX('Lookups - Rates'!$D:$D, MATCH($G72&amp;"|"&amp;$H72, 'Lookups - Rates'!$Z:$Z, 0)), "")</f>
        <v/>
      </c>
      <c r="Q72" s="11">
        <f t="array" ref="Q72">IFERROR(INDEX('Lookups - Rates'!$E:$E, MATCH($G72&amp;"|"&amp;$H72, 'Lookups - Rates'!$Z:$Z, 0)), "")</f>
        <v/>
      </c>
      <c r="R72" s="11">
        <f>LET(ev,$J72, ch,$L72, hr,$P72, dr,$Q72, hpday,Assumptions!$B$2, hpw,Assumptions!$B$3, w,$M72, hrs, IF($I72="Hours", ev, IF($I72="Days", ev*IF(dr&gt;0, dr/hr, hpday), IF($I72="FTE", ev*hpw*w, ch))), IF(hrs="", "", hrs*hr))</f>
        <v/>
      </c>
      <c r="S72" s="13" t="n"/>
      <c r="T72" s="11">
        <f t="array" ref="T72">XLOOKUP(Scenario_Selected, INDEX(Scenario_Table,0,1), INDEX(Scenario_Table,0,2))</f>
        <v/>
      </c>
      <c r="U72" s="11">
        <f t="array" ref="U72">XLOOKUP(Scenario_Selected, INDEX(Scenario_Table,0,1), INDEX(Scenario_Table,0,3))</f>
        <v/>
      </c>
      <c r="V72" s="11">
        <f t="array" ref="V72">XLOOKUP(Scenario_Selected, INDEX(Scenario_Table,0,1), INDEX(Scenario_Table,0,4))</f>
        <v/>
      </c>
      <c r="W72" s="11">
        <f t="array" ref="W72">LET(ev,$J72, ch,$L72, et,$I72, dr,$Q72, hpday,Assumptions!$B$2, hpw,Assumptions!$B$3, w,$M72,hm,INDIRECT("R[0]C[0]",FALSE),hrs, IF(et="Hours", ev, IF(et="Days", ev*IF(dr&gt;0, dr/$P72, hpday), IF(et="FTE", ev*hpw*w, ch))), IF(hrs="", "", hrs*hm))</f>
        <v/>
      </c>
      <c r="X72" s="11">
        <f>IF($P72="","", $P72*INDIRECT("R[0]C[-3]",FALSE))</f>
        <v/>
      </c>
      <c r="Y72" s="11">
        <f>IF(INDIRECT("R[0]C[-1]",FALSE)="","", INDIRECT("R[0]C[-2]",FALSE)*INDIRECT("R[0]C[-1]",FALSE)*(1+INDIRECT("R[0]C[-3]",FALSE)))</f>
        <v/>
      </c>
      <c r="Z72" s="13" t="n"/>
    </row>
    <row r="73" ht="15.75" customHeight="1" s="74">
      <c r="A73" s="11" t="n">
        <v>73</v>
      </c>
      <c r="C73" s="11">
        <f t="array" ref="C73">IFERROR(INDEX(Milestones!$A:$A, MATCH($B73, Milestones!$B:$B, 0)), "")</f>
        <v/>
      </c>
      <c r="D73" s="11">
        <f t="array" ref="D73">IFERROR(INDEX(Milestones!$C:$C, MATCH($B73, Milestones!$B:$B, 0)), "")</f>
        <v/>
      </c>
      <c r="F73" s="11">
        <f t="array" ref="F73">IFERROR(INDEX(Milestones!$E:$E, MATCH($B73, Milestones!$B:$B, 0)), "")</f>
        <v/>
      </c>
      <c r="I73" s="11" t="n"/>
      <c r="J73" s="20" t="n"/>
      <c r="K73" s="11" t="n"/>
      <c r="L73" s="11">
        <f t="array" ref="L73">IF($K73="","", IFERROR(IFS($K73="Low", INDEX('Lookups - Complexity'!$C:$C, MATCH($B73, 'Lookups - Complexity'!$B:$B,0)), $K73="Medium", INDEX('Lookups - Complexity'!$D:$D, MATCH($B73, 'Lookups - Complexity'!$B:$B,0)), $K73="High", INDEX('Lookups - Complexity'!$E:$E, MATCH($B73, 'Lookups - Complexity'!$B:$B,0))), ""))</f>
        <v/>
      </c>
      <c r="M73" s="11">
        <f>IF($I73="FTE", Assumptions!$B$3, "")</f>
        <v/>
      </c>
      <c r="N73" s="11">
        <f t="array" ref="N73">IFERROR(INDEX(Milestones!$F:$F, MATCH($B73, Milestones!$B:$B, 0)), "")</f>
        <v/>
      </c>
      <c r="O73" s="11">
        <f t="array" ref="O73">IFERROR(INDEX(Milestones!$G:$G, MATCH($B73, Milestones!$B:$B, 0)), "")</f>
        <v/>
      </c>
      <c r="P73" s="11">
        <f t="array" ref="P73">IFERROR(INDEX('Lookups - Rates'!$D:$D, MATCH($G73&amp;"|"&amp;$H73, 'Lookups - Rates'!$Z:$Z, 0)), "")</f>
        <v/>
      </c>
      <c r="Q73" s="11">
        <f t="array" ref="Q73">IFERROR(INDEX('Lookups - Rates'!$E:$E, MATCH($G73&amp;"|"&amp;$H73, 'Lookups - Rates'!$Z:$Z, 0)), "")</f>
        <v/>
      </c>
      <c r="R73" s="11">
        <f>LET(ev,$J73, ch,$L73, hr,$P73, dr,$Q73, hpday,Assumptions!$B$2, hpw,Assumptions!$B$3, w,$M73, hrs, IF($I73="Hours", ev, IF($I73="Days", ev*IF(dr&gt;0, dr/hr, hpday), IF($I73="FTE", ev*hpw*w, ch))), IF(hrs="", "", hrs*hr))</f>
        <v/>
      </c>
      <c r="S73" s="13" t="n"/>
      <c r="T73" s="11">
        <f t="array" ref="T73">XLOOKUP(Scenario_Selected, INDEX(Scenario_Table,0,1), INDEX(Scenario_Table,0,2))</f>
        <v/>
      </c>
      <c r="U73" s="11">
        <f t="array" ref="U73">XLOOKUP(Scenario_Selected, INDEX(Scenario_Table,0,1), INDEX(Scenario_Table,0,3))</f>
        <v/>
      </c>
      <c r="V73" s="11">
        <f t="array" ref="V73">XLOOKUP(Scenario_Selected, INDEX(Scenario_Table,0,1), INDEX(Scenario_Table,0,4))</f>
        <v/>
      </c>
      <c r="W73" s="11">
        <f t="array" ref="W73">LET(ev,$J73, ch,$L73, et,$I73, dr,$Q73, hpday,Assumptions!$B$2, hpw,Assumptions!$B$3, w,$M73,hm,INDIRECT("R[0]C[0]",FALSE),hrs, IF(et="Hours", ev, IF(et="Days", ev*IF(dr&gt;0, dr/$P73, hpday), IF(et="FTE", ev*hpw*w, ch))), IF(hrs="", "", hrs*hm))</f>
        <v/>
      </c>
      <c r="X73" s="11">
        <f>IF($P73="","", $P73*INDIRECT("R[0]C[-3]",FALSE))</f>
        <v/>
      </c>
      <c r="Y73" s="11">
        <f>IF(INDIRECT("R[0]C[-1]",FALSE)="","", INDIRECT("R[0]C[-2]",FALSE)*INDIRECT("R[0]C[-1]",FALSE)*(1+INDIRECT("R[0]C[-3]",FALSE)))</f>
        <v/>
      </c>
      <c r="Z73" s="13" t="n"/>
    </row>
    <row r="74" ht="15.75" customHeight="1" s="74">
      <c r="A74" s="11" t="n">
        <v>74</v>
      </c>
      <c r="C74" s="11">
        <f t="array" ref="C74">IFERROR(INDEX(Milestones!$A:$A, MATCH($B74, Milestones!$B:$B, 0)), "")</f>
        <v/>
      </c>
      <c r="D74" s="11">
        <f t="array" ref="D74">IFERROR(INDEX(Milestones!$C:$C, MATCH($B74, Milestones!$B:$B, 0)), "")</f>
        <v/>
      </c>
      <c r="F74" s="11">
        <f t="array" ref="F74">IFERROR(INDEX(Milestones!$E:$E, MATCH($B74, Milestones!$B:$B, 0)), "")</f>
        <v/>
      </c>
      <c r="I74" s="11" t="n"/>
      <c r="J74" s="20" t="n"/>
      <c r="K74" s="11" t="n"/>
      <c r="L74" s="11">
        <f t="array" ref="L74">IF($K74="","", IFERROR(IFS($K74="Low", INDEX('Lookups - Complexity'!$C:$C, MATCH($B74, 'Lookups - Complexity'!$B:$B,0)), $K74="Medium", INDEX('Lookups - Complexity'!$D:$D, MATCH($B74, 'Lookups - Complexity'!$B:$B,0)), $K74="High", INDEX('Lookups - Complexity'!$E:$E, MATCH($B74, 'Lookups - Complexity'!$B:$B,0))), ""))</f>
        <v/>
      </c>
      <c r="M74" s="11">
        <f>IF($I74="FTE", Assumptions!$B$3, "")</f>
        <v/>
      </c>
      <c r="N74" s="11">
        <f t="array" ref="N74">IFERROR(INDEX(Milestones!$F:$F, MATCH($B74, Milestones!$B:$B, 0)), "")</f>
        <v/>
      </c>
      <c r="O74" s="11">
        <f t="array" ref="O74">IFERROR(INDEX(Milestones!$G:$G, MATCH($B74, Milestones!$B:$B, 0)), "")</f>
        <v/>
      </c>
      <c r="P74" s="11">
        <f t="array" ref="P74">IFERROR(INDEX('Lookups - Rates'!$D:$D, MATCH($G74&amp;"|"&amp;$H74, 'Lookups - Rates'!$Z:$Z, 0)), "")</f>
        <v/>
      </c>
      <c r="Q74" s="11">
        <f t="array" ref="Q74">IFERROR(INDEX('Lookups - Rates'!$E:$E, MATCH($G74&amp;"|"&amp;$H74, 'Lookups - Rates'!$Z:$Z, 0)), "")</f>
        <v/>
      </c>
      <c r="R74" s="11">
        <f>LET(ev,$J74, ch,$L74, hr,$P74, dr,$Q74, hpday,Assumptions!$B$2, hpw,Assumptions!$B$3, w,$M74, hrs, IF($I74="Hours", ev, IF($I74="Days", ev*IF(dr&gt;0, dr/hr, hpday), IF($I74="FTE", ev*hpw*w, ch))), IF(hrs="", "", hrs*hr))</f>
        <v/>
      </c>
      <c r="S74" s="13" t="n"/>
      <c r="T74" s="11">
        <f t="array" ref="T74">XLOOKUP(Scenario_Selected, INDEX(Scenario_Table,0,1), INDEX(Scenario_Table,0,2))</f>
        <v/>
      </c>
      <c r="U74" s="11">
        <f t="array" ref="U74">XLOOKUP(Scenario_Selected, INDEX(Scenario_Table,0,1), INDEX(Scenario_Table,0,3))</f>
        <v/>
      </c>
      <c r="V74" s="11">
        <f t="array" ref="V74">XLOOKUP(Scenario_Selected, INDEX(Scenario_Table,0,1), INDEX(Scenario_Table,0,4))</f>
        <v/>
      </c>
      <c r="W74" s="11">
        <f t="array" ref="W74">LET(ev,$J74, ch,$L74, et,$I74, dr,$Q74, hpday,Assumptions!$B$2, hpw,Assumptions!$B$3, w,$M74,hm,INDIRECT("R[0]C[0]",FALSE),hrs, IF(et="Hours", ev, IF(et="Days", ev*IF(dr&gt;0, dr/$P74, hpday), IF(et="FTE", ev*hpw*w, ch))), IF(hrs="", "", hrs*hm))</f>
        <v/>
      </c>
      <c r="X74" s="11">
        <f>IF($P74="","", $P74*INDIRECT("R[0]C[-3]",FALSE))</f>
        <v/>
      </c>
      <c r="Y74" s="11">
        <f>IF(INDIRECT("R[0]C[-1]",FALSE)="","", INDIRECT("R[0]C[-2]",FALSE)*INDIRECT("R[0]C[-1]",FALSE)*(1+INDIRECT("R[0]C[-3]",FALSE)))</f>
        <v/>
      </c>
      <c r="Z74" s="13" t="n"/>
    </row>
    <row r="75" ht="15.75" customHeight="1" s="74">
      <c r="A75" s="11" t="n">
        <v>75</v>
      </c>
      <c r="C75" s="11">
        <f t="array" ref="C75">IFERROR(INDEX(Milestones!$A:$A, MATCH($B75, Milestones!$B:$B, 0)), "")</f>
        <v/>
      </c>
      <c r="D75" s="11">
        <f t="array" ref="D75">IFERROR(INDEX(Milestones!$C:$C, MATCH($B75, Milestones!$B:$B, 0)), "")</f>
        <v/>
      </c>
      <c r="F75" s="11">
        <f t="array" ref="F75">IFERROR(INDEX(Milestones!$E:$E, MATCH($B75, Milestones!$B:$B, 0)), "")</f>
        <v/>
      </c>
      <c r="I75" s="11" t="n"/>
      <c r="J75" s="20" t="n"/>
      <c r="K75" s="11" t="n"/>
      <c r="L75" s="11">
        <f t="array" ref="L75">IF($K75="","", IFERROR(IFS($K75="Low", INDEX('Lookups - Complexity'!$C:$C, MATCH($B75, 'Lookups - Complexity'!$B:$B,0)), $K75="Medium", INDEX('Lookups - Complexity'!$D:$D, MATCH($B75, 'Lookups - Complexity'!$B:$B,0)), $K75="High", INDEX('Lookups - Complexity'!$E:$E, MATCH($B75, 'Lookups - Complexity'!$B:$B,0))), ""))</f>
        <v/>
      </c>
      <c r="M75" s="11">
        <f>IF($I75="FTE", Assumptions!$B$3, "")</f>
        <v/>
      </c>
      <c r="N75" s="11">
        <f t="array" ref="N75">IFERROR(INDEX(Milestones!$F:$F, MATCH($B75, Milestones!$B:$B, 0)), "")</f>
        <v/>
      </c>
      <c r="O75" s="11">
        <f t="array" ref="O75">IFERROR(INDEX(Milestones!$G:$G, MATCH($B75, Milestones!$B:$B, 0)), "")</f>
        <v/>
      </c>
      <c r="P75" s="11">
        <f t="array" ref="P75">IFERROR(INDEX('Lookups - Rates'!$D:$D, MATCH($G75&amp;"|"&amp;$H75, 'Lookups - Rates'!$Z:$Z, 0)), "")</f>
        <v/>
      </c>
      <c r="Q75" s="11">
        <f t="array" ref="Q75">IFERROR(INDEX('Lookups - Rates'!$E:$E, MATCH($G75&amp;"|"&amp;$H75, 'Lookups - Rates'!$Z:$Z, 0)), "")</f>
        <v/>
      </c>
      <c r="R75" s="11">
        <f>LET(ev,$J75, ch,$L75, hr,$P75, dr,$Q75, hpday,Assumptions!$B$2, hpw,Assumptions!$B$3, w,$M75, hrs, IF($I75="Hours", ev, IF($I75="Days", ev*IF(dr&gt;0, dr/hr, hpday), IF($I75="FTE", ev*hpw*w, ch))), IF(hrs="", "", hrs*hr))</f>
        <v/>
      </c>
      <c r="S75" s="13" t="n"/>
      <c r="T75" s="11">
        <f t="array" ref="T75">XLOOKUP(Scenario_Selected, INDEX(Scenario_Table,0,1), INDEX(Scenario_Table,0,2))</f>
        <v/>
      </c>
      <c r="U75" s="11">
        <f t="array" ref="U75">XLOOKUP(Scenario_Selected, INDEX(Scenario_Table,0,1), INDEX(Scenario_Table,0,3))</f>
        <v/>
      </c>
      <c r="V75" s="11">
        <f t="array" ref="V75">XLOOKUP(Scenario_Selected, INDEX(Scenario_Table,0,1), INDEX(Scenario_Table,0,4))</f>
        <v/>
      </c>
      <c r="W75" s="11">
        <f t="array" ref="W75">LET(ev,$J75, ch,$L75, et,$I75, dr,$Q75, hpday,Assumptions!$B$2, hpw,Assumptions!$B$3, w,$M75,hm,INDIRECT("R[0]C[0]",FALSE),hrs, IF(et="Hours", ev, IF(et="Days", ev*IF(dr&gt;0, dr/$P75, hpday), IF(et="FTE", ev*hpw*w, ch))), IF(hrs="", "", hrs*hm))</f>
        <v/>
      </c>
      <c r="X75" s="11">
        <f>IF($P75="","", $P75*INDIRECT("R[0]C[-3]",FALSE))</f>
        <v/>
      </c>
      <c r="Y75" s="11">
        <f>IF(INDIRECT("R[0]C[-1]",FALSE)="","", INDIRECT("R[0]C[-2]",FALSE)*INDIRECT("R[0]C[-1]",FALSE)*(1+INDIRECT("R[0]C[-3]",FALSE)))</f>
        <v/>
      </c>
      <c r="Z75" s="13" t="n"/>
    </row>
    <row r="76" ht="15.75" customHeight="1" s="74">
      <c r="A76" s="11" t="n">
        <v>76</v>
      </c>
      <c r="C76" s="11">
        <f t="array" ref="C76">IFERROR(INDEX(Milestones!$A:$A, MATCH($B76, Milestones!$B:$B, 0)), "")</f>
        <v/>
      </c>
      <c r="D76" s="11">
        <f t="array" ref="D76">IFERROR(INDEX(Milestones!$C:$C, MATCH($B76, Milestones!$B:$B, 0)), "")</f>
        <v/>
      </c>
      <c r="F76" s="11">
        <f t="array" ref="F76">IFERROR(INDEX(Milestones!$E:$E, MATCH($B76, Milestones!$B:$B, 0)), "")</f>
        <v/>
      </c>
      <c r="I76" s="11" t="n"/>
      <c r="J76" s="20" t="n"/>
      <c r="K76" s="11" t="n"/>
      <c r="L76" s="11">
        <f t="array" ref="L76">IF($K76="","", IFERROR(IFS($K76="Low", INDEX('Lookups - Complexity'!$C:$C, MATCH($B76, 'Lookups - Complexity'!$B:$B,0)), $K76="Medium", INDEX('Lookups - Complexity'!$D:$D, MATCH($B76, 'Lookups - Complexity'!$B:$B,0)), $K76="High", INDEX('Lookups - Complexity'!$E:$E, MATCH($B76, 'Lookups - Complexity'!$B:$B,0))), ""))</f>
        <v/>
      </c>
      <c r="M76" s="11">
        <f>IF($I76="FTE", Assumptions!$B$3, "")</f>
        <v/>
      </c>
      <c r="N76" s="11">
        <f t="array" ref="N76">IFERROR(INDEX(Milestones!$F:$F, MATCH($B76, Milestones!$B:$B, 0)), "")</f>
        <v/>
      </c>
      <c r="O76" s="11">
        <f t="array" ref="O76">IFERROR(INDEX(Milestones!$G:$G, MATCH($B76, Milestones!$B:$B, 0)), "")</f>
        <v/>
      </c>
      <c r="P76" s="11">
        <f t="array" ref="P76">IFERROR(INDEX('Lookups - Rates'!$D:$D, MATCH($G76&amp;"|"&amp;$H76, 'Lookups - Rates'!$Z:$Z, 0)), "")</f>
        <v/>
      </c>
      <c r="Q76" s="11">
        <f t="array" ref="Q76">IFERROR(INDEX('Lookups - Rates'!$E:$E, MATCH($G76&amp;"|"&amp;$H76, 'Lookups - Rates'!$Z:$Z, 0)), "")</f>
        <v/>
      </c>
      <c r="R76" s="11">
        <f>LET(ev,$J76, ch,$L76, hr,$P76, dr,$Q76, hpday,Assumptions!$B$2, hpw,Assumptions!$B$3, w,$M76, hrs, IF($I76="Hours", ev, IF($I76="Days", ev*IF(dr&gt;0, dr/hr, hpday), IF($I76="FTE", ev*hpw*w, ch))), IF(hrs="", "", hrs*hr))</f>
        <v/>
      </c>
      <c r="S76" s="13" t="n"/>
      <c r="T76" s="11">
        <f t="array" ref="T76">XLOOKUP(Scenario_Selected, INDEX(Scenario_Table,0,1), INDEX(Scenario_Table,0,2))</f>
        <v/>
      </c>
      <c r="U76" s="11">
        <f t="array" ref="U76">XLOOKUP(Scenario_Selected, INDEX(Scenario_Table,0,1), INDEX(Scenario_Table,0,3))</f>
        <v/>
      </c>
      <c r="V76" s="11">
        <f t="array" ref="V76">XLOOKUP(Scenario_Selected, INDEX(Scenario_Table,0,1), INDEX(Scenario_Table,0,4))</f>
        <v/>
      </c>
      <c r="W76" s="11">
        <f t="array" ref="W76">LET(ev,$J76, ch,$L76, et,$I76, dr,$Q76, hpday,Assumptions!$B$2, hpw,Assumptions!$B$3, w,$M76,hm,INDIRECT("R[0]C[0]",FALSE),hrs, IF(et="Hours", ev, IF(et="Days", ev*IF(dr&gt;0, dr/$P76, hpday), IF(et="FTE", ev*hpw*w, ch))), IF(hrs="", "", hrs*hm))</f>
        <v/>
      </c>
      <c r="X76" s="11">
        <f>IF($P76="","", $P76*INDIRECT("R[0]C[-3]",FALSE))</f>
        <v/>
      </c>
      <c r="Y76" s="11">
        <f>IF(INDIRECT("R[0]C[-1]",FALSE)="","", INDIRECT("R[0]C[-2]",FALSE)*INDIRECT("R[0]C[-1]",FALSE)*(1+INDIRECT("R[0]C[-3]",FALSE)))</f>
        <v/>
      </c>
      <c r="Z76" s="13" t="n"/>
    </row>
    <row r="77" ht="15.75" customHeight="1" s="74">
      <c r="A77" s="11" t="n">
        <v>77</v>
      </c>
      <c r="C77" s="11">
        <f t="array" ref="C77">IFERROR(INDEX(Milestones!$A:$A, MATCH($B77, Milestones!$B:$B, 0)), "")</f>
        <v/>
      </c>
      <c r="D77" s="11">
        <f t="array" ref="D77">IFERROR(INDEX(Milestones!$C:$C, MATCH($B77, Milestones!$B:$B, 0)), "")</f>
        <v/>
      </c>
      <c r="F77" s="11">
        <f t="array" ref="F77">IFERROR(INDEX(Milestones!$E:$E, MATCH($B77, Milestones!$B:$B, 0)), "")</f>
        <v/>
      </c>
      <c r="I77" s="11" t="n"/>
      <c r="J77" s="20" t="n"/>
      <c r="K77" s="11" t="n"/>
      <c r="L77" s="11">
        <f t="array" ref="L77">IF($K77="","", IFERROR(IFS($K77="Low", INDEX('Lookups - Complexity'!$C:$C, MATCH($B77, 'Lookups - Complexity'!$B:$B,0)), $K77="Medium", INDEX('Lookups - Complexity'!$D:$D, MATCH($B77, 'Lookups - Complexity'!$B:$B,0)), $K77="High", INDEX('Lookups - Complexity'!$E:$E, MATCH($B77, 'Lookups - Complexity'!$B:$B,0))), ""))</f>
        <v/>
      </c>
      <c r="M77" s="11">
        <f>IF($I77="FTE", Assumptions!$B$3, "")</f>
        <v/>
      </c>
      <c r="N77" s="11">
        <f t="array" ref="N77">IFERROR(INDEX(Milestones!$F:$F, MATCH($B77, Milestones!$B:$B, 0)), "")</f>
        <v/>
      </c>
      <c r="O77" s="11">
        <f t="array" ref="O77">IFERROR(INDEX(Milestones!$G:$G, MATCH($B77, Milestones!$B:$B, 0)), "")</f>
        <v/>
      </c>
      <c r="P77" s="11">
        <f t="array" ref="P77">IFERROR(INDEX('Lookups - Rates'!$D:$D, MATCH($G77&amp;"|"&amp;$H77, 'Lookups - Rates'!$Z:$Z, 0)), "")</f>
        <v/>
      </c>
      <c r="Q77" s="11">
        <f t="array" ref="Q77">IFERROR(INDEX('Lookups - Rates'!$E:$E, MATCH($G77&amp;"|"&amp;$H77, 'Lookups - Rates'!$Z:$Z, 0)), "")</f>
        <v/>
      </c>
      <c r="R77" s="11">
        <f>LET(ev,$J77, ch,$L77, hr,$P77, dr,$Q77, hpday,Assumptions!$B$2, hpw,Assumptions!$B$3, w,$M77, hrs, IF($I77="Hours", ev, IF($I77="Days", ev*IF(dr&gt;0, dr/hr, hpday), IF($I77="FTE", ev*hpw*w, ch))), IF(hrs="", "", hrs*hr))</f>
        <v/>
      </c>
      <c r="S77" s="13" t="n"/>
      <c r="T77" s="11">
        <f t="array" ref="T77">XLOOKUP(Scenario_Selected, INDEX(Scenario_Table,0,1), INDEX(Scenario_Table,0,2))</f>
        <v/>
      </c>
      <c r="U77" s="11">
        <f t="array" ref="U77">XLOOKUP(Scenario_Selected, INDEX(Scenario_Table,0,1), INDEX(Scenario_Table,0,3))</f>
        <v/>
      </c>
      <c r="V77" s="11">
        <f t="array" ref="V77">XLOOKUP(Scenario_Selected, INDEX(Scenario_Table,0,1), INDEX(Scenario_Table,0,4))</f>
        <v/>
      </c>
      <c r="W77" s="11">
        <f t="array" ref="W77">LET(ev,$J77, ch,$L77, et,$I77, dr,$Q77, hpday,Assumptions!$B$2, hpw,Assumptions!$B$3, w,$M77,hm,INDIRECT("R[0]C[0]",FALSE),hrs, IF(et="Hours", ev, IF(et="Days", ev*IF(dr&gt;0, dr/$P77, hpday), IF(et="FTE", ev*hpw*w, ch))), IF(hrs="", "", hrs*hm))</f>
        <v/>
      </c>
      <c r="X77" s="11">
        <f>IF($P77="","", $P77*INDIRECT("R[0]C[-3]",FALSE))</f>
        <v/>
      </c>
      <c r="Y77" s="11">
        <f>IF(INDIRECT("R[0]C[-1]",FALSE)="","", INDIRECT("R[0]C[-2]",FALSE)*INDIRECT("R[0]C[-1]",FALSE)*(1+INDIRECT("R[0]C[-3]",FALSE)))</f>
        <v/>
      </c>
      <c r="Z77" s="13" t="n"/>
    </row>
    <row r="78" ht="15.75" customHeight="1" s="74">
      <c r="A78" s="11" t="n">
        <v>78</v>
      </c>
      <c r="C78" s="11">
        <f t="array" ref="C78">IFERROR(INDEX(Milestones!$A:$A, MATCH($B78, Milestones!$B:$B, 0)), "")</f>
        <v/>
      </c>
      <c r="D78" s="11">
        <f t="array" ref="D78">IFERROR(INDEX(Milestones!$C:$C, MATCH($B78, Milestones!$B:$B, 0)), "")</f>
        <v/>
      </c>
      <c r="F78" s="11">
        <f t="array" ref="F78">IFERROR(INDEX(Milestones!$E:$E, MATCH($B78, Milestones!$B:$B, 0)), "")</f>
        <v/>
      </c>
      <c r="I78" s="11" t="n"/>
      <c r="J78" s="20" t="n"/>
      <c r="K78" s="11" t="n"/>
      <c r="L78" s="11">
        <f t="array" ref="L78">IF($K78="","", IFERROR(IFS($K78="Low", INDEX('Lookups - Complexity'!$C:$C, MATCH($B78, 'Lookups - Complexity'!$B:$B,0)), $K78="Medium", INDEX('Lookups - Complexity'!$D:$D, MATCH($B78, 'Lookups - Complexity'!$B:$B,0)), $K78="High", INDEX('Lookups - Complexity'!$E:$E, MATCH($B78, 'Lookups - Complexity'!$B:$B,0))), ""))</f>
        <v/>
      </c>
      <c r="M78" s="11">
        <f>IF($I78="FTE", Assumptions!$B$3, "")</f>
        <v/>
      </c>
      <c r="N78" s="11">
        <f t="array" ref="N78">IFERROR(INDEX(Milestones!$F:$F, MATCH($B78, Milestones!$B:$B, 0)), "")</f>
        <v/>
      </c>
      <c r="O78" s="11">
        <f t="array" ref="O78">IFERROR(INDEX(Milestones!$G:$G, MATCH($B78, Milestones!$B:$B, 0)), "")</f>
        <v/>
      </c>
      <c r="P78" s="11">
        <f t="array" ref="P78">IFERROR(INDEX('Lookups - Rates'!$D:$D, MATCH($G78&amp;"|"&amp;$H78, 'Lookups - Rates'!$Z:$Z, 0)), "")</f>
        <v/>
      </c>
      <c r="Q78" s="11">
        <f t="array" ref="Q78">IFERROR(INDEX('Lookups - Rates'!$E:$E, MATCH($G78&amp;"|"&amp;$H78, 'Lookups - Rates'!$Z:$Z, 0)), "")</f>
        <v/>
      </c>
      <c r="R78" s="11">
        <f>LET(ev,$J78, ch,$L78, hr,$P78, dr,$Q78, hpday,Assumptions!$B$2, hpw,Assumptions!$B$3, w,$M78, hrs, IF($I78="Hours", ev, IF($I78="Days", ev*IF(dr&gt;0, dr/hr, hpday), IF($I78="FTE", ev*hpw*w, ch))), IF(hrs="", "", hrs*hr))</f>
        <v/>
      </c>
      <c r="S78" s="13" t="n"/>
      <c r="T78" s="11">
        <f t="array" ref="T78">XLOOKUP(Scenario_Selected, INDEX(Scenario_Table,0,1), INDEX(Scenario_Table,0,2))</f>
        <v/>
      </c>
      <c r="U78" s="11">
        <f t="array" ref="U78">XLOOKUP(Scenario_Selected, INDEX(Scenario_Table,0,1), INDEX(Scenario_Table,0,3))</f>
        <v/>
      </c>
      <c r="V78" s="11">
        <f t="array" ref="V78">XLOOKUP(Scenario_Selected, INDEX(Scenario_Table,0,1), INDEX(Scenario_Table,0,4))</f>
        <v/>
      </c>
      <c r="W78" s="11">
        <f t="array" ref="W78">LET(ev,$J78, ch,$L78, et,$I78, dr,$Q78, hpday,Assumptions!$B$2, hpw,Assumptions!$B$3, w,$M78,hm,INDIRECT("R[0]C[0]",FALSE),hrs, IF(et="Hours", ev, IF(et="Days", ev*IF(dr&gt;0, dr/$P78, hpday), IF(et="FTE", ev*hpw*w, ch))), IF(hrs="", "", hrs*hm))</f>
        <v/>
      </c>
      <c r="X78" s="11">
        <f>IF($P78="","", $P78*INDIRECT("R[0]C[-3]",FALSE))</f>
        <v/>
      </c>
      <c r="Y78" s="11">
        <f>IF(INDIRECT("R[0]C[-1]",FALSE)="","", INDIRECT("R[0]C[-2]",FALSE)*INDIRECT("R[0]C[-1]",FALSE)*(1+INDIRECT("R[0]C[-3]",FALSE)))</f>
        <v/>
      </c>
      <c r="Z78" s="13" t="n"/>
    </row>
    <row r="79" ht="15.75" customHeight="1" s="74">
      <c r="A79" s="11" t="n">
        <v>79</v>
      </c>
      <c r="C79" s="11">
        <f t="array" ref="C79">IFERROR(INDEX(Milestones!$A:$A, MATCH($B79, Milestones!$B:$B, 0)), "")</f>
        <v/>
      </c>
      <c r="D79" s="11">
        <f t="array" ref="D79">IFERROR(INDEX(Milestones!$C:$C, MATCH($B79, Milestones!$B:$B, 0)), "")</f>
        <v/>
      </c>
      <c r="F79" s="11">
        <f t="array" ref="F79">IFERROR(INDEX(Milestones!$E:$E, MATCH($B79, Milestones!$B:$B, 0)), "")</f>
        <v/>
      </c>
      <c r="I79" s="11" t="n"/>
      <c r="J79" s="20" t="n"/>
      <c r="K79" s="11" t="n"/>
      <c r="L79" s="11">
        <f t="array" ref="L79">IF($K79="","", IFERROR(IFS($K79="Low", INDEX('Lookups - Complexity'!$C:$C, MATCH($B79, 'Lookups - Complexity'!$B:$B,0)), $K79="Medium", INDEX('Lookups - Complexity'!$D:$D, MATCH($B79, 'Lookups - Complexity'!$B:$B,0)), $K79="High", INDEX('Lookups - Complexity'!$E:$E, MATCH($B79, 'Lookups - Complexity'!$B:$B,0))), ""))</f>
        <v/>
      </c>
      <c r="M79" s="11">
        <f>IF($I79="FTE", Assumptions!$B$3, "")</f>
        <v/>
      </c>
      <c r="N79" s="11">
        <f t="array" ref="N79">IFERROR(INDEX(Milestones!$F:$F, MATCH($B79, Milestones!$B:$B, 0)), "")</f>
        <v/>
      </c>
      <c r="O79" s="11">
        <f t="array" ref="O79">IFERROR(INDEX(Milestones!$G:$G, MATCH($B79, Milestones!$B:$B, 0)), "")</f>
        <v/>
      </c>
      <c r="P79" s="11">
        <f t="array" ref="P79">IFERROR(INDEX('Lookups - Rates'!$D:$D, MATCH($G79&amp;"|"&amp;$H79, 'Lookups - Rates'!$Z:$Z, 0)), "")</f>
        <v/>
      </c>
      <c r="Q79" s="11">
        <f t="array" ref="Q79">IFERROR(INDEX('Lookups - Rates'!$E:$E, MATCH($G79&amp;"|"&amp;$H79, 'Lookups - Rates'!$Z:$Z, 0)), "")</f>
        <v/>
      </c>
      <c r="R79" s="11">
        <f>LET(ev,$J79, ch,$L79, hr,$P79, dr,$Q79, hpday,Assumptions!$B$2, hpw,Assumptions!$B$3, w,$M79, hrs, IF($I79="Hours", ev, IF($I79="Days", ev*IF(dr&gt;0, dr/hr, hpday), IF($I79="FTE", ev*hpw*w, ch))), IF(hrs="", "", hrs*hr))</f>
        <v/>
      </c>
      <c r="S79" s="13" t="n"/>
      <c r="T79" s="11">
        <f t="array" ref="T79">XLOOKUP(Scenario_Selected, INDEX(Scenario_Table,0,1), INDEX(Scenario_Table,0,2))</f>
        <v/>
      </c>
      <c r="U79" s="11">
        <f t="array" ref="U79">XLOOKUP(Scenario_Selected, INDEX(Scenario_Table,0,1), INDEX(Scenario_Table,0,3))</f>
        <v/>
      </c>
      <c r="V79" s="11">
        <f t="array" ref="V79">XLOOKUP(Scenario_Selected, INDEX(Scenario_Table,0,1), INDEX(Scenario_Table,0,4))</f>
        <v/>
      </c>
      <c r="W79" s="11">
        <f t="array" ref="W79">LET(ev,$J79, ch,$L79, et,$I79, dr,$Q79, hpday,Assumptions!$B$2, hpw,Assumptions!$B$3, w,$M79,hm,INDIRECT("R[0]C[0]",FALSE),hrs, IF(et="Hours", ev, IF(et="Days", ev*IF(dr&gt;0, dr/$P79, hpday), IF(et="FTE", ev*hpw*w, ch))), IF(hrs="", "", hrs*hm))</f>
        <v/>
      </c>
      <c r="X79" s="11">
        <f>IF($P79="","", $P79*INDIRECT("R[0]C[-3]",FALSE))</f>
        <v/>
      </c>
      <c r="Y79" s="11">
        <f>IF(INDIRECT("R[0]C[-1]",FALSE)="","", INDIRECT("R[0]C[-2]",FALSE)*INDIRECT("R[0]C[-1]",FALSE)*(1+INDIRECT("R[0]C[-3]",FALSE)))</f>
        <v/>
      </c>
      <c r="Z79" s="13" t="n"/>
    </row>
    <row r="80" ht="15.75" customHeight="1" s="74">
      <c r="A80" s="11" t="n">
        <v>80</v>
      </c>
      <c r="C80" s="11">
        <f t="array" ref="C80">IFERROR(INDEX(Milestones!$A:$A, MATCH($B80, Milestones!$B:$B, 0)), "")</f>
        <v/>
      </c>
      <c r="D80" s="11">
        <f t="array" ref="D80">IFERROR(INDEX(Milestones!$C:$C, MATCH($B80, Milestones!$B:$B, 0)), "")</f>
        <v/>
      </c>
      <c r="F80" s="11">
        <f t="array" ref="F80">IFERROR(INDEX(Milestones!$E:$E, MATCH($B80, Milestones!$B:$B, 0)), "")</f>
        <v/>
      </c>
      <c r="I80" s="11" t="n"/>
      <c r="J80" s="20" t="n"/>
      <c r="K80" s="11" t="n"/>
      <c r="L80" s="11">
        <f t="array" ref="L80">IF($K80="","", IFERROR(IFS($K80="Low", INDEX('Lookups - Complexity'!$C:$C, MATCH($B80, 'Lookups - Complexity'!$B:$B,0)), $K80="Medium", INDEX('Lookups - Complexity'!$D:$D, MATCH($B80, 'Lookups - Complexity'!$B:$B,0)), $K80="High", INDEX('Lookups - Complexity'!$E:$E, MATCH($B80, 'Lookups - Complexity'!$B:$B,0))), ""))</f>
        <v/>
      </c>
      <c r="M80" s="11">
        <f>IF($I80="FTE", Assumptions!$B$3, "")</f>
        <v/>
      </c>
      <c r="N80" s="11">
        <f t="array" ref="N80">IFERROR(INDEX(Milestones!$F:$F, MATCH($B80, Milestones!$B:$B, 0)), "")</f>
        <v/>
      </c>
      <c r="O80" s="11">
        <f t="array" ref="O80">IFERROR(INDEX(Milestones!$G:$G, MATCH($B80, Milestones!$B:$B, 0)), "")</f>
        <v/>
      </c>
      <c r="P80" s="11">
        <f t="array" ref="P80">IFERROR(INDEX('Lookups - Rates'!$D:$D, MATCH($G80&amp;"|"&amp;$H80, 'Lookups - Rates'!$Z:$Z, 0)), "")</f>
        <v/>
      </c>
      <c r="Q80" s="11">
        <f t="array" ref="Q80">IFERROR(INDEX('Lookups - Rates'!$E:$E, MATCH($G80&amp;"|"&amp;$H80, 'Lookups - Rates'!$Z:$Z, 0)), "")</f>
        <v/>
      </c>
      <c r="R80" s="11">
        <f>LET(ev,$J80, ch,$L80, hr,$P80, dr,$Q80, hpday,Assumptions!$B$2, hpw,Assumptions!$B$3, w,$M80, hrs, IF($I80="Hours", ev, IF($I80="Days", ev*IF(dr&gt;0, dr/hr, hpday), IF($I80="FTE", ev*hpw*w, ch))), IF(hrs="", "", hrs*hr))</f>
        <v/>
      </c>
      <c r="S80" s="13" t="n"/>
      <c r="T80" s="11">
        <f t="array" ref="T80">XLOOKUP(Scenario_Selected, INDEX(Scenario_Table,0,1), INDEX(Scenario_Table,0,2))</f>
        <v/>
      </c>
      <c r="U80" s="11">
        <f t="array" ref="U80">XLOOKUP(Scenario_Selected, INDEX(Scenario_Table,0,1), INDEX(Scenario_Table,0,3))</f>
        <v/>
      </c>
      <c r="V80" s="11">
        <f t="array" ref="V80">XLOOKUP(Scenario_Selected, INDEX(Scenario_Table,0,1), INDEX(Scenario_Table,0,4))</f>
        <v/>
      </c>
      <c r="W80" s="11">
        <f t="array" ref="W80">LET(ev,$J80, ch,$L80, et,$I80, dr,$Q80, hpday,Assumptions!$B$2, hpw,Assumptions!$B$3, w,$M80,hm,INDIRECT("R[0]C[0]",FALSE),hrs, IF(et="Hours", ev, IF(et="Days", ev*IF(dr&gt;0, dr/$P80, hpday), IF(et="FTE", ev*hpw*w, ch))), IF(hrs="", "", hrs*hm))</f>
        <v/>
      </c>
      <c r="X80" s="11">
        <f>IF($P80="","", $P80*INDIRECT("R[0]C[-3]",FALSE))</f>
        <v/>
      </c>
      <c r="Y80" s="11">
        <f>IF(INDIRECT("R[0]C[-1]",FALSE)="","", INDIRECT("R[0]C[-2]",FALSE)*INDIRECT("R[0]C[-1]",FALSE)*(1+INDIRECT("R[0]C[-3]",FALSE)))</f>
        <v/>
      </c>
      <c r="Z80" s="13" t="n"/>
    </row>
    <row r="81" ht="15.75" customHeight="1" s="74">
      <c r="A81" s="11" t="n">
        <v>81</v>
      </c>
      <c r="C81" s="11">
        <f t="array" ref="C81">IFERROR(INDEX(Milestones!$A:$A, MATCH($B81, Milestones!$B:$B, 0)), "")</f>
        <v/>
      </c>
      <c r="D81" s="11">
        <f t="array" ref="D81">IFERROR(INDEX(Milestones!$C:$C, MATCH($B81, Milestones!$B:$B, 0)), "")</f>
        <v/>
      </c>
      <c r="F81" s="11">
        <f t="array" ref="F81">IFERROR(INDEX(Milestones!$E:$E, MATCH($B81, Milestones!$B:$B, 0)), "")</f>
        <v/>
      </c>
      <c r="I81" s="11" t="n"/>
      <c r="J81" s="20" t="n"/>
      <c r="K81" s="11" t="n"/>
      <c r="L81" s="11">
        <f t="array" ref="L81">IF($K81="","", IFERROR(IFS($K81="Low", INDEX('Lookups - Complexity'!$C:$C, MATCH($B81, 'Lookups - Complexity'!$B:$B,0)), $K81="Medium", INDEX('Lookups - Complexity'!$D:$D, MATCH($B81, 'Lookups - Complexity'!$B:$B,0)), $K81="High", INDEX('Lookups - Complexity'!$E:$E, MATCH($B81, 'Lookups - Complexity'!$B:$B,0))), ""))</f>
        <v/>
      </c>
      <c r="M81" s="11">
        <f>IF($I81="FTE", Assumptions!$B$3, "")</f>
        <v/>
      </c>
      <c r="N81" s="11">
        <f t="array" ref="N81">IFERROR(INDEX(Milestones!$F:$F, MATCH($B81, Milestones!$B:$B, 0)), "")</f>
        <v/>
      </c>
      <c r="O81" s="11">
        <f t="array" ref="O81">IFERROR(INDEX(Milestones!$G:$G, MATCH($B81, Milestones!$B:$B, 0)), "")</f>
        <v/>
      </c>
      <c r="P81" s="11">
        <f t="array" ref="P81">IFERROR(INDEX('Lookups - Rates'!$D:$D, MATCH($G81&amp;"|"&amp;$H81, 'Lookups - Rates'!$Z:$Z, 0)), "")</f>
        <v/>
      </c>
      <c r="Q81" s="11">
        <f t="array" ref="Q81">IFERROR(INDEX('Lookups - Rates'!$E:$E, MATCH($G81&amp;"|"&amp;$H81, 'Lookups - Rates'!$Z:$Z, 0)), "")</f>
        <v/>
      </c>
      <c r="R81" s="11">
        <f>LET(ev,$J81, ch,$L81, hr,$P81, dr,$Q81, hpday,Assumptions!$B$2, hpw,Assumptions!$B$3, w,$M81, hrs, IF($I81="Hours", ev, IF($I81="Days", ev*IF(dr&gt;0, dr/hr, hpday), IF($I81="FTE", ev*hpw*w, ch))), IF(hrs="", "", hrs*hr))</f>
        <v/>
      </c>
      <c r="S81" s="13" t="n"/>
      <c r="T81" s="11">
        <f t="array" ref="T81">XLOOKUP(Scenario_Selected, INDEX(Scenario_Table,0,1), INDEX(Scenario_Table,0,2))</f>
        <v/>
      </c>
      <c r="U81" s="11">
        <f t="array" ref="U81">XLOOKUP(Scenario_Selected, INDEX(Scenario_Table,0,1), INDEX(Scenario_Table,0,3))</f>
        <v/>
      </c>
      <c r="V81" s="11">
        <f t="array" ref="V81">XLOOKUP(Scenario_Selected, INDEX(Scenario_Table,0,1), INDEX(Scenario_Table,0,4))</f>
        <v/>
      </c>
      <c r="W81" s="11">
        <f t="array" ref="W81">LET(ev,$J81, ch,$L81, et,$I81, dr,$Q81, hpday,Assumptions!$B$2, hpw,Assumptions!$B$3, w,$M81,hm,INDIRECT("R[0]C[0]",FALSE),hrs, IF(et="Hours", ev, IF(et="Days", ev*IF(dr&gt;0, dr/$P81, hpday), IF(et="FTE", ev*hpw*w, ch))), IF(hrs="", "", hrs*hm))</f>
        <v/>
      </c>
      <c r="X81" s="11">
        <f>IF($P81="","", $P81*INDIRECT("R[0]C[-3]",FALSE))</f>
        <v/>
      </c>
      <c r="Y81" s="11">
        <f>IF(INDIRECT("R[0]C[-1]",FALSE)="","", INDIRECT("R[0]C[-2]",FALSE)*INDIRECT("R[0]C[-1]",FALSE)*(1+INDIRECT("R[0]C[-3]",FALSE)))</f>
        <v/>
      </c>
      <c r="Z81" s="13" t="n"/>
    </row>
    <row r="82" ht="15.75" customHeight="1" s="74">
      <c r="A82" s="11" t="n">
        <v>82</v>
      </c>
      <c r="C82" s="11">
        <f t="array" ref="C82">IFERROR(INDEX(Milestones!$A:$A, MATCH($B82, Milestones!$B:$B, 0)), "")</f>
        <v/>
      </c>
      <c r="D82" s="11">
        <f t="array" ref="D82">IFERROR(INDEX(Milestones!$C:$C, MATCH($B82, Milestones!$B:$B, 0)), "")</f>
        <v/>
      </c>
      <c r="F82" s="11">
        <f t="array" ref="F82">IFERROR(INDEX(Milestones!$E:$E, MATCH($B82, Milestones!$B:$B, 0)), "")</f>
        <v/>
      </c>
      <c r="I82" s="11" t="n"/>
      <c r="J82" s="20" t="n"/>
      <c r="K82" s="11" t="n"/>
      <c r="L82" s="11">
        <f t="array" ref="L82">IF($K82="","", IFERROR(IFS($K82="Low", INDEX('Lookups - Complexity'!$C:$C, MATCH($B82, 'Lookups - Complexity'!$B:$B,0)), $K82="Medium", INDEX('Lookups - Complexity'!$D:$D, MATCH($B82, 'Lookups - Complexity'!$B:$B,0)), $K82="High", INDEX('Lookups - Complexity'!$E:$E, MATCH($B82, 'Lookups - Complexity'!$B:$B,0))), ""))</f>
        <v/>
      </c>
      <c r="M82" s="11">
        <f>IF($I82="FTE", Assumptions!$B$3, "")</f>
        <v/>
      </c>
      <c r="N82" s="11">
        <f t="array" ref="N82">IFERROR(INDEX(Milestones!$F:$F, MATCH($B82, Milestones!$B:$B, 0)), "")</f>
        <v/>
      </c>
      <c r="O82" s="11">
        <f t="array" ref="O82">IFERROR(INDEX(Milestones!$G:$G, MATCH($B82, Milestones!$B:$B, 0)), "")</f>
        <v/>
      </c>
      <c r="P82" s="11">
        <f t="array" ref="P82">IFERROR(INDEX('Lookups - Rates'!$D:$D, MATCH($G82&amp;"|"&amp;$H82, 'Lookups - Rates'!$Z:$Z, 0)), "")</f>
        <v/>
      </c>
      <c r="Q82" s="11">
        <f t="array" ref="Q82">IFERROR(INDEX('Lookups - Rates'!$E:$E, MATCH($G82&amp;"|"&amp;$H82, 'Lookups - Rates'!$Z:$Z, 0)), "")</f>
        <v/>
      </c>
      <c r="R82" s="11">
        <f>LET(ev,$J82, ch,$L82, hr,$P82, dr,$Q82, hpday,Assumptions!$B$2, hpw,Assumptions!$B$3, w,$M82, hrs, IF($I82="Hours", ev, IF($I82="Days", ev*IF(dr&gt;0, dr/hr, hpday), IF($I82="FTE", ev*hpw*w, ch))), IF(hrs="", "", hrs*hr))</f>
        <v/>
      </c>
      <c r="S82" s="13" t="n"/>
      <c r="T82" s="11">
        <f t="array" ref="T82">XLOOKUP(Scenario_Selected, INDEX(Scenario_Table,0,1), INDEX(Scenario_Table,0,2))</f>
        <v/>
      </c>
      <c r="U82" s="11">
        <f t="array" ref="U82">XLOOKUP(Scenario_Selected, INDEX(Scenario_Table,0,1), INDEX(Scenario_Table,0,3))</f>
        <v/>
      </c>
      <c r="V82" s="11">
        <f t="array" ref="V82">XLOOKUP(Scenario_Selected, INDEX(Scenario_Table,0,1), INDEX(Scenario_Table,0,4))</f>
        <v/>
      </c>
      <c r="W82" s="11">
        <f t="array" ref="W82">LET(ev,$J82, ch,$L82, et,$I82, dr,$Q82, hpday,Assumptions!$B$2, hpw,Assumptions!$B$3, w,$M82,hm,INDIRECT("R[0]C[0]",FALSE),hrs, IF(et="Hours", ev, IF(et="Days", ev*IF(dr&gt;0, dr/$P82, hpday), IF(et="FTE", ev*hpw*w, ch))), IF(hrs="", "", hrs*hm))</f>
        <v/>
      </c>
      <c r="X82" s="11">
        <f>IF($P82="","", $P82*INDIRECT("R[0]C[-3]",FALSE))</f>
        <v/>
      </c>
      <c r="Y82" s="11">
        <f>IF(INDIRECT("R[0]C[-1]",FALSE)="","", INDIRECT("R[0]C[-2]",FALSE)*INDIRECT("R[0]C[-1]",FALSE)*(1+INDIRECT("R[0]C[-3]",FALSE)))</f>
        <v/>
      </c>
      <c r="Z82" s="13" t="n"/>
    </row>
    <row r="83" ht="15.75" customHeight="1" s="74">
      <c r="A83" s="11" t="n">
        <v>83</v>
      </c>
      <c r="C83" s="11">
        <f t="array" ref="C83">IFERROR(INDEX(Milestones!$A:$A, MATCH($B83, Milestones!$B:$B, 0)), "")</f>
        <v/>
      </c>
      <c r="D83" s="11">
        <f t="array" ref="D83">IFERROR(INDEX(Milestones!$C:$C, MATCH($B83, Milestones!$B:$B, 0)), "")</f>
        <v/>
      </c>
      <c r="F83" s="11">
        <f t="array" ref="F83">IFERROR(INDEX(Milestones!$E:$E, MATCH($B83, Milestones!$B:$B, 0)), "")</f>
        <v/>
      </c>
      <c r="I83" s="11" t="n"/>
      <c r="J83" s="20" t="n"/>
      <c r="K83" s="11" t="n"/>
      <c r="L83" s="11">
        <f t="array" ref="L83">IF($K83="","", IFERROR(IFS($K83="Low", INDEX('Lookups - Complexity'!$C:$C, MATCH($B83, 'Lookups - Complexity'!$B:$B,0)), $K83="Medium", INDEX('Lookups - Complexity'!$D:$D, MATCH($B83, 'Lookups - Complexity'!$B:$B,0)), $K83="High", INDEX('Lookups - Complexity'!$E:$E, MATCH($B83, 'Lookups - Complexity'!$B:$B,0))), ""))</f>
        <v/>
      </c>
      <c r="M83" s="11">
        <f>IF($I83="FTE", Assumptions!$B$3, "")</f>
        <v/>
      </c>
      <c r="N83" s="11">
        <f t="array" ref="N83">IFERROR(INDEX(Milestones!$F:$F, MATCH($B83, Milestones!$B:$B, 0)), "")</f>
        <v/>
      </c>
      <c r="O83" s="11">
        <f t="array" ref="O83">IFERROR(INDEX(Milestones!$G:$G, MATCH($B83, Milestones!$B:$B, 0)), "")</f>
        <v/>
      </c>
      <c r="P83" s="11">
        <f t="array" ref="P83">IFERROR(INDEX('Lookups - Rates'!$D:$D, MATCH($G83&amp;"|"&amp;$H83, 'Lookups - Rates'!$Z:$Z, 0)), "")</f>
        <v/>
      </c>
      <c r="Q83" s="11">
        <f t="array" ref="Q83">IFERROR(INDEX('Lookups - Rates'!$E:$E, MATCH($G83&amp;"|"&amp;$H83, 'Lookups - Rates'!$Z:$Z, 0)), "")</f>
        <v/>
      </c>
      <c r="R83" s="11">
        <f>LET(ev,$J83, ch,$L83, hr,$P83, dr,$Q83, hpday,Assumptions!$B$2, hpw,Assumptions!$B$3, w,$M83, hrs, IF($I83="Hours", ev, IF($I83="Days", ev*IF(dr&gt;0, dr/hr, hpday), IF($I83="FTE", ev*hpw*w, ch))), IF(hrs="", "", hrs*hr))</f>
        <v/>
      </c>
      <c r="S83" s="13" t="n"/>
      <c r="T83" s="11">
        <f t="array" ref="T83">XLOOKUP(Scenario_Selected, INDEX(Scenario_Table,0,1), INDEX(Scenario_Table,0,2))</f>
        <v/>
      </c>
      <c r="U83" s="11">
        <f t="array" ref="U83">XLOOKUP(Scenario_Selected, INDEX(Scenario_Table,0,1), INDEX(Scenario_Table,0,3))</f>
        <v/>
      </c>
      <c r="V83" s="11">
        <f t="array" ref="V83">XLOOKUP(Scenario_Selected, INDEX(Scenario_Table,0,1), INDEX(Scenario_Table,0,4))</f>
        <v/>
      </c>
      <c r="W83" s="11">
        <f t="array" ref="W83">LET(ev,$J83, ch,$L83, et,$I83, dr,$Q83, hpday,Assumptions!$B$2, hpw,Assumptions!$B$3, w,$M83,hm,INDIRECT("R[0]C[0]",FALSE),hrs, IF(et="Hours", ev, IF(et="Days", ev*IF(dr&gt;0, dr/$P83, hpday), IF(et="FTE", ev*hpw*w, ch))), IF(hrs="", "", hrs*hm))</f>
        <v/>
      </c>
      <c r="X83" s="11">
        <f>IF($P83="","", $P83*INDIRECT("R[0]C[-3]",FALSE))</f>
        <v/>
      </c>
      <c r="Y83" s="11">
        <f>IF(INDIRECT("R[0]C[-1]",FALSE)="","", INDIRECT("R[0]C[-2]",FALSE)*INDIRECT("R[0]C[-1]",FALSE)*(1+INDIRECT("R[0]C[-3]",FALSE)))</f>
        <v/>
      </c>
      <c r="Z83" s="13" t="n"/>
    </row>
    <row r="84" ht="15.75" customHeight="1" s="74">
      <c r="A84" s="11" t="n">
        <v>84</v>
      </c>
      <c r="C84" s="11">
        <f t="array" ref="C84">IFERROR(INDEX(Milestones!$A:$A, MATCH($B84, Milestones!$B:$B, 0)), "")</f>
        <v/>
      </c>
      <c r="D84" s="11">
        <f t="array" ref="D84">IFERROR(INDEX(Milestones!$C:$C, MATCH($B84, Milestones!$B:$B, 0)), "")</f>
        <v/>
      </c>
      <c r="F84" s="11">
        <f t="array" ref="F84">IFERROR(INDEX(Milestones!$E:$E, MATCH($B84, Milestones!$B:$B, 0)), "")</f>
        <v/>
      </c>
      <c r="I84" s="11" t="n"/>
      <c r="J84" s="20" t="n"/>
      <c r="K84" s="11" t="n"/>
      <c r="L84" s="11">
        <f t="array" ref="L84">IF($K84="","", IFERROR(IFS($K84="Low", INDEX('Lookups - Complexity'!$C:$C, MATCH($B84, 'Lookups - Complexity'!$B:$B,0)), $K84="Medium", INDEX('Lookups - Complexity'!$D:$D, MATCH($B84, 'Lookups - Complexity'!$B:$B,0)), $K84="High", INDEX('Lookups - Complexity'!$E:$E, MATCH($B84, 'Lookups - Complexity'!$B:$B,0))), ""))</f>
        <v/>
      </c>
      <c r="M84" s="11">
        <f>IF($I84="FTE", Assumptions!$B$3, "")</f>
        <v/>
      </c>
      <c r="N84" s="11">
        <f t="array" ref="N84">IFERROR(INDEX(Milestones!$F:$F, MATCH($B84, Milestones!$B:$B, 0)), "")</f>
        <v/>
      </c>
      <c r="O84" s="11">
        <f t="array" ref="O84">IFERROR(INDEX(Milestones!$G:$G, MATCH($B84, Milestones!$B:$B, 0)), "")</f>
        <v/>
      </c>
      <c r="P84" s="11">
        <f t="array" ref="P84">IFERROR(INDEX('Lookups - Rates'!$D:$D, MATCH($G84&amp;"|"&amp;$H84, 'Lookups - Rates'!$Z:$Z, 0)), "")</f>
        <v/>
      </c>
      <c r="Q84" s="11">
        <f t="array" ref="Q84">IFERROR(INDEX('Lookups - Rates'!$E:$E, MATCH($G84&amp;"|"&amp;$H84, 'Lookups - Rates'!$Z:$Z, 0)), "")</f>
        <v/>
      </c>
      <c r="R84" s="11">
        <f>LET(ev,$J84, ch,$L84, hr,$P84, dr,$Q84, hpday,Assumptions!$B$2, hpw,Assumptions!$B$3, w,$M84, hrs, IF($I84="Hours", ev, IF($I84="Days", ev*IF(dr&gt;0, dr/hr, hpday), IF($I84="FTE", ev*hpw*w, ch))), IF(hrs="", "", hrs*hr))</f>
        <v/>
      </c>
      <c r="S84" s="13" t="n"/>
      <c r="T84" s="11">
        <f t="array" ref="T84">XLOOKUP(Scenario_Selected, INDEX(Scenario_Table,0,1), INDEX(Scenario_Table,0,2))</f>
        <v/>
      </c>
      <c r="U84" s="11">
        <f t="array" ref="U84">XLOOKUP(Scenario_Selected, INDEX(Scenario_Table,0,1), INDEX(Scenario_Table,0,3))</f>
        <v/>
      </c>
      <c r="V84" s="11">
        <f t="array" ref="V84">XLOOKUP(Scenario_Selected, INDEX(Scenario_Table,0,1), INDEX(Scenario_Table,0,4))</f>
        <v/>
      </c>
      <c r="W84" s="11">
        <f t="array" ref="W84">LET(ev,$J84, ch,$L84, et,$I84, dr,$Q84, hpday,Assumptions!$B$2, hpw,Assumptions!$B$3, w,$M84,hm,INDIRECT("R[0]C[0]",FALSE),hrs, IF(et="Hours", ev, IF(et="Days", ev*IF(dr&gt;0, dr/$P84, hpday), IF(et="FTE", ev*hpw*w, ch))), IF(hrs="", "", hrs*hm))</f>
        <v/>
      </c>
      <c r="X84" s="11">
        <f>IF($P84="","", $P84*INDIRECT("R[0]C[-3]",FALSE))</f>
        <v/>
      </c>
      <c r="Y84" s="11">
        <f>IF(INDIRECT("R[0]C[-1]",FALSE)="","", INDIRECT("R[0]C[-2]",FALSE)*INDIRECT("R[0]C[-1]",FALSE)*(1+INDIRECT("R[0]C[-3]",FALSE)))</f>
        <v/>
      </c>
      <c r="Z84" s="13" t="n"/>
    </row>
    <row r="85" ht="15.75" customHeight="1" s="74">
      <c r="A85" s="11" t="n">
        <v>85</v>
      </c>
      <c r="C85" s="11">
        <f t="array" ref="C85">IFERROR(INDEX(Milestones!$A:$A, MATCH($B85, Milestones!$B:$B, 0)), "")</f>
        <v/>
      </c>
      <c r="D85" s="11">
        <f t="array" ref="D85">IFERROR(INDEX(Milestones!$C:$C, MATCH($B85, Milestones!$B:$B, 0)), "")</f>
        <v/>
      </c>
      <c r="F85" s="11">
        <f t="array" ref="F85">IFERROR(INDEX(Milestones!$E:$E, MATCH($B85, Milestones!$B:$B, 0)), "")</f>
        <v/>
      </c>
      <c r="I85" s="11" t="n"/>
      <c r="J85" s="20" t="n"/>
      <c r="K85" s="11" t="n"/>
      <c r="L85" s="11">
        <f t="array" ref="L85">IF($K85="","", IFERROR(IFS($K85="Low", INDEX('Lookups - Complexity'!$C:$C, MATCH($B85, 'Lookups - Complexity'!$B:$B,0)), $K85="Medium", INDEX('Lookups - Complexity'!$D:$D, MATCH($B85, 'Lookups - Complexity'!$B:$B,0)), $K85="High", INDEX('Lookups - Complexity'!$E:$E, MATCH($B85, 'Lookups - Complexity'!$B:$B,0))), ""))</f>
        <v/>
      </c>
      <c r="M85" s="11">
        <f>IF($I85="FTE", Assumptions!$B$3, "")</f>
        <v/>
      </c>
      <c r="N85" s="11">
        <f t="array" ref="N85">IFERROR(INDEX(Milestones!$F:$F, MATCH($B85, Milestones!$B:$B, 0)), "")</f>
        <v/>
      </c>
      <c r="O85" s="11">
        <f t="array" ref="O85">IFERROR(INDEX(Milestones!$G:$G, MATCH($B85, Milestones!$B:$B, 0)), "")</f>
        <v/>
      </c>
      <c r="P85" s="11">
        <f t="array" ref="P85">IFERROR(INDEX('Lookups - Rates'!$D:$D, MATCH($G85&amp;"|"&amp;$H85, 'Lookups - Rates'!$Z:$Z, 0)), "")</f>
        <v/>
      </c>
      <c r="Q85" s="11">
        <f t="array" ref="Q85">IFERROR(INDEX('Lookups - Rates'!$E:$E, MATCH($G85&amp;"|"&amp;$H85, 'Lookups - Rates'!$Z:$Z, 0)), "")</f>
        <v/>
      </c>
      <c r="R85" s="11">
        <f>LET(ev,$J85, ch,$L85, hr,$P85, dr,$Q85, hpday,Assumptions!$B$2, hpw,Assumptions!$B$3, w,$M85, hrs, IF($I85="Hours", ev, IF($I85="Days", ev*IF(dr&gt;0, dr/hr, hpday), IF($I85="FTE", ev*hpw*w, ch))), IF(hrs="", "", hrs*hr))</f>
        <v/>
      </c>
      <c r="S85" s="13" t="n"/>
      <c r="T85" s="11">
        <f t="array" ref="T85">XLOOKUP(Scenario_Selected, INDEX(Scenario_Table,0,1), INDEX(Scenario_Table,0,2))</f>
        <v/>
      </c>
      <c r="U85" s="11">
        <f t="array" ref="U85">XLOOKUP(Scenario_Selected, INDEX(Scenario_Table,0,1), INDEX(Scenario_Table,0,3))</f>
        <v/>
      </c>
      <c r="V85" s="11">
        <f t="array" ref="V85">XLOOKUP(Scenario_Selected, INDEX(Scenario_Table,0,1), INDEX(Scenario_Table,0,4))</f>
        <v/>
      </c>
      <c r="W85" s="11">
        <f t="array" ref="W85">LET(ev,$J85, ch,$L85, et,$I85, dr,$Q85, hpday,Assumptions!$B$2, hpw,Assumptions!$B$3, w,$M85,hm,INDIRECT("R[0]C[0]",FALSE),hrs, IF(et="Hours", ev, IF(et="Days", ev*IF(dr&gt;0, dr/$P85, hpday), IF(et="FTE", ev*hpw*w, ch))), IF(hrs="", "", hrs*hm))</f>
        <v/>
      </c>
      <c r="X85" s="11">
        <f>IF($P85="","", $P85*INDIRECT("R[0]C[-3]",FALSE))</f>
        <v/>
      </c>
      <c r="Y85" s="11">
        <f>IF(INDIRECT("R[0]C[-1]",FALSE)="","", INDIRECT("R[0]C[-2]",FALSE)*INDIRECT("R[0]C[-1]",FALSE)*(1+INDIRECT("R[0]C[-3]",FALSE)))</f>
        <v/>
      </c>
      <c r="Z85" s="13" t="n"/>
    </row>
    <row r="86" ht="15.75" customHeight="1" s="74">
      <c r="A86" s="11" t="n">
        <v>86</v>
      </c>
      <c r="C86" s="11">
        <f t="array" ref="C86">IFERROR(INDEX(Milestones!$A:$A, MATCH($B86, Milestones!$B:$B, 0)), "")</f>
        <v/>
      </c>
      <c r="D86" s="11">
        <f t="array" ref="D86">IFERROR(INDEX(Milestones!$C:$C, MATCH($B86, Milestones!$B:$B, 0)), "")</f>
        <v/>
      </c>
      <c r="F86" s="11">
        <f t="array" ref="F86">IFERROR(INDEX(Milestones!$E:$E, MATCH($B86, Milestones!$B:$B, 0)), "")</f>
        <v/>
      </c>
      <c r="I86" s="11" t="n"/>
      <c r="J86" s="20" t="n"/>
      <c r="K86" s="11" t="n"/>
      <c r="L86" s="11">
        <f t="array" ref="L86">IF($K86="","", IFERROR(IFS($K86="Low", INDEX('Lookups - Complexity'!$C:$C, MATCH($B86, 'Lookups - Complexity'!$B:$B,0)), $K86="Medium", INDEX('Lookups - Complexity'!$D:$D, MATCH($B86, 'Lookups - Complexity'!$B:$B,0)), $K86="High", INDEX('Lookups - Complexity'!$E:$E, MATCH($B86, 'Lookups - Complexity'!$B:$B,0))), ""))</f>
        <v/>
      </c>
      <c r="M86" s="11">
        <f>IF($I86="FTE", Assumptions!$B$3, "")</f>
        <v/>
      </c>
      <c r="N86" s="11">
        <f t="array" ref="N86">IFERROR(INDEX(Milestones!$F:$F, MATCH($B86, Milestones!$B:$B, 0)), "")</f>
        <v/>
      </c>
      <c r="O86" s="11">
        <f t="array" ref="O86">IFERROR(INDEX(Milestones!$G:$G, MATCH($B86, Milestones!$B:$B, 0)), "")</f>
        <v/>
      </c>
      <c r="P86" s="11">
        <f t="array" ref="P86">IFERROR(INDEX('Lookups - Rates'!$D:$D, MATCH($G86&amp;"|"&amp;$H86, 'Lookups - Rates'!$Z:$Z, 0)), "")</f>
        <v/>
      </c>
      <c r="Q86" s="11">
        <f t="array" ref="Q86">IFERROR(INDEX('Lookups - Rates'!$E:$E, MATCH($G86&amp;"|"&amp;$H86, 'Lookups - Rates'!$Z:$Z, 0)), "")</f>
        <v/>
      </c>
      <c r="R86" s="11">
        <f>LET(ev,$J86, ch,$L86, hr,$P86, dr,$Q86, hpday,Assumptions!$B$2, hpw,Assumptions!$B$3, w,$M86, hrs, IF($I86="Hours", ev, IF($I86="Days", ev*IF(dr&gt;0, dr/hr, hpday), IF($I86="FTE", ev*hpw*w, ch))), IF(hrs="", "", hrs*hr))</f>
        <v/>
      </c>
      <c r="S86" s="13" t="n"/>
      <c r="T86" s="11">
        <f t="array" ref="T86">XLOOKUP(Scenario_Selected, INDEX(Scenario_Table,0,1), INDEX(Scenario_Table,0,2))</f>
        <v/>
      </c>
      <c r="U86" s="11">
        <f t="array" ref="U86">XLOOKUP(Scenario_Selected, INDEX(Scenario_Table,0,1), INDEX(Scenario_Table,0,3))</f>
        <v/>
      </c>
      <c r="V86" s="11">
        <f t="array" ref="V86">XLOOKUP(Scenario_Selected, INDEX(Scenario_Table,0,1), INDEX(Scenario_Table,0,4))</f>
        <v/>
      </c>
      <c r="W86" s="11">
        <f t="array" ref="W86">LET(ev,$J86, ch,$L86, et,$I86, dr,$Q86, hpday,Assumptions!$B$2, hpw,Assumptions!$B$3, w,$M86,hm,INDIRECT("R[0]C[0]",FALSE),hrs, IF(et="Hours", ev, IF(et="Days", ev*IF(dr&gt;0, dr/$P86, hpday), IF(et="FTE", ev*hpw*w, ch))), IF(hrs="", "", hrs*hm))</f>
        <v/>
      </c>
      <c r="X86" s="11">
        <f>IF($P86="","", $P86*INDIRECT("R[0]C[-3]",FALSE))</f>
        <v/>
      </c>
      <c r="Y86" s="11">
        <f>IF(INDIRECT("R[0]C[-1]",FALSE)="","", INDIRECT("R[0]C[-2]",FALSE)*INDIRECT("R[0]C[-1]",FALSE)*(1+INDIRECT("R[0]C[-3]",FALSE)))</f>
        <v/>
      </c>
      <c r="Z86" s="13" t="n"/>
    </row>
    <row r="87" ht="15.75" customHeight="1" s="74">
      <c r="A87" s="11" t="n">
        <v>87</v>
      </c>
      <c r="C87" s="11">
        <f t="array" ref="C87">IFERROR(INDEX(Milestones!$A:$A, MATCH($B87, Milestones!$B:$B, 0)), "")</f>
        <v/>
      </c>
      <c r="D87" s="11">
        <f t="array" ref="D87">IFERROR(INDEX(Milestones!$C:$C, MATCH($B87, Milestones!$B:$B, 0)), "")</f>
        <v/>
      </c>
      <c r="F87" s="11">
        <f t="array" ref="F87">IFERROR(INDEX(Milestones!$E:$E, MATCH($B87, Milestones!$B:$B, 0)), "")</f>
        <v/>
      </c>
      <c r="I87" s="11" t="n"/>
      <c r="J87" s="20" t="n"/>
      <c r="K87" s="11" t="n"/>
      <c r="L87" s="11">
        <f t="array" ref="L87">IF($K87="","", IFERROR(IFS($K87="Low", INDEX('Lookups - Complexity'!$C:$C, MATCH($B87, 'Lookups - Complexity'!$B:$B,0)), $K87="Medium", INDEX('Lookups - Complexity'!$D:$D, MATCH($B87, 'Lookups - Complexity'!$B:$B,0)), $K87="High", INDEX('Lookups - Complexity'!$E:$E, MATCH($B87, 'Lookups - Complexity'!$B:$B,0))), ""))</f>
        <v/>
      </c>
      <c r="M87" s="11">
        <f>IF($I87="FTE", Assumptions!$B$3, "")</f>
        <v/>
      </c>
      <c r="N87" s="11">
        <f t="array" ref="N87">IFERROR(INDEX(Milestones!$F:$F, MATCH($B87, Milestones!$B:$B, 0)), "")</f>
        <v/>
      </c>
      <c r="O87" s="11">
        <f t="array" ref="O87">IFERROR(INDEX(Milestones!$G:$G, MATCH($B87, Milestones!$B:$B, 0)), "")</f>
        <v/>
      </c>
      <c r="P87" s="11">
        <f t="array" ref="P87">IFERROR(INDEX('Lookups - Rates'!$D:$D, MATCH($G87&amp;"|"&amp;$H87, 'Lookups - Rates'!$Z:$Z, 0)), "")</f>
        <v/>
      </c>
      <c r="Q87" s="11">
        <f t="array" ref="Q87">IFERROR(INDEX('Lookups - Rates'!$E:$E, MATCH($G87&amp;"|"&amp;$H87, 'Lookups - Rates'!$Z:$Z, 0)), "")</f>
        <v/>
      </c>
      <c r="R87" s="11">
        <f>LET(ev,$J87, ch,$L87, hr,$P87, dr,$Q87, hpday,Assumptions!$B$2, hpw,Assumptions!$B$3, w,$M87, hrs, IF($I87="Hours", ev, IF($I87="Days", ev*IF(dr&gt;0, dr/hr, hpday), IF($I87="FTE", ev*hpw*w, ch))), IF(hrs="", "", hrs*hr))</f>
        <v/>
      </c>
      <c r="S87" s="13" t="n"/>
      <c r="T87" s="11">
        <f t="array" ref="T87">XLOOKUP(Scenario_Selected, INDEX(Scenario_Table,0,1), INDEX(Scenario_Table,0,2))</f>
        <v/>
      </c>
      <c r="U87" s="11">
        <f t="array" ref="U87">XLOOKUP(Scenario_Selected, INDEX(Scenario_Table,0,1), INDEX(Scenario_Table,0,3))</f>
        <v/>
      </c>
      <c r="V87" s="11">
        <f t="array" ref="V87">XLOOKUP(Scenario_Selected, INDEX(Scenario_Table,0,1), INDEX(Scenario_Table,0,4))</f>
        <v/>
      </c>
      <c r="W87" s="11">
        <f t="array" ref="W87">LET(ev,$J87, ch,$L87, et,$I87, dr,$Q87, hpday,Assumptions!$B$2, hpw,Assumptions!$B$3, w,$M87,hm,INDIRECT("R[0]C[0]",FALSE),hrs, IF(et="Hours", ev, IF(et="Days", ev*IF(dr&gt;0, dr/$P87, hpday), IF(et="FTE", ev*hpw*w, ch))), IF(hrs="", "", hrs*hm))</f>
        <v/>
      </c>
      <c r="X87" s="11">
        <f>IF($P87="","", $P87*INDIRECT("R[0]C[-3]",FALSE))</f>
        <v/>
      </c>
      <c r="Y87" s="11">
        <f>IF(INDIRECT("R[0]C[-1]",FALSE)="","", INDIRECT("R[0]C[-2]",FALSE)*INDIRECT("R[0]C[-1]",FALSE)*(1+INDIRECT("R[0]C[-3]",FALSE)))</f>
        <v/>
      </c>
      <c r="Z87" s="13" t="n"/>
    </row>
    <row r="88" ht="15.75" customHeight="1" s="74">
      <c r="A88" s="11" t="n">
        <v>88</v>
      </c>
      <c r="C88" s="11">
        <f t="array" ref="C88">IFERROR(INDEX(Milestones!$A:$A, MATCH($B88, Milestones!$B:$B, 0)), "")</f>
        <v/>
      </c>
      <c r="D88" s="11">
        <f t="array" ref="D88">IFERROR(INDEX(Milestones!$C:$C, MATCH($B88, Milestones!$B:$B, 0)), "")</f>
        <v/>
      </c>
      <c r="F88" s="11">
        <f t="array" ref="F88">IFERROR(INDEX(Milestones!$E:$E, MATCH($B88, Milestones!$B:$B, 0)), "")</f>
        <v/>
      </c>
      <c r="I88" s="11" t="n"/>
      <c r="J88" s="20" t="n"/>
      <c r="K88" s="11" t="n"/>
      <c r="L88" s="11">
        <f t="array" ref="L88">IF($K88="","", IFERROR(IFS($K88="Low", INDEX('Lookups - Complexity'!$C:$C, MATCH($B88, 'Lookups - Complexity'!$B:$B,0)), $K88="Medium", INDEX('Lookups - Complexity'!$D:$D, MATCH($B88, 'Lookups - Complexity'!$B:$B,0)), $K88="High", INDEX('Lookups - Complexity'!$E:$E, MATCH($B88, 'Lookups - Complexity'!$B:$B,0))), ""))</f>
        <v/>
      </c>
      <c r="M88" s="11">
        <f>IF($I88="FTE", Assumptions!$B$3, "")</f>
        <v/>
      </c>
      <c r="N88" s="11">
        <f t="array" ref="N88">IFERROR(INDEX(Milestones!$F:$F, MATCH($B88, Milestones!$B:$B, 0)), "")</f>
        <v/>
      </c>
      <c r="O88" s="11">
        <f t="array" ref="O88">IFERROR(INDEX(Milestones!$G:$G, MATCH($B88, Milestones!$B:$B, 0)), "")</f>
        <v/>
      </c>
      <c r="P88" s="11">
        <f t="array" ref="P88">IFERROR(INDEX('Lookups - Rates'!$D:$D, MATCH($G88&amp;"|"&amp;$H88, 'Lookups - Rates'!$Z:$Z, 0)), "")</f>
        <v/>
      </c>
      <c r="Q88" s="11">
        <f t="array" ref="Q88">IFERROR(INDEX('Lookups - Rates'!$E:$E, MATCH($G88&amp;"|"&amp;$H88, 'Lookups - Rates'!$Z:$Z, 0)), "")</f>
        <v/>
      </c>
      <c r="R88" s="11">
        <f>LET(ev,$J88, ch,$L88, hr,$P88, dr,$Q88, hpday,Assumptions!$B$2, hpw,Assumptions!$B$3, w,$M88, hrs, IF($I88="Hours", ev, IF($I88="Days", ev*IF(dr&gt;0, dr/hr, hpday), IF($I88="FTE", ev*hpw*w, ch))), IF(hrs="", "", hrs*hr))</f>
        <v/>
      </c>
      <c r="S88" s="13" t="n"/>
      <c r="T88" s="11">
        <f t="array" ref="T88">XLOOKUP(Scenario_Selected, INDEX(Scenario_Table,0,1), INDEX(Scenario_Table,0,2))</f>
        <v/>
      </c>
      <c r="U88" s="11">
        <f t="array" ref="U88">XLOOKUP(Scenario_Selected, INDEX(Scenario_Table,0,1), INDEX(Scenario_Table,0,3))</f>
        <v/>
      </c>
      <c r="V88" s="11">
        <f t="array" ref="V88">XLOOKUP(Scenario_Selected, INDEX(Scenario_Table,0,1), INDEX(Scenario_Table,0,4))</f>
        <v/>
      </c>
      <c r="W88" s="11">
        <f t="array" ref="W88">LET(ev,$J88, ch,$L88, et,$I88, dr,$Q88, hpday,Assumptions!$B$2, hpw,Assumptions!$B$3, w,$M88,hm,INDIRECT("R[0]C[0]",FALSE),hrs, IF(et="Hours", ev, IF(et="Days", ev*IF(dr&gt;0, dr/$P88, hpday), IF(et="FTE", ev*hpw*w, ch))), IF(hrs="", "", hrs*hm))</f>
        <v/>
      </c>
      <c r="X88" s="11">
        <f>IF($P88="","", $P88*INDIRECT("R[0]C[-3]",FALSE))</f>
        <v/>
      </c>
      <c r="Y88" s="11">
        <f>IF(INDIRECT("R[0]C[-1]",FALSE)="","", INDIRECT("R[0]C[-2]",FALSE)*INDIRECT("R[0]C[-1]",FALSE)*(1+INDIRECT("R[0]C[-3]",FALSE)))</f>
        <v/>
      </c>
      <c r="Z88" s="13" t="n"/>
    </row>
    <row r="89" ht="15.75" customHeight="1" s="74">
      <c r="A89" s="11" t="n">
        <v>89</v>
      </c>
      <c r="C89" s="11">
        <f t="array" ref="C89">IFERROR(INDEX(Milestones!$A:$A, MATCH($B89, Milestones!$B:$B, 0)), "")</f>
        <v/>
      </c>
      <c r="D89" s="11">
        <f t="array" ref="D89">IFERROR(INDEX(Milestones!$C:$C, MATCH($B89, Milestones!$B:$B, 0)), "")</f>
        <v/>
      </c>
      <c r="F89" s="11">
        <f t="array" ref="F89">IFERROR(INDEX(Milestones!$E:$E, MATCH($B89, Milestones!$B:$B, 0)), "")</f>
        <v/>
      </c>
      <c r="I89" s="11" t="n"/>
      <c r="J89" s="20" t="n"/>
      <c r="K89" s="11" t="n"/>
      <c r="L89" s="11">
        <f t="array" ref="L89">IF($K89="","", IFERROR(IFS($K89="Low", INDEX('Lookups - Complexity'!$C:$C, MATCH($B89, 'Lookups - Complexity'!$B:$B,0)), $K89="Medium", INDEX('Lookups - Complexity'!$D:$D, MATCH($B89, 'Lookups - Complexity'!$B:$B,0)), $K89="High", INDEX('Lookups - Complexity'!$E:$E, MATCH($B89, 'Lookups - Complexity'!$B:$B,0))), ""))</f>
        <v/>
      </c>
      <c r="M89" s="11">
        <f>IF($I89="FTE", Assumptions!$B$3, "")</f>
        <v/>
      </c>
      <c r="N89" s="11">
        <f t="array" ref="N89">IFERROR(INDEX(Milestones!$F:$F, MATCH($B89, Milestones!$B:$B, 0)), "")</f>
        <v/>
      </c>
      <c r="O89" s="11">
        <f t="array" ref="O89">IFERROR(INDEX(Milestones!$G:$G, MATCH($B89, Milestones!$B:$B, 0)), "")</f>
        <v/>
      </c>
      <c r="P89" s="11">
        <f t="array" ref="P89">IFERROR(INDEX('Lookups - Rates'!$D:$D, MATCH($G89&amp;"|"&amp;$H89, 'Lookups - Rates'!$Z:$Z, 0)), "")</f>
        <v/>
      </c>
      <c r="Q89" s="11">
        <f t="array" ref="Q89">IFERROR(INDEX('Lookups - Rates'!$E:$E, MATCH($G89&amp;"|"&amp;$H89, 'Lookups - Rates'!$Z:$Z, 0)), "")</f>
        <v/>
      </c>
      <c r="R89" s="11">
        <f>LET(ev,$J89, ch,$L89, hr,$P89, dr,$Q89, hpday,Assumptions!$B$2, hpw,Assumptions!$B$3, w,$M89, hrs, IF($I89="Hours", ev, IF($I89="Days", ev*IF(dr&gt;0, dr/hr, hpday), IF($I89="FTE", ev*hpw*w, ch))), IF(hrs="", "", hrs*hr))</f>
        <v/>
      </c>
      <c r="S89" s="13" t="n"/>
      <c r="T89" s="11">
        <f t="array" ref="T89">XLOOKUP(Scenario_Selected, INDEX(Scenario_Table,0,1), INDEX(Scenario_Table,0,2))</f>
        <v/>
      </c>
      <c r="U89" s="11">
        <f t="array" ref="U89">XLOOKUP(Scenario_Selected, INDEX(Scenario_Table,0,1), INDEX(Scenario_Table,0,3))</f>
        <v/>
      </c>
      <c r="V89" s="11">
        <f t="array" ref="V89">XLOOKUP(Scenario_Selected, INDEX(Scenario_Table,0,1), INDEX(Scenario_Table,0,4))</f>
        <v/>
      </c>
      <c r="W89" s="11">
        <f t="array" ref="W89">LET(ev,$J89, ch,$L89, et,$I89, dr,$Q89, hpday,Assumptions!$B$2, hpw,Assumptions!$B$3, w,$M89,hm,INDIRECT("R[0]C[0]",FALSE),hrs, IF(et="Hours", ev, IF(et="Days", ev*IF(dr&gt;0, dr/$P89, hpday), IF(et="FTE", ev*hpw*w, ch))), IF(hrs="", "", hrs*hm))</f>
        <v/>
      </c>
      <c r="X89" s="11">
        <f>IF($P89="","", $P89*INDIRECT("R[0]C[-3]",FALSE))</f>
        <v/>
      </c>
      <c r="Y89" s="11">
        <f>IF(INDIRECT("R[0]C[-1]",FALSE)="","", INDIRECT("R[0]C[-2]",FALSE)*INDIRECT("R[0]C[-1]",FALSE)*(1+INDIRECT("R[0]C[-3]",FALSE)))</f>
        <v/>
      </c>
      <c r="Z89" s="13" t="n"/>
    </row>
    <row r="90" ht="15.75" customHeight="1" s="74">
      <c r="A90" s="11" t="n">
        <v>90</v>
      </c>
      <c r="C90" s="11">
        <f t="array" ref="C90">IFERROR(INDEX(Milestones!$A:$A, MATCH($B90, Milestones!$B:$B, 0)), "")</f>
        <v/>
      </c>
      <c r="D90" s="11">
        <f t="array" ref="D90">IFERROR(INDEX(Milestones!$C:$C, MATCH($B90, Milestones!$B:$B, 0)), "")</f>
        <v/>
      </c>
      <c r="F90" s="11">
        <f t="array" ref="F90">IFERROR(INDEX(Milestones!$E:$E, MATCH($B90, Milestones!$B:$B, 0)), "")</f>
        <v/>
      </c>
      <c r="I90" s="11" t="n"/>
      <c r="J90" s="20" t="n"/>
      <c r="K90" s="11" t="n"/>
      <c r="L90" s="11">
        <f t="array" ref="L90">IF($K90="","", IFERROR(IFS($K90="Low", INDEX('Lookups - Complexity'!$C:$C, MATCH($B90, 'Lookups - Complexity'!$B:$B,0)), $K90="Medium", INDEX('Lookups - Complexity'!$D:$D, MATCH($B90, 'Lookups - Complexity'!$B:$B,0)), $K90="High", INDEX('Lookups - Complexity'!$E:$E, MATCH($B90, 'Lookups - Complexity'!$B:$B,0))), ""))</f>
        <v/>
      </c>
      <c r="M90" s="11">
        <f>IF($I90="FTE", Assumptions!$B$3, "")</f>
        <v/>
      </c>
      <c r="N90" s="11">
        <f t="array" ref="N90">IFERROR(INDEX(Milestones!$F:$F, MATCH($B90, Milestones!$B:$B, 0)), "")</f>
        <v/>
      </c>
      <c r="O90" s="11">
        <f t="array" ref="O90">IFERROR(INDEX(Milestones!$G:$G, MATCH($B90, Milestones!$B:$B, 0)), "")</f>
        <v/>
      </c>
      <c r="P90" s="11">
        <f t="array" ref="P90">IFERROR(INDEX('Lookups - Rates'!$D:$D, MATCH($G90&amp;"|"&amp;$H90, 'Lookups - Rates'!$Z:$Z, 0)), "")</f>
        <v/>
      </c>
      <c r="Q90" s="11">
        <f t="array" ref="Q90">IFERROR(INDEX('Lookups - Rates'!$E:$E, MATCH($G90&amp;"|"&amp;$H90, 'Lookups - Rates'!$Z:$Z, 0)), "")</f>
        <v/>
      </c>
      <c r="R90" s="11">
        <f>LET(ev,$J90, ch,$L90, hr,$P90, dr,$Q90, hpday,Assumptions!$B$2, hpw,Assumptions!$B$3, w,$M90, hrs, IF($I90="Hours", ev, IF($I90="Days", ev*IF(dr&gt;0, dr/hr, hpday), IF($I90="FTE", ev*hpw*w, ch))), IF(hrs="", "", hrs*hr))</f>
        <v/>
      </c>
      <c r="S90" s="13" t="n"/>
      <c r="T90" s="11">
        <f t="array" ref="T90">XLOOKUP(Scenario_Selected, INDEX(Scenario_Table,0,1), INDEX(Scenario_Table,0,2))</f>
        <v/>
      </c>
      <c r="U90" s="11">
        <f t="array" ref="U90">XLOOKUP(Scenario_Selected, INDEX(Scenario_Table,0,1), INDEX(Scenario_Table,0,3))</f>
        <v/>
      </c>
      <c r="V90" s="11">
        <f t="array" ref="V90">XLOOKUP(Scenario_Selected, INDEX(Scenario_Table,0,1), INDEX(Scenario_Table,0,4))</f>
        <v/>
      </c>
      <c r="W90" s="11">
        <f t="array" ref="W90">LET(ev,$J90, ch,$L90, et,$I90, dr,$Q90, hpday,Assumptions!$B$2, hpw,Assumptions!$B$3, w,$M90,hm,INDIRECT("R[0]C[0]",FALSE),hrs, IF(et="Hours", ev, IF(et="Days", ev*IF(dr&gt;0, dr/$P90, hpday), IF(et="FTE", ev*hpw*w, ch))), IF(hrs="", "", hrs*hm))</f>
        <v/>
      </c>
      <c r="X90" s="11">
        <f>IF($P90="","", $P90*INDIRECT("R[0]C[-3]",FALSE))</f>
        <v/>
      </c>
      <c r="Y90" s="11">
        <f>IF(INDIRECT("R[0]C[-1]",FALSE)="","", INDIRECT("R[0]C[-2]",FALSE)*INDIRECT("R[0]C[-1]",FALSE)*(1+INDIRECT("R[0]C[-3]",FALSE)))</f>
        <v/>
      </c>
      <c r="Z90" s="13" t="n"/>
    </row>
    <row r="91" ht="15.75" customHeight="1" s="74">
      <c r="A91" s="11" t="n">
        <v>91</v>
      </c>
      <c r="C91" s="11">
        <f t="array" ref="C91">IFERROR(INDEX(Milestones!$A:$A, MATCH($B91, Milestones!$B:$B, 0)), "")</f>
        <v/>
      </c>
      <c r="D91" s="11">
        <f t="array" ref="D91">IFERROR(INDEX(Milestones!$C:$C, MATCH($B91, Milestones!$B:$B, 0)), "")</f>
        <v/>
      </c>
      <c r="F91" s="11">
        <f t="array" ref="F91">IFERROR(INDEX(Milestones!$E:$E, MATCH($B91, Milestones!$B:$B, 0)), "")</f>
        <v/>
      </c>
      <c r="I91" s="11" t="n"/>
      <c r="J91" s="20" t="n"/>
      <c r="K91" s="11" t="n"/>
      <c r="L91" s="11">
        <f t="array" ref="L91">IF($K91="","", IFERROR(IFS($K91="Low", INDEX('Lookups - Complexity'!$C:$C, MATCH($B91, 'Lookups - Complexity'!$B:$B,0)), $K91="Medium", INDEX('Lookups - Complexity'!$D:$D, MATCH($B91, 'Lookups - Complexity'!$B:$B,0)), $K91="High", INDEX('Lookups - Complexity'!$E:$E, MATCH($B91, 'Lookups - Complexity'!$B:$B,0))), ""))</f>
        <v/>
      </c>
      <c r="M91" s="11">
        <f>IF($I91="FTE", Assumptions!$B$3, "")</f>
        <v/>
      </c>
      <c r="N91" s="11">
        <f t="array" ref="N91">IFERROR(INDEX(Milestones!$F:$F, MATCH($B91, Milestones!$B:$B, 0)), "")</f>
        <v/>
      </c>
      <c r="O91" s="11">
        <f t="array" ref="O91">IFERROR(INDEX(Milestones!$G:$G, MATCH($B91, Milestones!$B:$B, 0)), "")</f>
        <v/>
      </c>
      <c r="P91" s="11">
        <f t="array" ref="P91">IFERROR(INDEX('Lookups - Rates'!$D:$D, MATCH($G91&amp;"|"&amp;$H91, 'Lookups - Rates'!$Z:$Z, 0)), "")</f>
        <v/>
      </c>
      <c r="Q91" s="11">
        <f t="array" ref="Q91">IFERROR(INDEX('Lookups - Rates'!$E:$E, MATCH($G91&amp;"|"&amp;$H91, 'Lookups - Rates'!$Z:$Z, 0)), "")</f>
        <v/>
      </c>
      <c r="R91" s="11">
        <f>LET(ev,$J91, ch,$L91, hr,$P91, dr,$Q91, hpday,Assumptions!$B$2, hpw,Assumptions!$B$3, w,$M91, hrs, IF($I91="Hours", ev, IF($I91="Days", ev*IF(dr&gt;0, dr/hr, hpday), IF($I91="FTE", ev*hpw*w, ch))), IF(hrs="", "", hrs*hr))</f>
        <v/>
      </c>
      <c r="S91" s="13" t="n"/>
      <c r="T91" s="11">
        <f t="array" ref="T91">XLOOKUP(Scenario_Selected, INDEX(Scenario_Table,0,1), INDEX(Scenario_Table,0,2))</f>
        <v/>
      </c>
      <c r="U91" s="11">
        <f t="array" ref="U91">XLOOKUP(Scenario_Selected, INDEX(Scenario_Table,0,1), INDEX(Scenario_Table,0,3))</f>
        <v/>
      </c>
      <c r="V91" s="11">
        <f t="array" ref="V91">XLOOKUP(Scenario_Selected, INDEX(Scenario_Table,0,1), INDEX(Scenario_Table,0,4))</f>
        <v/>
      </c>
      <c r="W91" s="11">
        <f t="array" ref="W91">LET(ev,$J91, ch,$L91, et,$I91, dr,$Q91, hpday,Assumptions!$B$2, hpw,Assumptions!$B$3, w,$M91,hm,INDIRECT("R[0]C[0]",FALSE),hrs, IF(et="Hours", ev, IF(et="Days", ev*IF(dr&gt;0, dr/$P91, hpday), IF(et="FTE", ev*hpw*w, ch))), IF(hrs="", "", hrs*hm))</f>
        <v/>
      </c>
      <c r="X91" s="11">
        <f>IF($P91="","", $P91*INDIRECT("R[0]C[-3]",FALSE))</f>
        <v/>
      </c>
      <c r="Y91" s="11">
        <f>IF(INDIRECT("R[0]C[-1]",FALSE)="","", INDIRECT("R[0]C[-2]",FALSE)*INDIRECT("R[0]C[-1]",FALSE)*(1+INDIRECT("R[0]C[-3]",FALSE)))</f>
        <v/>
      </c>
      <c r="Z91" s="13" t="n"/>
    </row>
    <row r="92" ht="15.75" customHeight="1" s="74">
      <c r="A92" s="11" t="n">
        <v>92</v>
      </c>
      <c r="C92" s="11">
        <f t="array" ref="C92">IFERROR(INDEX(Milestones!$A:$A, MATCH($B92, Milestones!$B:$B, 0)), "")</f>
        <v/>
      </c>
      <c r="D92" s="11">
        <f t="array" ref="D92">IFERROR(INDEX(Milestones!$C:$C, MATCH($B92, Milestones!$B:$B, 0)), "")</f>
        <v/>
      </c>
      <c r="F92" s="11">
        <f t="array" ref="F92">IFERROR(INDEX(Milestones!$E:$E, MATCH($B92, Milestones!$B:$B, 0)), "")</f>
        <v/>
      </c>
      <c r="I92" s="11" t="n"/>
      <c r="J92" s="20" t="n"/>
      <c r="K92" s="11" t="n"/>
      <c r="L92" s="11">
        <f t="array" ref="L92">IF($K92="","", IFERROR(IFS($K92="Low", INDEX('Lookups - Complexity'!$C:$C, MATCH($B92, 'Lookups - Complexity'!$B:$B,0)), $K92="Medium", INDEX('Lookups - Complexity'!$D:$D, MATCH($B92, 'Lookups - Complexity'!$B:$B,0)), $K92="High", INDEX('Lookups - Complexity'!$E:$E, MATCH($B92, 'Lookups - Complexity'!$B:$B,0))), ""))</f>
        <v/>
      </c>
      <c r="M92" s="11">
        <f>IF($I92="FTE", Assumptions!$B$3, "")</f>
        <v/>
      </c>
      <c r="N92" s="11">
        <f t="array" ref="N92">IFERROR(INDEX(Milestones!$F:$F, MATCH($B92, Milestones!$B:$B, 0)), "")</f>
        <v/>
      </c>
      <c r="O92" s="11">
        <f t="array" ref="O92">IFERROR(INDEX(Milestones!$G:$G, MATCH($B92, Milestones!$B:$B, 0)), "")</f>
        <v/>
      </c>
      <c r="P92" s="11">
        <f t="array" ref="P92">IFERROR(INDEX('Lookups - Rates'!$D:$D, MATCH($G92&amp;"|"&amp;$H92, 'Lookups - Rates'!$Z:$Z, 0)), "")</f>
        <v/>
      </c>
      <c r="Q92" s="11">
        <f t="array" ref="Q92">IFERROR(INDEX('Lookups - Rates'!$E:$E, MATCH($G92&amp;"|"&amp;$H92, 'Lookups - Rates'!$Z:$Z, 0)), "")</f>
        <v/>
      </c>
      <c r="R92" s="11">
        <f>LET(ev,$J92, ch,$L92, hr,$P92, dr,$Q92, hpday,Assumptions!$B$2, hpw,Assumptions!$B$3, w,$M92, hrs, IF($I92="Hours", ev, IF($I92="Days", ev*IF(dr&gt;0, dr/hr, hpday), IF($I92="FTE", ev*hpw*w, ch))), IF(hrs="", "", hrs*hr))</f>
        <v/>
      </c>
      <c r="S92" s="13" t="n"/>
      <c r="T92" s="11">
        <f t="array" ref="T92">XLOOKUP(Scenario_Selected, INDEX(Scenario_Table,0,1), INDEX(Scenario_Table,0,2))</f>
        <v/>
      </c>
      <c r="U92" s="11">
        <f t="array" ref="U92">XLOOKUP(Scenario_Selected, INDEX(Scenario_Table,0,1), INDEX(Scenario_Table,0,3))</f>
        <v/>
      </c>
      <c r="V92" s="11">
        <f t="array" ref="V92">XLOOKUP(Scenario_Selected, INDEX(Scenario_Table,0,1), INDEX(Scenario_Table,0,4))</f>
        <v/>
      </c>
      <c r="W92" s="11">
        <f t="array" ref="W92">LET(ev,$J92, ch,$L92, et,$I92, dr,$Q92, hpday,Assumptions!$B$2, hpw,Assumptions!$B$3, w,$M92,hm,INDIRECT("R[0]C[0]",FALSE),hrs, IF(et="Hours", ev, IF(et="Days", ev*IF(dr&gt;0, dr/$P92, hpday), IF(et="FTE", ev*hpw*w, ch))), IF(hrs="", "", hrs*hm))</f>
        <v/>
      </c>
      <c r="X92" s="11">
        <f>IF($P92="","", $P92*INDIRECT("R[0]C[-3]",FALSE))</f>
        <v/>
      </c>
      <c r="Y92" s="11">
        <f>IF(INDIRECT("R[0]C[-1]",FALSE)="","", INDIRECT("R[0]C[-2]",FALSE)*INDIRECT("R[0]C[-1]",FALSE)*(1+INDIRECT("R[0]C[-3]",FALSE)))</f>
        <v/>
      </c>
      <c r="Z92" s="13" t="n"/>
    </row>
    <row r="93" ht="15.75" customHeight="1" s="74">
      <c r="A93" s="11" t="n">
        <v>93</v>
      </c>
      <c r="C93" s="11">
        <f t="array" ref="C93">IFERROR(INDEX(Milestones!$A:$A, MATCH($B93, Milestones!$B:$B, 0)), "")</f>
        <v/>
      </c>
      <c r="D93" s="11">
        <f t="array" ref="D93">IFERROR(INDEX(Milestones!$C:$C, MATCH($B93, Milestones!$B:$B, 0)), "")</f>
        <v/>
      </c>
      <c r="F93" s="11">
        <f t="array" ref="F93">IFERROR(INDEX(Milestones!$E:$E, MATCH($B93, Milestones!$B:$B, 0)), "")</f>
        <v/>
      </c>
      <c r="I93" s="11" t="n"/>
      <c r="J93" s="20" t="n"/>
      <c r="K93" s="11" t="n"/>
      <c r="L93" s="11">
        <f t="array" ref="L93">IF($K93="","", IFERROR(IFS($K93="Low", INDEX('Lookups - Complexity'!$C:$C, MATCH($B93, 'Lookups - Complexity'!$B:$B,0)), $K93="Medium", INDEX('Lookups - Complexity'!$D:$D, MATCH($B93, 'Lookups - Complexity'!$B:$B,0)), $K93="High", INDEX('Lookups - Complexity'!$E:$E, MATCH($B93, 'Lookups - Complexity'!$B:$B,0))), ""))</f>
        <v/>
      </c>
      <c r="M93" s="11">
        <f>IF($I93="FTE", Assumptions!$B$3, "")</f>
        <v/>
      </c>
      <c r="N93" s="11">
        <f t="array" ref="N93">IFERROR(INDEX(Milestones!$F:$F, MATCH($B93, Milestones!$B:$B, 0)), "")</f>
        <v/>
      </c>
      <c r="O93" s="11">
        <f t="array" ref="O93">IFERROR(INDEX(Milestones!$G:$G, MATCH($B93, Milestones!$B:$B, 0)), "")</f>
        <v/>
      </c>
      <c r="P93" s="11">
        <f t="array" ref="P93">IFERROR(INDEX('Lookups - Rates'!$D:$D, MATCH($G93&amp;"|"&amp;$H93, 'Lookups - Rates'!$Z:$Z, 0)), "")</f>
        <v/>
      </c>
      <c r="Q93" s="11">
        <f t="array" ref="Q93">IFERROR(INDEX('Lookups - Rates'!$E:$E, MATCH($G93&amp;"|"&amp;$H93, 'Lookups - Rates'!$Z:$Z, 0)), "")</f>
        <v/>
      </c>
      <c r="R93" s="11">
        <f>LET(ev,$J93, ch,$L93, hr,$P93, dr,$Q93, hpday,Assumptions!$B$2, hpw,Assumptions!$B$3, w,$M93, hrs, IF($I93="Hours", ev, IF($I93="Days", ev*IF(dr&gt;0, dr/hr, hpday), IF($I93="FTE", ev*hpw*w, ch))), IF(hrs="", "", hrs*hr))</f>
        <v/>
      </c>
      <c r="S93" s="13" t="n"/>
      <c r="T93" s="11">
        <f t="array" ref="T93">XLOOKUP(Scenario_Selected, INDEX(Scenario_Table,0,1), INDEX(Scenario_Table,0,2))</f>
        <v/>
      </c>
      <c r="U93" s="11">
        <f t="array" ref="U93">XLOOKUP(Scenario_Selected, INDEX(Scenario_Table,0,1), INDEX(Scenario_Table,0,3))</f>
        <v/>
      </c>
      <c r="V93" s="11">
        <f t="array" ref="V93">XLOOKUP(Scenario_Selected, INDEX(Scenario_Table,0,1), INDEX(Scenario_Table,0,4))</f>
        <v/>
      </c>
      <c r="W93" s="11">
        <f t="array" ref="W93">LET(ev,$J93, ch,$L93, et,$I93, dr,$Q93, hpday,Assumptions!$B$2, hpw,Assumptions!$B$3, w,$M93,hm,INDIRECT("R[0]C[0]",FALSE),hrs, IF(et="Hours", ev, IF(et="Days", ev*IF(dr&gt;0, dr/$P93, hpday), IF(et="FTE", ev*hpw*w, ch))), IF(hrs="", "", hrs*hm))</f>
        <v/>
      </c>
      <c r="X93" s="11">
        <f>IF($P93="","", $P93*INDIRECT("R[0]C[-3]",FALSE))</f>
        <v/>
      </c>
      <c r="Y93" s="11">
        <f>IF(INDIRECT("R[0]C[-1]",FALSE)="","", INDIRECT("R[0]C[-2]",FALSE)*INDIRECT("R[0]C[-1]",FALSE)*(1+INDIRECT("R[0]C[-3]",FALSE)))</f>
        <v/>
      </c>
      <c r="Z93" s="13" t="n"/>
    </row>
    <row r="94" ht="15.75" customHeight="1" s="74">
      <c r="A94" s="11" t="n">
        <v>94</v>
      </c>
      <c r="C94" s="11">
        <f t="array" ref="C94">IFERROR(INDEX(Milestones!$A:$A, MATCH($B94, Milestones!$B:$B, 0)), "")</f>
        <v/>
      </c>
      <c r="D94" s="11">
        <f t="array" ref="D94">IFERROR(INDEX(Milestones!$C:$C, MATCH($B94, Milestones!$B:$B, 0)), "")</f>
        <v/>
      </c>
      <c r="F94" s="11">
        <f t="array" ref="F94">IFERROR(INDEX(Milestones!$E:$E, MATCH($B94, Milestones!$B:$B, 0)), "")</f>
        <v/>
      </c>
      <c r="I94" s="11" t="n"/>
      <c r="J94" s="20" t="n"/>
      <c r="K94" s="11" t="n"/>
      <c r="L94" s="11">
        <f t="array" ref="L94">IF($K94="","", IFERROR(IFS($K94="Low", INDEX('Lookups - Complexity'!$C:$C, MATCH($B94, 'Lookups - Complexity'!$B:$B,0)), $K94="Medium", INDEX('Lookups - Complexity'!$D:$D, MATCH($B94, 'Lookups - Complexity'!$B:$B,0)), $K94="High", INDEX('Lookups - Complexity'!$E:$E, MATCH($B94, 'Lookups - Complexity'!$B:$B,0))), ""))</f>
        <v/>
      </c>
      <c r="M94" s="11">
        <f>IF($I94="FTE", Assumptions!$B$3, "")</f>
        <v/>
      </c>
      <c r="N94" s="11">
        <f t="array" ref="N94">IFERROR(INDEX(Milestones!$F:$F, MATCH($B94, Milestones!$B:$B, 0)), "")</f>
        <v/>
      </c>
      <c r="O94" s="11">
        <f t="array" ref="O94">IFERROR(INDEX(Milestones!$G:$G, MATCH($B94, Milestones!$B:$B, 0)), "")</f>
        <v/>
      </c>
      <c r="P94" s="11">
        <f t="array" ref="P94">IFERROR(INDEX('Lookups - Rates'!$D:$D, MATCH($G94&amp;"|"&amp;$H94, 'Lookups - Rates'!$Z:$Z, 0)), "")</f>
        <v/>
      </c>
      <c r="Q94" s="11">
        <f t="array" ref="Q94">IFERROR(INDEX('Lookups - Rates'!$E:$E, MATCH($G94&amp;"|"&amp;$H94, 'Lookups - Rates'!$Z:$Z, 0)), "")</f>
        <v/>
      </c>
      <c r="R94" s="11">
        <f>LET(ev,$J94, ch,$L94, hr,$P94, dr,$Q94, hpday,Assumptions!$B$2, hpw,Assumptions!$B$3, w,$M94, hrs, IF($I94="Hours", ev, IF($I94="Days", ev*IF(dr&gt;0, dr/hr, hpday), IF($I94="FTE", ev*hpw*w, ch))), IF(hrs="", "", hrs*hr))</f>
        <v/>
      </c>
      <c r="S94" s="13" t="n"/>
      <c r="T94" s="11">
        <f t="array" ref="T94">XLOOKUP(Scenario_Selected, INDEX(Scenario_Table,0,1), INDEX(Scenario_Table,0,2))</f>
        <v/>
      </c>
      <c r="U94" s="11">
        <f t="array" ref="U94">XLOOKUP(Scenario_Selected, INDEX(Scenario_Table,0,1), INDEX(Scenario_Table,0,3))</f>
        <v/>
      </c>
      <c r="V94" s="11">
        <f t="array" ref="V94">XLOOKUP(Scenario_Selected, INDEX(Scenario_Table,0,1), INDEX(Scenario_Table,0,4))</f>
        <v/>
      </c>
      <c r="W94" s="11">
        <f t="array" ref="W94">LET(ev,$J94, ch,$L94, et,$I94, dr,$Q94, hpday,Assumptions!$B$2, hpw,Assumptions!$B$3, w,$M94,hm,INDIRECT("R[0]C[0]",FALSE),hrs, IF(et="Hours", ev, IF(et="Days", ev*IF(dr&gt;0, dr/$P94, hpday), IF(et="FTE", ev*hpw*w, ch))), IF(hrs="", "", hrs*hm))</f>
        <v/>
      </c>
      <c r="X94" s="11">
        <f>IF($P94="","", $P94*INDIRECT("R[0]C[-3]",FALSE))</f>
        <v/>
      </c>
      <c r="Y94" s="11">
        <f>IF(INDIRECT("R[0]C[-1]",FALSE)="","", INDIRECT("R[0]C[-2]",FALSE)*INDIRECT("R[0]C[-1]",FALSE)*(1+INDIRECT("R[0]C[-3]",FALSE)))</f>
        <v/>
      </c>
      <c r="Z94" s="13" t="n"/>
    </row>
    <row r="95" ht="15.75" customHeight="1" s="74">
      <c r="A95" s="11" t="n">
        <v>95</v>
      </c>
      <c r="C95" s="11">
        <f t="array" ref="C95">IFERROR(INDEX(Milestones!$A:$A, MATCH($B95, Milestones!$B:$B, 0)), "")</f>
        <v/>
      </c>
      <c r="D95" s="11">
        <f t="array" ref="D95">IFERROR(INDEX(Milestones!$C:$C, MATCH($B95, Milestones!$B:$B, 0)), "")</f>
        <v/>
      </c>
      <c r="F95" s="11">
        <f t="array" ref="F95">IFERROR(INDEX(Milestones!$E:$E, MATCH($B95, Milestones!$B:$B, 0)), "")</f>
        <v/>
      </c>
      <c r="I95" s="11" t="n"/>
      <c r="J95" s="20" t="n"/>
      <c r="K95" s="11" t="n"/>
      <c r="L95" s="11">
        <f t="array" ref="L95">IF($K95="","", IFERROR(IFS($K95="Low", INDEX('Lookups - Complexity'!$C:$C, MATCH($B95, 'Lookups - Complexity'!$B:$B,0)), $K95="Medium", INDEX('Lookups - Complexity'!$D:$D, MATCH($B95, 'Lookups - Complexity'!$B:$B,0)), $K95="High", INDEX('Lookups - Complexity'!$E:$E, MATCH($B95, 'Lookups - Complexity'!$B:$B,0))), ""))</f>
        <v/>
      </c>
      <c r="M95" s="11">
        <f>IF($I95="FTE", Assumptions!$B$3, "")</f>
        <v/>
      </c>
      <c r="N95" s="11">
        <f t="array" ref="N95">IFERROR(INDEX(Milestones!$F:$F, MATCH($B95, Milestones!$B:$B, 0)), "")</f>
        <v/>
      </c>
      <c r="O95" s="11">
        <f t="array" ref="O95">IFERROR(INDEX(Milestones!$G:$G, MATCH($B95, Milestones!$B:$B, 0)), "")</f>
        <v/>
      </c>
      <c r="P95" s="11">
        <f t="array" ref="P95">IFERROR(INDEX('Lookups - Rates'!$D:$D, MATCH($G95&amp;"|"&amp;$H95, 'Lookups - Rates'!$Z:$Z, 0)), "")</f>
        <v/>
      </c>
      <c r="Q95" s="11">
        <f t="array" ref="Q95">IFERROR(INDEX('Lookups - Rates'!$E:$E, MATCH($G95&amp;"|"&amp;$H95, 'Lookups - Rates'!$Z:$Z, 0)), "")</f>
        <v/>
      </c>
      <c r="R95" s="11">
        <f>LET(ev,$J95, ch,$L95, hr,$P95, dr,$Q95, hpday,Assumptions!$B$2, hpw,Assumptions!$B$3, w,$M95, hrs, IF($I95="Hours", ev, IF($I95="Days", ev*IF(dr&gt;0, dr/hr, hpday), IF($I95="FTE", ev*hpw*w, ch))), IF(hrs="", "", hrs*hr))</f>
        <v/>
      </c>
      <c r="S95" s="13" t="n"/>
      <c r="T95" s="11">
        <f t="array" ref="T95">XLOOKUP(Scenario_Selected, INDEX(Scenario_Table,0,1), INDEX(Scenario_Table,0,2))</f>
        <v/>
      </c>
      <c r="U95" s="11">
        <f t="array" ref="U95">XLOOKUP(Scenario_Selected, INDEX(Scenario_Table,0,1), INDEX(Scenario_Table,0,3))</f>
        <v/>
      </c>
      <c r="V95" s="11">
        <f t="array" ref="V95">XLOOKUP(Scenario_Selected, INDEX(Scenario_Table,0,1), INDEX(Scenario_Table,0,4))</f>
        <v/>
      </c>
      <c r="W95" s="11">
        <f t="array" ref="W95">LET(ev,$J95, ch,$L95, et,$I95, dr,$Q95, hpday,Assumptions!$B$2, hpw,Assumptions!$B$3, w,$M95,hm,INDIRECT("R[0]C[0]",FALSE),hrs, IF(et="Hours", ev, IF(et="Days", ev*IF(dr&gt;0, dr/$P95, hpday), IF(et="FTE", ev*hpw*w, ch))), IF(hrs="", "", hrs*hm))</f>
        <v/>
      </c>
      <c r="X95" s="11">
        <f>IF($P95="","", $P95*INDIRECT("R[0]C[-3]",FALSE))</f>
        <v/>
      </c>
      <c r="Y95" s="11">
        <f>IF(INDIRECT("R[0]C[-1]",FALSE)="","", INDIRECT("R[0]C[-2]",FALSE)*INDIRECT("R[0]C[-1]",FALSE)*(1+INDIRECT("R[0]C[-3]",FALSE)))</f>
        <v/>
      </c>
      <c r="Z95" s="13" t="n"/>
    </row>
    <row r="96" ht="15.75" customHeight="1" s="74">
      <c r="A96" s="11" t="n">
        <v>96</v>
      </c>
      <c r="C96" s="11">
        <f t="array" ref="C96">IFERROR(INDEX(Milestones!$A:$A, MATCH($B96, Milestones!$B:$B, 0)), "")</f>
        <v/>
      </c>
      <c r="D96" s="11">
        <f t="array" ref="D96">IFERROR(INDEX(Milestones!$C:$C, MATCH($B96, Milestones!$B:$B, 0)), "")</f>
        <v/>
      </c>
      <c r="F96" s="11">
        <f t="array" ref="F96">IFERROR(INDEX(Milestones!$E:$E, MATCH($B96, Milestones!$B:$B, 0)), "")</f>
        <v/>
      </c>
      <c r="I96" s="11" t="n"/>
      <c r="J96" s="20" t="n"/>
      <c r="K96" s="11" t="n"/>
      <c r="L96" s="11">
        <f t="array" ref="L96">IF($K96="","", IFERROR(IFS($K96="Low", INDEX('Lookups - Complexity'!$C:$C, MATCH($B96, 'Lookups - Complexity'!$B:$B,0)), $K96="Medium", INDEX('Lookups - Complexity'!$D:$D, MATCH($B96, 'Lookups - Complexity'!$B:$B,0)), $K96="High", INDEX('Lookups - Complexity'!$E:$E, MATCH($B96, 'Lookups - Complexity'!$B:$B,0))), ""))</f>
        <v/>
      </c>
      <c r="M96" s="11">
        <f>IF($I96="FTE", Assumptions!$B$3, "")</f>
        <v/>
      </c>
      <c r="N96" s="11">
        <f t="array" ref="N96">IFERROR(INDEX(Milestones!$F:$F, MATCH($B96, Milestones!$B:$B, 0)), "")</f>
        <v/>
      </c>
      <c r="O96" s="11">
        <f t="array" ref="O96">IFERROR(INDEX(Milestones!$G:$G, MATCH($B96, Milestones!$B:$B, 0)), "")</f>
        <v/>
      </c>
      <c r="P96" s="11">
        <f t="array" ref="P96">IFERROR(INDEX('Lookups - Rates'!$D:$D, MATCH($G96&amp;"|"&amp;$H96, 'Lookups - Rates'!$Z:$Z, 0)), "")</f>
        <v/>
      </c>
      <c r="Q96" s="11">
        <f t="array" ref="Q96">IFERROR(INDEX('Lookups - Rates'!$E:$E, MATCH($G96&amp;"|"&amp;$H96, 'Lookups - Rates'!$Z:$Z, 0)), "")</f>
        <v/>
      </c>
      <c r="R96" s="11">
        <f>LET(ev,$J96, ch,$L96, hr,$P96, dr,$Q96, hpday,Assumptions!$B$2, hpw,Assumptions!$B$3, w,$M96, hrs, IF($I96="Hours", ev, IF($I96="Days", ev*IF(dr&gt;0, dr/hr, hpday), IF($I96="FTE", ev*hpw*w, ch))), IF(hrs="", "", hrs*hr))</f>
        <v/>
      </c>
      <c r="S96" s="13" t="n"/>
      <c r="T96" s="11">
        <f t="array" ref="T96">XLOOKUP(Scenario_Selected, INDEX(Scenario_Table,0,1), INDEX(Scenario_Table,0,2))</f>
        <v/>
      </c>
      <c r="U96" s="11">
        <f t="array" ref="U96">XLOOKUP(Scenario_Selected, INDEX(Scenario_Table,0,1), INDEX(Scenario_Table,0,3))</f>
        <v/>
      </c>
      <c r="V96" s="11">
        <f t="array" ref="V96">XLOOKUP(Scenario_Selected, INDEX(Scenario_Table,0,1), INDEX(Scenario_Table,0,4))</f>
        <v/>
      </c>
      <c r="W96" s="11">
        <f t="array" ref="W96">LET(ev,$J96, ch,$L96, et,$I96, dr,$Q96, hpday,Assumptions!$B$2, hpw,Assumptions!$B$3, w,$M96,hm,INDIRECT("R[0]C[0]",FALSE),hrs, IF(et="Hours", ev, IF(et="Days", ev*IF(dr&gt;0, dr/$P96, hpday), IF(et="FTE", ev*hpw*w, ch))), IF(hrs="", "", hrs*hm))</f>
        <v/>
      </c>
      <c r="X96" s="11">
        <f>IF($P96="","", $P96*INDIRECT("R[0]C[-3]",FALSE))</f>
        <v/>
      </c>
      <c r="Y96" s="11">
        <f>IF(INDIRECT("R[0]C[-1]",FALSE)="","", INDIRECT("R[0]C[-2]",FALSE)*INDIRECT("R[0]C[-1]",FALSE)*(1+INDIRECT("R[0]C[-3]",FALSE)))</f>
        <v/>
      </c>
      <c r="Z96" s="13" t="n"/>
    </row>
    <row r="97" ht="15.75" customHeight="1" s="74">
      <c r="A97" s="11" t="n">
        <v>97</v>
      </c>
      <c r="C97" s="11">
        <f t="array" ref="C97">IFERROR(INDEX(Milestones!$A:$A, MATCH($B97, Milestones!$B:$B, 0)), "")</f>
        <v/>
      </c>
      <c r="D97" s="11">
        <f t="array" ref="D97">IFERROR(INDEX(Milestones!$C:$C, MATCH($B97, Milestones!$B:$B, 0)), "")</f>
        <v/>
      </c>
      <c r="F97" s="11">
        <f t="array" ref="F97">IFERROR(INDEX(Milestones!$E:$E, MATCH($B97, Milestones!$B:$B, 0)), "")</f>
        <v/>
      </c>
      <c r="I97" s="11" t="n"/>
      <c r="J97" s="20" t="n"/>
      <c r="K97" s="11" t="n"/>
      <c r="L97" s="11">
        <f t="array" ref="L97">IF($K97="","", IFERROR(IFS($K97="Low", INDEX('Lookups - Complexity'!$C:$C, MATCH($B97, 'Lookups - Complexity'!$B:$B,0)), $K97="Medium", INDEX('Lookups - Complexity'!$D:$D, MATCH($B97, 'Lookups - Complexity'!$B:$B,0)), $K97="High", INDEX('Lookups - Complexity'!$E:$E, MATCH($B97, 'Lookups - Complexity'!$B:$B,0))), ""))</f>
        <v/>
      </c>
      <c r="M97" s="11">
        <f>IF($I97="FTE", Assumptions!$B$3, "")</f>
        <v/>
      </c>
      <c r="N97" s="11">
        <f t="array" ref="N97">IFERROR(INDEX(Milestones!$F:$F, MATCH($B97, Milestones!$B:$B, 0)), "")</f>
        <v/>
      </c>
      <c r="O97" s="11">
        <f t="array" ref="O97">IFERROR(INDEX(Milestones!$G:$G, MATCH($B97, Milestones!$B:$B, 0)), "")</f>
        <v/>
      </c>
      <c r="P97" s="11">
        <f t="array" ref="P97">IFERROR(INDEX('Lookups - Rates'!$D:$D, MATCH($G97&amp;"|"&amp;$H97, 'Lookups - Rates'!$Z:$Z, 0)), "")</f>
        <v/>
      </c>
      <c r="Q97" s="11">
        <f t="array" ref="Q97">IFERROR(INDEX('Lookups - Rates'!$E:$E, MATCH($G97&amp;"|"&amp;$H97, 'Lookups - Rates'!$Z:$Z, 0)), "")</f>
        <v/>
      </c>
      <c r="R97" s="11">
        <f>LET(ev,$J97, ch,$L97, hr,$P97, dr,$Q97, hpday,Assumptions!$B$2, hpw,Assumptions!$B$3, w,$M97, hrs, IF($I97="Hours", ev, IF($I97="Days", ev*IF(dr&gt;0, dr/hr, hpday), IF($I97="FTE", ev*hpw*w, ch))), IF(hrs="", "", hrs*hr))</f>
        <v/>
      </c>
      <c r="S97" s="13" t="n"/>
      <c r="T97" s="11">
        <f t="array" ref="T97">XLOOKUP(Scenario_Selected, INDEX(Scenario_Table,0,1), INDEX(Scenario_Table,0,2))</f>
        <v/>
      </c>
      <c r="U97" s="11">
        <f t="array" ref="U97">XLOOKUP(Scenario_Selected, INDEX(Scenario_Table,0,1), INDEX(Scenario_Table,0,3))</f>
        <v/>
      </c>
      <c r="V97" s="11">
        <f t="array" ref="V97">XLOOKUP(Scenario_Selected, INDEX(Scenario_Table,0,1), INDEX(Scenario_Table,0,4))</f>
        <v/>
      </c>
      <c r="W97" s="11">
        <f t="array" ref="W97">LET(ev,$J97, ch,$L97, et,$I97, dr,$Q97, hpday,Assumptions!$B$2, hpw,Assumptions!$B$3, w,$M97,hm,INDIRECT("R[0]C[0]",FALSE),hrs, IF(et="Hours", ev, IF(et="Days", ev*IF(dr&gt;0, dr/$P97, hpday), IF(et="FTE", ev*hpw*w, ch))), IF(hrs="", "", hrs*hm))</f>
        <v/>
      </c>
      <c r="X97" s="11">
        <f>IF($P97="","", $P97*INDIRECT("R[0]C[-3]",FALSE))</f>
        <v/>
      </c>
      <c r="Y97" s="11">
        <f>IF(INDIRECT("R[0]C[-1]",FALSE)="","", INDIRECT("R[0]C[-2]",FALSE)*INDIRECT("R[0]C[-1]",FALSE)*(1+INDIRECT("R[0]C[-3]",FALSE)))</f>
        <v/>
      </c>
      <c r="Z97" s="13" t="n"/>
    </row>
    <row r="98" ht="15.75" customHeight="1" s="74">
      <c r="A98" s="11" t="n">
        <v>98</v>
      </c>
      <c r="C98" s="11">
        <f t="array" ref="C98">IFERROR(INDEX(Milestones!$A:$A, MATCH($B98, Milestones!$B:$B, 0)), "")</f>
        <v/>
      </c>
      <c r="D98" s="11">
        <f t="array" ref="D98">IFERROR(INDEX(Milestones!$C:$C, MATCH($B98, Milestones!$B:$B, 0)), "")</f>
        <v/>
      </c>
      <c r="F98" s="11">
        <f t="array" ref="F98">IFERROR(INDEX(Milestones!$E:$E, MATCH($B98, Milestones!$B:$B, 0)), "")</f>
        <v/>
      </c>
      <c r="I98" s="11" t="n"/>
      <c r="J98" s="20" t="n"/>
      <c r="K98" s="11" t="n"/>
      <c r="L98" s="11">
        <f t="array" ref="L98">IF($K98="","", IFERROR(IFS($K98="Low", INDEX('Lookups - Complexity'!$C:$C, MATCH($B98, 'Lookups - Complexity'!$B:$B,0)), $K98="Medium", INDEX('Lookups - Complexity'!$D:$D, MATCH($B98, 'Lookups - Complexity'!$B:$B,0)), $K98="High", INDEX('Lookups - Complexity'!$E:$E, MATCH($B98, 'Lookups - Complexity'!$B:$B,0))), ""))</f>
        <v/>
      </c>
      <c r="M98" s="11">
        <f>IF($I98="FTE", Assumptions!$B$3, "")</f>
        <v/>
      </c>
      <c r="N98" s="11">
        <f t="array" ref="N98">IFERROR(INDEX(Milestones!$F:$F, MATCH($B98, Milestones!$B:$B, 0)), "")</f>
        <v/>
      </c>
      <c r="O98" s="11">
        <f t="array" ref="O98">IFERROR(INDEX(Milestones!$G:$G, MATCH($B98, Milestones!$B:$B, 0)), "")</f>
        <v/>
      </c>
      <c r="P98" s="11">
        <f t="array" ref="P98">IFERROR(INDEX('Lookups - Rates'!$D:$D, MATCH($G98&amp;"|"&amp;$H98, 'Lookups - Rates'!$Z:$Z, 0)), "")</f>
        <v/>
      </c>
      <c r="Q98" s="11">
        <f t="array" ref="Q98">IFERROR(INDEX('Lookups - Rates'!$E:$E, MATCH($G98&amp;"|"&amp;$H98, 'Lookups - Rates'!$Z:$Z, 0)), "")</f>
        <v/>
      </c>
      <c r="R98" s="11">
        <f>LET(ev,$J98, ch,$L98, hr,$P98, dr,$Q98, hpday,Assumptions!$B$2, hpw,Assumptions!$B$3, w,$M98, hrs, IF($I98="Hours", ev, IF($I98="Days", ev*IF(dr&gt;0, dr/hr, hpday), IF($I98="FTE", ev*hpw*w, ch))), IF(hrs="", "", hrs*hr))</f>
        <v/>
      </c>
      <c r="S98" s="13" t="n"/>
      <c r="T98" s="11">
        <f t="array" ref="T98">XLOOKUP(Scenario_Selected, INDEX(Scenario_Table,0,1), INDEX(Scenario_Table,0,2))</f>
        <v/>
      </c>
      <c r="U98" s="11">
        <f t="array" ref="U98">XLOOKUP(Scenario_Selected, INDEX(Scenario_Table,0,1), INDEX(Scenario_Table,0,3))</f>
        <v/>
      </c>
      <c r="V98" s="11">
        <f t="array" ref="V98">XLOOKUP(Scenario_Selected, INDEX(Scenario_Table,0,1), INDEX(Scenario_Table,0,4))</f>
        <v/>
      </c>
      <c r="W98" s="11">
        <f t="array" ref="W98">LET(ev,$J98, ch,$L98, et,$I98, dr,$Q98, hpday,Assumptions!$B$2, hpw,Assumptions!$B$3, w,$M98,hm,INDIRECT("R[0]C[0]",FALSE),hrs, IF(et="Hours", ev, IF(et="Days", ev*IF(dr&gt;0, dr/$P98, hpday), IF(et="FTE", ev*hpw*w, ch))), IF(hrs="", "", hrs*hm))</f>
        <v/>
      </c>
      <c r="X98" s="11">
        <f>IF($P98="","", $P98*INDIRECT("R[0]C[-3]",FALSE))</f>
        <v/>
      </c>
      <c r="Y98" s="11">
        <f>IF(INDIRECT("R[0]C[-1]",FALSE)="","", INDIRECT("R[0]C[-2]",FALSE)*INDIRECT("R[0]C[-1]",FALSE)*(1+INDIRECT("R[0]C[-3]",FALSE)))</f>
        <v/>
      </c>
      <c r="Z98" s="13" t="n"/>
    </row>
    <row r="99" ht="15.75" customHeight="1" s="74">
      <c r="A99" s="11" t="n">
        <v>99</v>
      </c>
      <c r="C99" s="11">
        <f t="array" ref="C99">IFERROR(INDEX(Milestones!$A:$A, MATCH($B99, Milestones!$B:$B, 0)), "")</f>
        <v/>
      </c>
      <c r="D99" s="11">
        <f t="array" ref="D99">IFERROR(INDEX(Milestones!$C:$C, MATCH($B99, Milestones!$B:$B, 0)), "")</f>
        <v/>
      </c>
      <c r="F99" s="11">
        <f t="array" ref="F99">IFERROR(INDEX(Milestones!$E:$E, MATCH($B99, Milestones!$B:$B, 0)), "")</f>
        <v/>
      </c>
      <c r="I99" s="11" t="n"/>
      <c r="J99" s="20" t="n"/>
      <c r="K99" s="11" t="n"/>
      <c r="L99" s="11">
        <f t="array" ref="L99">IF($K99="","", IFERROR(IFS($K99="Low", INDEX('Lookups - Complexity'!$C:$C, MATCH($B99, 'Lookups - Complexity'!$B:$B,0)), $K99="Medium", INDEX('Lookups - Complexity'!$D:$D, MATCH($B99, 'Lookups - Complexity'!$B:$B,0)), $K99="High", INDEX('Lookups - Complexity'!$E:$E, MATCH($B99, 'Lookups - Complexity'!$B:$B,0))), ""))</f>
        <v/>
      </c>
      <c r="M99" s="11">
        <f>IF($I99="FTE", Assumptions!$B$3, "")</f>
        <v/>
      </c>
      <c r="N99" s="11">
        <f t="array" ref="N99">IFERROR(INDEX(Milestones!$F:$F, MATCH($B99, Milestones!$B:$B, 0)), "")</f>
        <v/>
      </c>
      <c r="O99" s="11">
        <f t="array" ref="O99">IFERROR(INDEX(Milestones!$G:$G, MATCH($B99, Milestones!$B:$B, 0)), "")</f>
        <v/>
      </c>
      <c r="P99" s="11">
        <f t="array" ref="P99">IFERROR(INDEX('Lookups - Rates'!$D:$D, MATCH($G99&amp;"|"&amp;$H99, 'Lookups - Rates'!$Z:$Z, 0)), "")</f>
        <v/>
      </c>
      <c r="Q99" s="11">
        <f t="array" ref="Q99">IFERROR(INDEX('Lookups - Rates'!$E:$E, MATCH($G99&amp;"|"&amp;$H99, 'Lookups - Rates'!$Z:$Z, 0)), "")</f>
        <v/>
      </c>
      <c r="R99" s="11">
        <f>LET(ev,$J99, ch,$L99, hr,$P99, dr,$Q99, hpday,Assumptions!$B$2, hpw,Assumptions!$B$3, w,$M99, hrs, IF($I99="Hours", ev, IF($I99="Days", ev*IF(dr&gt;0, dr/hr, hpday), IF($I99="FTE", ev*hpw*w, ch))), IF(hrs="", "", hrs*hr))</f>
        <v/>
      </c>
      <c r="S99" s="13" t="n"/>
      <c r="T99" s="11">
        <f t="array" ref="T99">XLOOKUP(Scenario_Selected, INDEX(Scenario_Table,0,1), INDEX(Scenario_Table,0,2))</f>
        <v/>
      </c>
      <c r="U99" s="11">
        <f t="array" ref="U99">XLOOKUP(Scenario_Selected, INDEX(Scenario_Table,0,1), INDEX(Scenario_Table,0,3))</f>
        <v/>
      </c>
      <c r="V99" s="11">
        <f t="array" ref="V99">XLOOKUP(Scenario_Selected, INDEX(Scenario_Table,0,1), INDEX(Scenario_Table,0,4))</f>
        <v/>
      </c>
      <c r="W99" s="11">
        <f t="array" ref="W99">LET(ev,$J99, ch,$L99, et,$I99, dr,$Q99, hpday,Assumptions!$B$2, hpw,Assumptions!$B$3, w,$M99,hm,INDIRECT("R[0]C[0]",FALSE),hrs, IF(et="Hours", ev, IF(et="Days", ev*IF(dr&gt;0, dr/$P99, hpday), IF(et="FTE", ev*hpw*w, ch))), IF(hrs="", "", hrs*hm))</f>
        <v/>
      </c>
      <c r="X99" s="11">
        <f>IF($P99="","", $P99*INDIRECT("R[0]C[-3]",FALSE))</f>
        <v/>
      </c>
      <c r="Y99" s="11">
        <f>IF(INDIRECT("R[0]C[-1]",FALSE)="","", INDIRECT("R[0]C[-2]",FALSE)*INDIRECT("R[0]C[-1]",FALSE)*(1+INDIRECT("R[0]C[-3]",FALSE)))</f>
        <v/>
      </c>
      <c r="Z99" s="13" t="n"/>
    </row>
    <row r="100" ht="15.75" customHeight="1" s="74">
      <c r="A100" s="11" t="n">
        <v>100</v>
      </c>
      <c r="C100" s="11">
        <f t="array" ref="C100">IFERROR(INDEX(Milestones!$A:$A, MATCH($B100, Milestones!$B:$B, 0)), "")</f>
        <v/>
      </c>
      <c r="D100" s="11">
        <f t="array" ref="D100">IFERROR(INDEX(Milestones!$C:$C, MATCH($B100, Milestones!$B:$B, 0)), "")</f>
        <v/>
      </c>
      <c r="F100" s="11">
        <f t="array" ref="F100">IFERROR(INDEX(Milestones!$E:$E, MATCH($B100, Milestones!$B:$B, 0)), "")</f>
        <v/>
      </c>
      <c r="I100" s="11" t="n"/>
      <c r="J100" s="20" t="n"/>
      <c r="K100" s="11" t="n"/>
      <c r="L100" s="11">
        <f t="array" ref="L100">IF($K100="","", IFERROR(IFS($K100="Low", INDEX('Lookups - Complexity'!$C:$C, MATCH($B100, 'Lookups - Complexity'!$B:$B,0)), $K100="Medium", INDEX('Lookups - Complexity'!$D:$D, MATCH($B100, 'Lookups - Complexity'!$B:$B,0)), $K100="High", INDEX('Lookups - Complexity'!$E:$E, MATCH($B100, 'Lookups - Complexity'!$B:$B,0))), ""))</f>
        <v/>
      </c>
      <c r="M100" s="11">
        <f>IF($I100="FTE", Assumptions!$B$3, "")</f>
        <v/>
      </c>
      <c r="N100" s="11">
        <f t="array" ref="N100">IFERROR(INDEX(Milestones!$F:$F, MATCH($B100, Milestones!$B:$B, 0)), "")</f>
        <v/>
      </c>
      <c r="O100" s="11">
        <f t="array" ref="O100">IFERROR(INDEX(Milestones!$G:$G, MATCH($B100, Milestones!$B:$B, 0)), "")</f>
        <v/>
      </c>
      <c r="P100" s="11">
        <f t="array" ref="P100">IFERROR(INDEX('Lookups - Rates'!$D:$D, MATCH($G100&amp;"|"&amp;$H100, 'Lookups - Rates'!$Z:$Z, 0)), "")</f>
        <v/>
      </c>
      <c r="Q100" s="11">
        <f t="array" ref="Q100">IFERROR(INDEX('Lookups - Rates'!$E:$E, MATCH($G100&amp;"|"&amp;$H100, 'Lookups - Rates'!$Z:$Z, 0)), "")</f>
        <v/>
      </c>
      <c r="R100" s="11">
        <f>LET(ev,$J100, ch,$L100, hr,$P100, dr,$Q100, hpday,Assumptions!$B$2, hpw,Assumptions!$B$3, w,$M100, hrs, IF($I100="Hours", ev, IF($I100="Days", ev*IF(dr&gt;0, dr/hr, hpday), IF($I100="FTE", ev*hpw*w, ch))), IF(hrs="", "", hrs*hr))</f>
        <v/>
      </c>
      <c r="S100" s="13" t="n"/>
      <c r="T100" s="11">
        <f t="array" ref="T100">XLOOKUP(Scenario_Selected, INDEX(Scenario_Table,0,1), INDEX(Scenario_Table,0,2))</f>
        <v/>
      </c>
      <c r="U100" s="11">
        <f t="array" ref="U100">XLOOKUP(Scenario_Selected, INDEX(Scenario_Table,0,1), INDEX(Scenario_Table,0,3))</f>
        <v/>
      </c>
      <c r="V100" s="11">
        <f t="array" ref="V100">XLOOKUP(Scenario_Selected, INDEX(Scenario_Table,0,1), INDEX(Scenario_Table,0,4))</f>
        <v/>
      </c>
      <c r="W100" s="11">
        <f t="array" ref="W100">LET(ev,$J100, ch,$L100, et,$I100, dr,$Q100, hpday,Assumptions!$B$2, hpw,Assumptions!$B$3, w,$M100,hm,INDIRECT("R[0]C[0]",FALSE),hrs, IF(et="Hours", ev, IF(et="Days", ev*IF(dr&gt;0, dr/$P100, hpday), IF(et="FTE", ev*hpw*w, ch))), IF(hrs="", "", hrs*hm))</f>
        <v/>
      </c>
      <c r="X100" s="11">
        <f>IF($P100="","", $P100*INDIRECT("R[0]C[-3]",FALSE))</f>
        <v/>
      </c>
      <c r="Y100" s="11">
        <f>IF(INDIRECT("R[0]C[-1]",FALSE)="","", INDIRECT("R[0]C[-2]",FALSE)*INDIRECT("R[0]C[-1]",FALSE)*(1+INDIRECT("R[0]C[-3]",FALSE)))</f>
        <v/>
      </c>
      <c r="Z100" s="13" t="n"/>
    </row>
    <row r="101" ht="15.75" customHeight="1" s="74">
      <c r="A101" s="11" t="n">
        <v>101</v>
      </c>
      <c r="C101" s="11">
        <f t="array" ref="C101">IFERROR(INDEX(Milestones!$A:$A, MATCH($B101, Milestones!$B:$B, 0)), "")</f>
        <v/>
      </c>
      <c r="D101" s="11">
        <f t="array" ref="D101">IFERROR(INDEX(Milestones!$C:$C, MATCH($B101, Milestones!$B:$B, 0)), "")</f>
        <v/>
      </c>
      <c r="F101" s="11">
        <f t="array" ref="F101">IFERROR(INDEX(Milestones!$E:$E, MATCH($B101, Milestones!$B:$B, 0)), "")</f>
        <v/>
      </c>
      <c r="I101" s="11" t="n"/>
      <c r="J101" s="20" t="n"/>
      <c r="K101" s="11" t="n"/>
      <c r="L101" s="11">
        <f t="array" ref="L101">IF($K101="","", IFERROR(IFS($K101="Low", INDEX('Lookups - Complexity'!$C:$C, MATCH($B101, 'Lookups - Complexity'!$B:$B,0)), $K101="Medium", INDEX('Lookups - Complexity'!$D:$D, MATCH($B101, 'Lookups - Complexity'!$B:$B,0)), $K101="High", INDEX('Lookups - Complexity'!$E:$E, MATCH($B101, 'Lookups - Complexity'!$B:$B,0))), ""))</f>
        <v/>
      </c>
      <c r="M101" s="11">
        <f>IF($I101="FTE", Assumptions!$B$3, "")</f>
        <v/>
      </c>
      <c r="N101" s="11">
        <f t="array" ref="N101">IFERROR(INDEX(Milestones!$F:$F, MATCH($B101, Milestones!$B:$B, 0)), "")</f>
        <v/>
      </c>
      <c r="O101" s="11">
        <f t="array" ref="O101">IFERROR(INDEX(Milestones!$G:$G, MATCH($B101, Milestones!$B:$B, 0)), "")</f>
        <v/>
      </c>
      <c r="P101" s="11">
        <f t="array" ref="P101">IFERROR(INDEX('Lookups - Rates'!$D:$D, MATCH($G101&amp;"|"&amp;$H101, 'Lookups - Rates'!$Z:$Z, 0)), "")</f>
        <v/>
      </c>
      <c r="Q101" s="11">
        <f t="array" ref="Q101">IFERROR(INDEX('Lookups - Rates'!$E:$E, MATCH($G101&amp;"|"&amp;$H101, 'Lookups - Rates'!$Z:$Z, 0)), "")</f>
        <v/>
      </c>
      <c r="R101" s="11">
        <f>LET(ev,$J101, ch,$L101, hr,$P101, dr,$Q101, hpday,Assumptions!$B$2, hpw,Assumptions!$B$3, w,$M101, hrs, IF($I101="Hours", ev, IF($I101="Days", ev*IF(dr&gt;0, dr/hr, hpday), IF($I101="FTE", ev*hpw*w, ch))), IF(hrs="", "", hrs*hr))</f>
        <v/>
      </c>
      <c r="S101" s="13" t="n"/>
      <c r="T101" s="11">
        <f t="array" ref="T101">XLOOKUP(Scenario_Selected, INDEX(Scenario_Table,0,1), INDEX(Scenario_Table,0,2))</f>
        <v/>
      </c>
      <c r="U101" s="11">
        <f t="array" ref="U101">XLOOKUP(Scenario_Selected, INDEX(Scenario_Table,0,1), INDEX(Scenario_Table,0,3))</f>
        <v/>
      </c>
      <c r="V101" s="11">
        <f t="array" ref="V101">XLOOKUP(Scenario_Selected, INDEX(Scenario_Table,0,1), INDEX(Scenario_Table,0,4))</f>
        <v/>
      </c>
      <c r="W101" s="11">
        <f t="array" ref="W101">LET(ev,$J101, ch,$L101, et,$I101, dr,$Q101, hpday,Assumptions!$B$2, hpw,Assumptions!$B$3, w,$M101,hm,INDIRECT("R[0]C[0]",FALSE),hrs, IF(et="Hours", ev, IF(et="Days", ev*IF(dr&gt;0, dr/$P101, hpday), IF(et="FTE", ev*hpw*w, ch))), IF(hrs="", "", hrs*hm))</f>
        <v/>
      </c>
      <c r="X101" s="11">
        <f>IF($P101="","", $P101*INDIRECT("R[0]C[-3]",FALSE))</f>
        <v/>
      </c>
      <c r="Y101" s="11">
        <f>IF(INDIRECT("R[0]C[-1]",FALSE)="","", INDIRECT("R[0]C[-2]",FALSE)*INDIRECT("R[0]C[-1]",FALSE)*(1+INDIRECT("R[0]C[-3]",FALSE)))</f>
        <v/>
      </c>
      <c r="Z101" s="13" t="n"/>
    </row>
    <row r="102" ht="15.75" customHeight="1" s="74">
      <c r="A102" s="11" t="n">
        <v>102</v>
      </c>
      <c r="C102" s="11">
        <f t="array" ref="C102">IFERROR(INDEX(Milestones!$A:$A, MATCH($B102, Milestones!$B:$B, 0)), "")</f>
        <v/>
      </c>
      <c r="D102" s="11">
        <f t="array" ref="D102">IFERROR(INDEX(Milestones!$C:$C, MATCH($B102, Milestones!$B:$B, 0)), "")</f>
        <v/>
      </c>
      <c r="F102" s="11">
        <f t="array" ref="F102">IFERROR(INDEX(Milestones!$E:$E, MATCH($B102, Milestones!$B:$B, 0)), "")</f>
        <v/>
      </c>
      <c r="I102" s="11" t="n"/>
      <c r="J102" s="20" t="n"/>
      <c r="K102" s="11" t="n"/>
      <c r="L102" s="11">
        <f t="array" ref="L102">IF($K102="","", IFERROR(IFS($K102="Low", INDEX('Lookups - Complexity'!$C:$C, MATCH($B102, 'Lookups - Complexity'!$B:$B,0)), $K102="Medium", INDEX('Lookups - Complexity'!$D:$D, MATCH($B102, 'Lookups - Complexity'!$B:$B,0)), $K102="High", INDEX('Lookups - Complexity'!$E:$E, MATCH($B102, 'Lookups - Complexity'!$B:$B,0))), ""))</f>
        <v/>
      </c>
      <c r="M102" s="11">
        <f>IF($I102="FTE", Assumptions!$B$3, "")</f>
        <v/>
      </c>
      <c r="N102" s="11">
        <f t="array" ref="N102">IFERROR(INDEX(Milestones!$F:$F, MATCH($B102, Milestones!$B:$B, 0)), "")</f>
        <v/>
      </c>
      <c r="O102" s="11">
        <f t="array" ref="O102">IFERROR(INDEX(Milestones!$G:$G, MATCH($B102, Milestones!$B:$B, 0)), "")</f>
        <v/>
      </c>
      <c r="P102" s="11">
        <f t="array" ref="P102">IFERROR(INDEX('Lookups - Rates'!$D:$D, MATCH($G102&amp;"|"&amp;$H102, 'Lookups - Rates'!$Z:$Z, 0)), "")</f>
        <v/>
      </c>
      <c r="Q102" s="11">
        <f t="array" ref="Q102">IFERROR(INDEX('Lookups - Rates'!$E:$E, MATCH($G102&amp;"|"&amp;$H102, 'Lookups - Rates'!$Z:$Z, 0)), "")</f>
        <v/>
      </c>
      <c r="R102" s="11">
        <f>LET(ev,$J102, ch,$L102, hr,$P102, dr,$Q102, hpday,Assumptions!$B$2, hpw,Assumptions!$B$3, w,$M102, hrs, IF($I102="Hours", ev, IF($I102="Days", ev*IF(dr&gt;0, dr/hr, hpday), IF($I102="FTE", ev*hpw*w, ch))), IF(hrs="", "", hrs*hr))</f>
        <v/>
      </c>
      <c r="S102" s="13" t="n"/>
      <c r="T102" s="11">
        <f t="array" ref="T102">XLOOKUP(Scenario_Selected, INDEX(Scenario_Table,0,1), INDEX(Scenario_Table,0,2))</f>
        <v/>
      </c>
      <c r="U102" s="11">
        <f t="array" ref="U102">XLOOKUP(Scenario_Selected, INDEX(Scenario_Table,0,1), INDEX(Scenario_Table,0,3))</f>
        <v/>
      </c>
      <c r="V102" s="11">
        <f t="array" ref="V102">XLOOKUP(Scenario_Selected, INDEX(Scenario_Table,0,1), INDEX(Scenario_Table,0,4))</f>
        <v/>
      </c>
      <c r="W102" s="11">
        <f t="array" ref="W102">LET(ev,$J102, ch,$L102, et,$I102, dr,$Q102, hpday,Assumptions!$B$2, hpw,Assumptions!$B$3, w,$M102,hm,INDIRECT("R[0]C[0]",FALSE),hrs, IF(et="Hours", ev, IF(et="Days", ev*IF(dr&gt;0, dr/$P102, hpday), IF(et="FTE", ev*hpw*w, ch))), IF(hrs="", "", hrs*hm))</f>
        <v/>
      </c>
      <c r="X102" s="11">
        <f>IF($P102="","", $P102*INDIRECT("R[0]C[-3]",FALSE))</f>
        <v/>
      </c>
      <c r="Y102" s="11">
        <f>IF(INDIRECT("R[0]C[-1]",FALSE)="","", INDIRECT("R[0]C[-2]",FALSE)*INDIRECT("R[0]C[-1]",FALSE)*(1+INDIRECT("R[0]C[-3]",FALSE)))</f>
        <v/>
      </c>
      <c r="Z102" s="13" t="n"/>
    </row>
    <row r="103" ht="15.75" customHeight="1" s="74">
      <c r="A103" s="11" t="n">
        <v>103</v>
      </c>
      <c r="C103" s="11">
        <f t="array" ref="C103">IFERROR(INDEX(Milestones!$A:$A, MATCH($B103, Milestones!$B:$B, 0)), "")</f>
        <v/>
      </c>
      <c r="D103" s="11">
        <f t="array" ref="D103">IFERROR(INDEX(Milestones!$C:$C, MATCH($B103, Milestones!$B:$B, 0)), "")</f>
        <v/>
      </c>
      <c r="F103" s="11">
        <f t="array" ref="F103">IFERROR(INDEX(Milestones!$E:$E, MATCH($B103, Milestones!$B:$B, 0)), "")</f>
        <v/>
      </c>
      <c r="I103" s="11" t="n"/>
      <c r="J103" s="20" t="n"/>
      <c r="K103" s="11" t="n"/>
      <c r="L103" s="11">
        <f t="array" ref="L103">IF($K103="","", IFERROR(IFS($K103="Low", INDEX('Lookups - Complexity'!$C:$C, MATCH($B103, 'Lookups - Complexity'!$B:$B,0)), $K103="Medium", INDEX('Lookups - Complexity'!$D:$D, MATCH($B103, 'Lookups - Complexity'!$B:$B,0)), $K103="High", INDEX('Lookups - Complexity'!$E:$E, MATCH($B103, 'Lookups - Complexity'!$B:$B,0))), ""))</f>
        <v/>
      </c>
      <c r="M103" s="11">
        <f>IF($I103="FTE", Assumptions!$B$3, "")</f>
        <v/>
      </c>
      <c r="N103" s="11">
        <f t="array" ref="N103">IFERROR(INDEX(Milestones!$F:$F, MATCH($B103, Milestones!$B:$B, 0)), "")</f>
        <v/>
      </c>
      <c r="O103" s="11">
        <f t="array" ref="O103">IFERROR(INDEX(Milestones!$G:$G, MATCH($B103, Milestones!$B:$B, 0)), "")</f>
        <v/>
      </c>
      <c r="P103" s="11">
        <f t="array" ref="P103">IFERROR(INDEX('Lookups - Rates'!$D:$D, MATCH($G103&amp;"|"&amp;$H103, 'Lookups - Rates'!$Z:$Z, 0)), "")</f>
        <v/>
      </c>
      <c r="Q103" s="11">
        <f t="array" ref="Q103">IFERROR(INDEX('Lookups - Rates'!$E:$E, MATCH($G103&amp;"|"&amp;$H103, 'Lookups - Rates'!$Z:$Z, 0)), "")</f>
        <v/>
      </c>
      <c r="R103" s="11">
        <f>LET(ev,$J103, ch,$L103, hr,$P103, dr,$Q103, hpday,Assumptions!$B$2, hpw,Assumptions!$B$3, w,$M103, hrs, IF($I103="Hours", ev, IF($I103="Days", ev*IF(dr&gt;0, dr/hr, hpday), IF($I103="FTE", ev*hpw*w, ch))), IF(hrs="", "", hrs*hr))</f>
        <v/>
      </c>
      <c r="S103" s="13" t="n"/>
      <c r="T103" s="11">
        <f t="array" ref="T103">XLOOKUP(Scenario_Selected, INDEX(Scenario_Table,0,1), INDEX(Scenario_Table,0,2))</f>
        <v/>
      </c>
      <c r="U103" s="11">
        <f t="array" ref="U103">XLOOKUP(Scenario_Selected, INDEX(Scenario_Table,0,1), INDEX(Scenario_Table,0,3))</f>
        <v/>
      </c>
      <c r="V103" s="11">
        <f t="array" ref="V103">XLOOKUP(Scenario_Selected, INDEX(Scenario_Table,0,1), INDEX(Scenario_Table,0,4))</f>
        <v/>
      </c>
      <c r="W103" s="11">
        <f t="array" ref="W103">LET(ev,$J103, ch,$L103, et,$I103, dr,$Q103, hpday,Assumptions!$B$2, hpw,Assumptions!$B$3, w,$M103,hm,INDIRECT("R[0]C[0]",FALSE),hrs, IF(et="Hours", ev, IF(et="Days", ev*IF(dr&gt;0, dr/$P103, hpday), IF(et="FTE", ev*hpw*w, ch))), IF(hrs="", "", hrs*hm))</f>
        <v/>
      </c>
      <c r="X103" s="11">
        <f>IF($P103="","", $P103*INDIRECT("R[0]C[-3]",FALSE))</f>
        <v/>
      </c>
      <c r="Y103" s="11">
        <f>IF(INDIRECT("R[0]C[-1]",FALSE)="","", INDIRECT("R[0]C[-2]",FALSE)*INDIRECT("R[0]C[-1]",FALSE)*(1+INDIRECT("R[0]C[-3]",FALSE)))</f>
        <v/>
      </c>
      <c r="Z103" s="13" t="n"/>
    </row>
    <row r="104" ht="15.75" customHeight="1" s="74">
      <c r="A104" s="11" t="n">
        <v>104</v>
      </c>
      <c r="C104" s="11">
        <f t="array" ref="C104">IFERROR(INDEX(Milestones!$A:$A, MATCH($B104, Milestones!$B:$B, 0)), "")</f>
        <v/>
      </c>
      <c r="D104" s="11">
        <f t="array" ref="D104">IFERROR(INDEX(Milestones!$C:$C, MATCH($B104, Milestones!$B:$B, 0)), "")</f>
        <v/>
      </c>
      <c r="F104" s="11">
        <f t="array" ref="F104">IFERROR(INDEX(Milestones!$E:$E, MATCH($B104, Milestones!$B:$B, 0)), "")</f>
        <v/>
      </c>
      <c r="I104" s="11" t="n"/>
      <c r="J104" s="20" t="n"/>
      <c r="K104" s="11" t="n"/>
      <c r="L104" s="11">
        <f t="array" ref="L104">IF($K104="","", IFERROR(IFS($K104="Low", INDEX('Lookups - Complexity'!$C:$C, MATCH($B104, 'Lookups - Complexity'!$B:$B,0)), $K104="Medium", INDEX('Lookups - Complexity'!$D:$D, MATCH($B104, 'Lookups - Complexity'!$B:$B,0)), $K104="High", INDEX('Lookups - Complexity'!$E:$E, MATCH($B104, 'Lookups - Complexity'!$B:$B,0))), ""))</f>
        <v/>
      </c>
      <c r="M104" s="11">
        <f>IF($I104="FTE", Assumptions!$B$3, "")</f>
        <v/>
      </c>
      <c r="N104" s="11">
        <f t="array" ref="N104">IFERROR(INDEX(Milestones!$F:$F, MATCH($B104, Milestones!$B:$B, 0)), "")</f>
        <v/>
      </c>
      <c r="O104" s="11">
        <f t="array" ref="O104">IFERROR(INDEX(Milestones!$G:$G, MATCH($B104, Milestones!$B:$B, 0)), "")</f>
        <v/>
      </c>
      <c r="P104" s="11">
        <f t="array" ref="P104">IFERROR(INDEX('Lookups - Rates'!$D:$D, MATCH($G104&amp;"|"&amp;$H104, 'Lookups - Rates'!$Z:$Z, 0)), "")</f>
        <v/>
      </c>
      <c r="Q104" s="11">
        <f t="array" ref="Q104">IFERROR(INDEX('Lookups - Rates'!$E:$E, MATCH($G104&amp;"|"&amp;$H104, 'Lookups - Rates'!$Z:$Z, 0)), "")</f>
        <v/>
      </c>
      <c r="R104" s="11">
        <f>LET(ev,$J104, ch,$L104, hr,$P104, dr,$Q104, hpday,Assumptions!$B$2, hpw,Assumptions!$B$3, w,$M104, hrs, IF($I104="Hours", ev, IF($I104="Days", ev*IF(dr&gt;0, dr/hr, hpday), IF($I104="FTE", ev*hpw*w, ch))), IF(hrs="", "", hrs*hr))</f>
        <v/>
      </c>
      <c r="S104" s="13" t="n"/>
      <c r="T104" s="11">
        <f t="array" ref="T104">XLOOKUP(Scenario_Selected, INDEX(Scenario_Table,0,1), INDEX(Scenario_Table,0,2))</f>
        <v/>
      </c>
      <c r="U104" s="11">
        <f t="array" ref="U104">XLOOKUP(Scenario_Selected, INDEX(Scenario_Table,0,1), INDEX(Scenario_Table,0,3))</f>
        <v/>
      </c>
      <c r="V104" s="11">
        <f t="array" ref="V104">XLOOKUP(Scenario_Selected, INDEX(Scenario_Table,0,1), INDEX(Scenario_Table,0,4))</f>
        <v/>
      </c>
      <c r="W104" s="11">
        <f t="array" ref="W104">LET(ev,$J104, ch,$L104, et,$I104, dr,$Q104, hpday,Assumptions!$B$2, hpw,Assumptions!$B$3, w,$M104,hm,INDIRECT("R[0]C[0]",FALSE),hrs, IF(et="Hours", ev, IF(et="Days", ev*IF(dr&gt;0, dr/$P104, hpday), IF(et="FTE", ev*hpw*w, ch))), IF(hrs="", "", hrs*hm))</f>
        <v/>
      </c>
      <c r="X104" s="11">
        <f>IF($P104="","", $P104*INDIRECT("R[0]C[-3]",FALSE))</f>
        <v/>
      </c>
      <c r="Y104" s="11">
        <f>IF(INDIRECT("R[0]C[-1]",FALSE)="","", INDIRECT("R[0]C[-2]",FALSE)*INDIRECT("R[0]C[-1]",FALSE)*(1+INDIRECT("R[0]C[-3]",FALSE)))</f>
        <v/>
      </c>
      <c r="Z104" s="13" t="n"/>
    </row>
    <row r="105" ht="15.75" customHeight="1" s="74">
      <c r="A105" s="11" t="n">
        <v>105</v>
      </c>
      <c r="C105" s="11">
        <f t="array" ref="C105">IFERROR(INDEX(Milestones!$A:$A, MATCH($B105, Milestones!$B:$B, 0)), "")</f>
        <v/>
      </c>
      <c r="D105" s="11">
        <f t="array" ref="D105">IFERROR(INDEX(Milestones!$C:$C, MATCH($B105, Milestones!$B:$B, 0)), "")</f>
        <v/>
      </c>
      <c r="F105" s="11">
        <f t="array" ref="F105">IFERROR(INDEX(Milestones!$E:$E, MATCH($B105, Milestones!$B:$B, 0)), "")</f>
        <v/>
      </c>
      <c r="I105" s="11" t="n"/>
      <c r="J105" s="20" t="n"/>
      <c r="K105" s="11" t="n"/>
      <c r="L105" s="11">
        <f t="array" ref="L105">IF($K105="","", IFERROR(IFS($K105="Low", INDEX('Lookups - Complexity'!$C:$C, MATCH($B105, 'Lookups - Complexity'!$B:$B,0)), $K105="Medium", INDEX('Lookups - Complexity'!$D:$D, MATCH($B105, 'Lookups - Complexity'!$B:$B,0)), $K105="High", INDEX('Lookups - Complexity'!$E:$E, MATCH($B105, 'Lookups - Complexity'!$B:$B,0))), ""))</f>
        <v/>
      </c>
      <c r="M105" s="11">
        <f>IF($I105="FTE", Assumptions!$B$3, "")</f>
        <v/>
      </c>
      <c r="N105" s="11">
        <f t="array" ref="N105">IFERROR(INDEX(Milestones!$F:$F, MATCH($B105, Milestones!$B:$B, 0)), "")</f>
        <v/>
      </c>
      <c r="O105" s="11">
        <f t="array" ref="O105">IFERROR(INDEX(Milestones!$G:$G, MATCH($B105, Milestones!$B:$B, 0)), "")</f>
        <v/>
      </c>
      <c r="P105" s="11">
        <f t="array" ref="P105">IFERROR(INDEX('Lookups - Rates'!$D:$D, MATCH($G105&amp;"|"&amp;$H105, 'Lookups - Rates'!$Z:$Z, 0)), "")</f>
        <v/>
      </c>
      <c r="Q105" s="11">
        <f t="array" ref="Q105">IFERROR(INDEX('Lookups - Rates'!$E:$E, MATCH($G105&amp;"|"&amp;$H105, 'Lookups - Rates'!$Z:$Z, 0)), "")</f>
        <v/>
      </c>
      <c r="R105" s="11">
        <f>LET(ev,$J105, ch,$L105, hr,$P105, dr,$Q105, hpday,Assumptions!$B$2, hpw,Assumptions!$B$3, w,$M105, hrs, IF($I105="Hours", ev, IF($I105="Days", ev*IF(dr&gt;0, dr/hr, hpday), IF($I105="FTE", ev*hpw*w, ch))), IF(hrs="", "", hrs*hr))</f>
        <v/>
      </c>
      <c r="S105" s="13" t="n"/>
      <c r="T105" s="11">
        <f t="array" ref="T105">XLOOKUP(Scenario_Selected, INDEX(Scenario_Table,0,1), INDEX(Scenario_Table,0,2))</f>
        <v/>
      </c>
      <c r="U105" s="11">
        <f t="array" ref="U105">XLOOKUP(Scenario_Selected, INDEX(Scenario_Table,0,1), INDEX(Scenario_Table,0,3))</f>
        <v/>
      </c>
      <c r="V105" s="11">
        <f t="array" ref="V105">XLOOKUP(Scenario_Selected, INDEX(Scenario_Table,0,1), INDEX(Scenario_Table,0,4))</f>
        <v/>
      </c>
      <c r="W105" s="11">
        <f t="array" ref="W105">LET(ev,$J105, ch,$L105, et,$I105, dr,$Q105, hpday,Assumptions!$B$2, hpw,Assumptions!$B$3, w,$M105,hm,INDIRECT("R[0]C[0]",FALSE),hrs, IF(et="Hours", ev, IF(et="Days", ev*IF(dr&gt;0, dr/$P105, hpday), IF(et="FTE", ev*hpw*w, ch))), IF(hrs="", "", hrs*hm))</f>
        <v/>
      </c>
      <c r="X105" s="11">
        <f>IF($P105="","", $P105*INDIRECT("R[0]C[-3]",FALSE))</f>
        <v/>
      </c>
      <c r="Y105" s="11">
        <f>IF(INDIRECT("R[0]C[-1]",FALSE)="","", INDIRECT("R[0]C[-2]",FALSE)*INDIRECT("R[0]C[-1]",FALSE)*(1+INDIRECT("R[0]C[-3]",FALSE)))</f>
        <v/>
      </c>
      <c r="Z105" s="13" t="n"/>
    </row>
    <row r="106" ht="15.75" customHeight="1" s="74">
      <c r="A106" s="11" t="n">
        <v>106</v>
      </c>
      <c r="C106" s="11">
        <f t="array" ref="C106">IFERROR(INDEX(Milestones!$A:$A, MATCH($B106, Milestones!$B:$B, 0)), "")</f>
        <v/>
      </c>
      <c r="D106" s="11">
        <f t="array" ref="D106">IFERROR(INDEX(Milestones!$C:$C, MATCH($B106, Milestones!$B:$B, 0)), "")</f>
        <v/>
      </c>
      <c r="F106" s="11">
        <f t="array" ref="F106">IFERROR(INDEX(Milestones!$E:$E, MATCH($B106, Milestones!$B:$B, 0)), "")</f>
        <v/>
      </c>
      <c r="I106" s="11" t="n"/>
      <c r="J106" s="20" t="n"/>
      <c r="K106" s="11" t="n"/>
      <c r="L106" s="11">
        <f t="array" ref="L106">IF($K106="","", IFERROR(IFS($K106="Low", INDEX('Lookups - Complexity'!$C:$C, MATCH($B106, 'Lookups - Complexity'!$B:$B,0)), $K106="Medium", INDEX('Lookups - Complexity'!$D:$D, MATCH($B106, 'Lookups - Complexity'!$B:$B,0)), $K106="High", INDEX('Lookups - Complexity'!$E:$E, MATCH($B106, 'Lookups - Complexity'!$B:$B,0))), ""))</f>
        <v/>
      </c>
      <c r="M106" s="11">
        <f>IF($I106="FTE", Assumptions!$B$3, "")</f>
        <v/>
      </c>
      <c r="N106" s="11">
        <f t="array" ref="N106">IFERROR(INDEX(Milestones!$F:$F, MATCH($B106, Milestones!$B:$B, 0)), "")</f>
        <v/>
      </c>
      <c r="O106" s="11">
        <f t="array" ref="O106">IFERROR(INDEX(Milestones!$G:$G, MATCH($B106, Milestones!$B:$B, 0)), "")</f>
        <v/>
      </c>
      <c r="P106" s="11">
        <f t="array" ref="P106">IFERROR(INDEX('Lookups - Rates'!$D:$D, MATCH($G106&amp;"|"&amp;$H106, 'Lookups - Rates'!$Z:$Z, 0)), "")</f>
        <v/>
      </c>
      <c r="Q106" s="11">
        <f t="array" ref="Q106">IFERROR(INDEX('Lookups - Rates'!$E:$E, MATCH($G106&amp;"|"&amp;$H106, 'Lookups - Rates'!$Z:$Z, 0)), "")</f>
        <v/>
      </c>
      <c r="R106" s="11">
        <f>LET(ev,$J106, ch,$L106, hr,$P106, dr,$Q106, hpday,Assumptions!$B$2, hpw,Assumptions!$B$3, w,$M106, hrs, IF($I106="Hours", ev, IF($I106="Days", ev*IF(dr&gt;0, dr/hr, hpday), IF($I106="FTE", ev*hpw*w, ch))), IF(hrs="", "", hrs*hr))</f>
        <v/>
      </c>
      <c r="S106" s="13" t="n"/>
      <c r="T106" s="11">
        <f t="array" ref="T106">XLOOKUP(Scenario_Selected, INDEX(Scenario_Table,0,1), INDEX(Scenario_Table,0,2))</f>
        <v/>
      </c>
      <c r="U106" s="11">
        <f t="array" ref="U106">XLOOKUP(Scenario_Selected, INDEX(Scenario_Table,0,1), INDEX(Scenario_Table,0,3))</f>
        <v/>
      </c>
      <c r="V106" s="11">
        <f t="array" ref="V106">XLOOKUP(Scenario_Selected, INDEX(Scenario_Table,0,1), INDEX(Scenario_Table,0,4))</f>
        <v/>
      </c>
      <c r="W106" s="11">
        <f t="array" ref="W106">LET(ev,$J106, ch,$L106, et,$I106, dr,$Q106, hpday,Assumptions!$B$2, hpw,Assumptions!$B$3, w,$M106,hm,INDIRECT("R[0]C[0]",FALSE),hrs, IF(et="Hours", ev, IF(et="Days", ev*IF(dr&gt;0, dr/$P106, hpday), IF(et="FTE", ev*hpw*w, ch))), IF(hrs="", "", hrs*hm))</f>
        <v/>
      </c>
      <c r="X106" s="11">
        <f>IF($P106="","", $P106*INDIRECT("R[0]C[-3]",FALSE))</f>
        <v/>
      </c>
      <c r="Y106" s="11">
        <f>IF(INDIRECT("R[0]C[-1]",FALSE)="","", INDIRECT("R[0]C[-2]",FALSE)*INDIRECT("R[0]C[-1]",FALSE)*(1+INDIRECT("R[0]C[-3]",FALSE)))</f>
        <v/>
      </c>
      <c r="Z106" s="13" t="n"/>
    </row>
    <row r="107" ht="15.75" customHeight="1" s="74">
      <c r="A107" s="11" t="n">
        <v>107</v>
      </c>
      <c r="C107" s="11">
        <f t="array" ref="C107">IFERROR(INDEX(Milestones!$A:$A, MATCH($B107, Milestones!$B:$B, 0)), "")</f>
        <v/>
      </c>
      <c r="D107" s="11">
        <f t="array" ref="D107">IFERROR(INDEX(Milestones!$C:$C, MATCH($B107, Milestones!$B:$B, 0)), "")</f>
        <v/>
      </c>
      <c r="F107" s="11">
        <f t="array" ref="F107">IFERROR(INDEX(Milestones!$E:$E, MATCH($B107, Milestones!$B:$B, 0)), "")</f>
        <v/>
      </c>
      <c r="I107" s="11" t="n"/>
      <c r="J107" s="20" t="n"/>
      <c r="K107" s="11" t="n"/>
      <c r="L107" s="11">
        <f t="array" ref="L107">IF($K107="","", IFERROR(IFS($K107="Low", INDEX('Lookups - Complexity'!$C:$C, MATCH($B107, 'Lookups - Complexity'!$B:$B,0)), $K107="Medium", INDEX('Lookups - Complexity'!$D:$D, MATCH($B107, 'Lookups - Complexity'!$B:$B,0)), $K107="High", INDEX('Lookups - Complexity'!$E:$E, MATCH($B107, 'Lookups - Complexity'!$B:$B,0))), ""))</f>
        <v/>
      </c>
      <c r="M107" s="11">
        <f>IF($I107="FTE", Assumptions!$B$3, "")</f>
        <v/>
      </c>
      <c r="N107" s="11">
        <f t="array" ref="N107">IFERROR(INDEX(Milestones!$F:$F, MATCH($B107, Milestones!$B:$B, 0)), "")</f>
        <v/>
      </c>
      <c r="O107" s="11">
        <f t="array" ref="O107">IFERROR(INDEX(Milestones!$G:$G, MATCH($B107, Milestones!$B:$B, 0)), "")</f>
        <v/>
      </c>
      <c r="P107" s="11">
        <f t="array" ref="P107">IFERROR(INDEX('Lookups - Rates'!$D:$D, MATCH($G107&amp;"|"&amp;$H107, 'Lookups - Rates'!$Z:$Z, 0)), "")</f>
        <v/>
      </c>
      <c r="Q107" s="11">
        <f t="array" ref="Q107">IFERROR(INDEX('Lookups - Rates'!$E:$E, MATCH($G107&amp;"|"&amp;$H107, 'Lookups - Rates'!$Z:$Z, 0)), "")</f>
        <v/>
      </c>
      <c r="R107" s="11">
        <f>LET(ev,$J107, ch,$L107, hr,$P107, dr,$Q107, hpday,Assumptions!$B$2, hpw,Assumptions!$B$3, w,$M107, hrs, IF($I107="Hours", ev, IF($I107="Days", ev*IF(dr&gt;0, dr/hr, hpday), IF($I107="FTE", ev*hpw*w, ch))), IF(hrs="", "", hrs*hr))</f>
        <v/>
      </c>
      <c r="S107" s="13" t="n"/>
      <c r="T107" s="11">
        <f t="array" ref="T107">XLOOKUP(Scenario_Selected, INDEX(Scenario_Table,0,1), INDEX(Scenario_Table,0,2))</f>
        <v/>
      </c>
      <c r="U107" s="11">
        <f t="array" ref="U107">XLOOKUP(Scenario_Selected, INDEX(Scenario_Table,0,1), INDEX(Scenario_Table,0,3))</f>
        <v/>
      </c>
      <c r="V107" s="11">
        <f t="array" ref="V107">XLOOKUP(Scenario_Selected, INDEX(Scenario_Table,0,1), INDEX(Scenario_Table,0,4))</f>
        <v/>
      </c>
      <c r="W107" s="11">
        <f t="array" ref="W107">LET(ev,$J107, ch,$L107, et,$I107, dr,$Q107, hpday,Assumptions!$B$2, hpw,Assumptions!$B$3, w,$M107,hm,INDIRECT("R[0]C[0]",FALSE),hrs, IF(et="Hours", ev, IF(et="Days", ev*IF(dr&gt;0, dr/$P107, hpday), IF(et="FTE", ev*hpw*w, ch))), IF(hrs="", "", hrs*hm))</f>
        <v/>
      </c>
      <c r="X107" s="11">
        <f>IF($P107="","", $P107*INDIRECT("R[0]C[-3]",FALSE))</f>
        <v/>
      </c>
      <c r="Y107" s="11">
        <f>IF(INDIRECT("R[0]C[-1]",FALSE)="","", INDIRECT("R[0]C[-2]",FALSE)*INDIRECT("R[0]C[-1]",FALSE)*(1+INDIRECT("R[0]C[-3]",FALSE)))</f>
        <v/>
      </c>
      <c r="Z107" s="13" t="n"/>
    </row>
    <row r="108" ht="15.75" customHeight="1" s="74">
      <c r="A108" s="11" t="n">
        <v>108</v>
      </c>
      <c r="C108" s="11">
        <f t="array" ref="C108">IFERROR(INDEX(Milestones!$A:$A, MATCH($B108, Milestones!$B:$B, 0)), "")</f>
        <v/>
      </c>
      <c r="D108" s="11">
        <f t="array" ref="D108">IFERROR(INDEX(Milestones!$C:$C, MATCH($B108, Milestones!$B:$B, 0)), "")</f>
        <v/>
      </c>
      <c r="F108" s="11">
        <f t="array" ref="F108">IFERROR(INDEX(Milestones!$E:$E, MATCH($B108, Milestones!$B:$B, 0)), "")</f>
        <v/>
      </c>
      <c r="I108" s="11" t="n"/>
      <c r="J108" s="20" t="n"/>
      <c r="K108" s="11" t="n"/>
      <c r="L108" s="11">
        <f t="array" ref="L108">IF($K108="","", IFERROR(IFS($K108="Low", INDEX('Lookups - Complexity'!$C:$C, MATCH($B108, 'Lookups - Complexity'!$B:$B,0)), $K108="Medium", INDEX('Lookups - Complexity'!$D:$D, MATCH($B108, 'Lookups - Complexity'!$B:$B,0)), $K108="High", INDEX('Lookups - Complexity'!$E:$E, MATCH($B108, 'Lookups - Complexity'!$B:$B,0))), ""))</f>
        <v/>
      </c>
      <c r="M108" s="11">
        <f>IF($I108="FTE", Assumptions!$B$3, "")</f>
        <v/>
      </c>
      <c r="N108" s="11">
        <f t="array" ref="N108">IFERROR(INDEX(Milestones!$F:$F, MATCH($B108, Milestones!$B:$B, 0)), "")</f>
        <v/>
      </c>
      <c r="O108" s="11">
        <f t="array" ref="O108">IFERROR(INDEX(Milestones!$G:$G, MATCH($B108, Milestones!$B:$B, 0)), "")</f>
        <v/>
      </c>
      <c r="P108" s="11">
        <f t="array" ref="P108">IFERROR(INDEX('Lookups - Rates'!$D:$D, MATCH($G108&amp;"|"&amp;$H108, 'Lookups - Rates'!$Z:$Z, 0)), "")</f>
        <v/>
      </c>
      <c r="Q108" s="11">
        <f t="array" ref="Q108">IFERROR(INDEX('Lookups - Rates'!$E:$E, MATCH($G108&amp;"|"&amp;$H108, 'Lookups - Rates'!$Z:$Z, 0)), "")</f>
        <v/>
      </c>
      <c r="R108" s="11">
        <f>LET(ev,$J108, ch,$L108, hr,$P108, dr,$Q108, hpday,Assumptions!$B$2, hpw,Assumptions!$B$3, w,$M108, hrs, IF($I108="Hours", ev, IF($I108="Days", ev*IF(dr&gt;0, dr/hr, hpday), IF($I108="FTE", ev*hpw*w, ch))), IF(hrs="", "", hrs*hr))</f>
        <v/>
      </c>
      <c r="S108" s="13" t="n"/>
      <c r="T108" s="11">
        <f t="array" ref="T108">XLOOKUP(Scenario_Selected, INDEX(Scenario_Table,0,1), INDEX(Scenario_Table,0,2))</f>
        <v/>
      </c>
      <c r="U108" s="11">
        <f t="array" ref="U108">XLOOKUP(Scenario_Selected, INDEX(Scenario_Table,0,1), INDEX(Scenario_Table,0,3))</f>
        <v/>
      </c>
      <c r="V108" s="11">
        <f t="array" ref="V108">XLOOKUP(Scenario_Selected, INDEX(Scenario_Table,0,1), INDEX(Scenario_Table,0,4))</f>
        <v/>
      </c>
      <c r="W108" s="11">
        <f t="array" ref="W108">LET(ev,$J108, ch,$L108, et,$I108, dr,$Q108, hpday,Assumptions!$B$2, hpw,Assumptions!$B$3, w,$M108,hm,INDIRECT("R[0]C[0]",FALSE),hrs, IF(et="Hours", ev, IF(et="Days", ev*IF(dr&gt;0, dr/$P108, hpday), IF(et="FTE", ev*hpw*w, ch))), IF(hrs="", "", hrs*hm))</f>
        <v/>
      </c>
      <c r="X108" s="11">
        <f>IF($P108="","", $P108*INDIRECT("R[0]C[-3]",FALSE))</f>
        <v/>
      </c>
      <c r="Y108" s="11">
        <f>IF(INDIRECT("R[0]C[-1]",FALSE)="","", INDIRECT("R[0]C[-2]",FALSE)*INDIRECT("R[0]C[-1]",FALSE)*(1+INDIRECT("R[0]C[-3]",FALSE)))</f>
        <v/>
      </c>
      <c r="Z108" s="13" t="n"/>
    </row>
    <row r="109" ht="15.75" customHeight="1" s="74">
      <c r="A109" s="11" t="n">
        <v>109</v>
      </c>
      <c r="C109" s="11">
        <f t="array" ref="C109">IFERROR(INDEX(Milestones!$A:$A, MATCH($B109, Milestones!$B:$B, 0)), "")</f>
        <v/>
      </c>
      <c r="D109" s="11">
        <f t="array" ref="D109">IFERROR(INDEX(Milestones!$C:$C, MATCH($B109, Milestones!$B:$B, 0)), "")</f>
        <v/>
      </c>
      <c r="F109" s="11">
        <f t="array" ref="F109">IFERROR(INDEX(Milestones!$E:$E, MATCH($B109, Milestones!$B:$B, 0)), "")</f>
        <v/>
      </c>
      <c r="I109" s="11" t="n"/>
      <c r="J109" s="20" t="n"/>
      <c r="K109" s="11" t="n"/>
      <c r="L109" s="11">
        <f t="array" ref="L109">IF($K109="","", IFERROR(IFS($K109="Low", INDEX('Lookups - Complexity'!$C:$C, MATCH($B109, 'Lookups - Complexity'!$B:$B,0)), $K109="Medium", INDEX('Lookups - Complexity'!$D:$D, MATCH($B109, 'Lookups - Complexity'!$B:$B,0)), $K109="High", INDEX('Lookups - Complexity'!$E:$E, MATCH($B109, 'Lookups - Complexity'!$B:$B,0))), ""))</f>
        <v/>
      </c>
      <c r="M109" s="11">
        <f>IF($I109="FTE", Assumptions!$B$3, "")</f>
        <v/>
      </c>
      <c r="N109" s="11">
        <f t="array" ref="N109">IFERROR(INDEX(Milestones!$F:$F, MATCH($B109, Milestones!$B:$B, 0)), "")</f>
        <v/>
      </c>
      <c r="O109" s="11">
        <f t="array" ref="O109">IFERROR(INDEX(Milestones!$G:$G, MATCH($B109, Milestones!$B:$B, 0)), "")</f>
        <v/>
      </c>
      <c r="P109" s="11">
        <f t="array" ref="P109">IFERROR(INDEX('Lookups - Rates'!$D:$D, MATCH($G109&amp;"|"&amp;$H109, 'Lookups - Rates'!$Z:$Z, 0)), "")</f>
        <v/>
      </c>
      <c r="Q109" s="11">
        <f t="array" ref="Q109">IFERROR(INDEX('Lookups - Rates'!$E:$E, MATCH($G109&amp;"|"&amp;$H109, 'Lookups - Rates'!$Z:$Z, 0)), "")</f>
        <v/>
      </c>
      <c r="R109" s="11">
        <f>LET(ev,$J109, ch,$L109, hr,$P109, dr,$Q109, hpday,Assumptions!$B$2, hpw,Assumptions!$B$3, w,$M109, hrs, IF($I109="Hours", ev, IF($I109="Days", ev*IF(dr&gt;0, dr/hr, hpday), IF($I109="FTE", ev*hpw*w, ch))), IF(hrs="", "", hrs*hr))</f>
        <v/>
      </c>
      <c r="S109" s="13" t="n"/>
      <c r="T109" s="11">
        <f t="array" ref="T109">XLOOKUP(Scenario_Selected, INDEX(Scenario_Table,0,1), INDEX(Scenario_Table,0,2))</f>
        <v/>
      </c>
      <c r="U109" s="11">
        <f t="array" ref="U109">XLOOKUP(Scenario_Selected, INDEX(Scenario_Table,0,1), INDEX(Scenario_Table,0,3))</f>
        <v/>
      </c>
      <c r="V109" s="11">
        <f t="array" ref="V109">XLOOKUP(Scenario_Selected, INDEX(Scenario_Table,0,1), INDEX(Scenario_Table,0,4))</f>
        <v/>
      </c>
      <c r="W109" s="11">
        <f t="array" ref="W109">LET(ev,$J109, ch,$L109, et,$I109, dr,$Q109, hpday,Assumptions!$B$2, hpw,Assumptions!$B$3, w,$M109,hm,INDIRECT("R[0]C[0]",FALSE),hrs, IF(et="Hours", ev, IF(et="Days", ev*IF(dr&gt;0, dr/$P109, hpday), IF(et="FTE", ev*hpw*w, ch))), IF(hrs="", "", hrs*hm))</f>
        <v/>
      </c>
      <c r="X109" s="11">
        <f>IF($P109="","", $P109*INDIRECT("R[0]C[-3]",FALSE))</f>
        <v/>
      </c>
      <c r="Y109" s="11">
        <f>IF(INDIRECT("R[0]C[-1]",FALSE)="","", INDIRECT("R[0]C[-2]",FALSE)*INDIRECT("R[0]C[-1]",FALSE)*(1+INDIRECT("R[0]C[-3]",FALSE)))</f>
        <v/>
      </c>
      <c r="Z109" s="13" t="n"/>
    </row>
    <row r="110" ht="15.75" customHeight="1" s="74">
      <c r="A110" s="11" t="n">
        <v>110</v>
      </c>
      <c r="C110" s="11">
        <f t="array" ref="C110">IFERROR(INDEX(Milestones!$A:$A, MATCH($B110, Milestones!$B:$B, 0)), "")</f>
        <v/>
      </c>
      <c r="D110" s="11">
        <f t="array" ref="D110">IFERROR(INDEX(Milestones!$C:$C, MATCH($B110, Milestones!$B:$B, 0)), "")</f>
        <v/>
      </c>
      <c r="F110" s="11">
        <f t="array" ref="F110">IFERROR(INDEX(Milestones!$E:$E, MATCH($B110, Milestones!$B:$B, 0)), "")</f>
        <v/>
      </c>
      <c r="I110" s="11" t="n"/>
      <c r="J110" s="20" t="n"/>
      <c r="K110" s="11" t="n"/>
      <c r="L110" s="11">
        <f t="array" ref="L110">IF($K110="","", IFERROR(IFS($K110="Low", INDEX('Lookups - Complexity'!$C:$C, MATCH($B110, 'Lookups - Complexity'!$B:$B,0)), $K110="Medium", INDEX('Lookups - Complexity'!$D:$D, MATCH($B110, 'Lookups - Complexity'!$B:$B,0)), $K110="High", INDEX('Lookups - Complexity'!$E:$E, MATCH($B110, 'Lookups - Complexity'!$B:$B,0))), ""))</f>
        <v/>
      </c>
      <c r="M110" s="11">
        <f>IF($I110="FTE", Assumptions!$B$3, "")</f>
        <v/>
      </c>
      <c r="N110" s="11">
        <f t="array" ref="N110">IFERROR(INDEX(Milestones!$F:$F, MATCH($B110, Milestones!$B:$B, 0)), "")</f>
        <v/>
      </c>
      <c r="O110" s="11">
        <f t="array" ref="O110">IFERROR(INDEX(Milestones!$G:$G, MATCH($B110, Milestones!$B:$B, 0)), "")</f>
        <v/>
      </c>
      <c r="P110" s="11">
        <f t="array" ref="P110">IFERROR(INDEX('Lookups - Rates'!$D:$D, MATCH($G110&amp;"|"&amp;$H110, 'Lookups - Rates'!$Z:$Z, 0)), "")</f>
        <v/>
      </c>
      <c r="Q110" s="11">
        <f t="array" ref="Q110">IFERROR(INDEX('Lookups - Rates'!$E:$E, MATCH($G110&amp;"|"&amp;$H110, 'Lookups - Rates'!$Z:$Z, 0)), "")</f>
        <v/>
      </c>
      <c r="R110" s="11">
        <f>LET(ev,$J110, ch,$L110, hr,$P110, dr,$Q110, hpday,Assumptions!$B$2, hpw,Assumptions!$B$3, w,$M110, hrs, IF($I110="Hours", ev, IF($I110="Days", ev*IF(dr&gt;0, dr/hr, hpday), IF($I110="FTE", ev*hpw*w, ch))), IF(hrs="", "", hrs*hr))</f>
        <v/>
      </c>
      <c r="S110" s="13" t="n"/>
      <c r="T110" s="11">
        <f t="array" ref="T110">XLOOKUP(Scenario_Selected, INDEX(Scenario_Table,0,1), INDEX(Scenario_Table,0,2))</f>
        <v/>
      </c>
      <c r="U110" s="11">
        <f t="array" ref="U110">XLOOKUP(Scenario_Selected, INDEX(Scenario_Table,0,1), INDEX(Scenario_Table,0,3))</f>
        <v/>
      </c>
      <c r="V110" s="11">
        <f t="array" ref="V110">XLOOKUP(Scenario_Selected, INDEX(Scenario_Table,0,1), INDEX(Scenario_Table,0,4))</f>
        <v/>
      </c>
      <c r="W110" s="11">
        <f t="array" ref="W110">LET(ev,$J110, ch,$L110, et,$I110, dr,$Q110, hpday,Assumptions!$B$2, hpw,Assumptions!$B$3, w,$M110,hm,INDIRECT("R[0]C[0]",FALSE),hrs, IF(et="Hours", ev, IF(et="Days", ev*IF(dr&gt;0, dr/$P110, hpday), IF(et="FTE", ev*hpw*w, ch))), IF(hrs="", "", hrs*hm))</f>
        <v/>
      </c>
      <c r="X110" s="11">
        <f>IF($P110="","", $P110*INDIRECT("R[0]C[-3]",FALSE))</f>
        <v/>
      </c>
      <c r="Y110" s="11">
        <f>IF(INDIRECT("R[0]C[-1]",FALSE)="","", INDIRECT("R[0]C[-2]",FALSE)*INDIRECT("R[0]C[-1]",FALSE)*(1+INDIRECT("R[0]C[-3]",FALSE)))</f>
        <v/>
      </c>
      <c r="Z110" s="13" t="n"/>
    </row>
    <row r="111" ht="15.75" customHeight="1" s="74">
      <c r="A111" s="11" t="n">
        <v>111</v>
      </c>
      <c r="C111" s="11">
        <f t="array" ref="C111">IFERROR(INDEX(Milestones!$A:$A, MATCH($B111, Milestones!$B:$B, 0)), "")</f>
        <v/>
      </c>
      <c r="D111" s="11">
        <f t="array" ref="D111">IFERROR(INDEX(Milestones!$C:$C, MATCH($B111, Milestones!$B:$B, 0)), "")</f>
        <v/>
      </c>
      <c r="F111" s="11">
        <f t="array" ref="F111">IFERROR(INDEX(Milestones!$E:$E, MATCH($B111, Milestones!$B:$B, 0)), "")</f>
        <v/>
      </c>
      <c r="I111" s="11" t="n"/>
      <c r="J111" s="20" t="n"/>
      <c r="K111" s="11" t="n"/>
      <c r="L111" s="11">
        <f t="array" ref="L111">IF($K111="","", IFERROR(IFS($K111="Low", INDEX('Lookups - Complexity'!$C:$C, MATCH($B111, 'Lookups - Complexity'!$B:$B,0)), $K111="Medium", INDEX('Lookups - Complexity'!$D:$D, MATCH($B111, 'Lookups - Complexity'!$B:$B,0)), $K111="High", INDEX('Lookups - Complexity'!$E:$E, MATCH($B111, 'Lookups - Complexity'!$B:$B,0))), ""))</f>
        <v/>
      </c>
      <c r="M111" s="11">
        <f>IF($I111="FTE", Assumptions!$B$3, "")</f>
        <v/>
      </c>
      <c r="N111" s="11">
        <f t="array" ref="N111">IFERROR(INDEX(Milestones!$F:$F, MATCH($B111, Milestones!$B:$B, 0)), "")</f>
        <v/>
      </c>
      <c r="O111" s="11">
        <f t="array" ref="O111">IFERROR(INDEX(Milestones!$G:$G, MATCH($B111, Milestones!$B:$B, 0)), "")</f>
        <v/>
      </c>
      <c r="P111" s="11">
        <f t="array" ref="P111">IFERROR(INDEX('Lookups - Rates'!$D:$D, MATCH($G111&amp;"|"&amp;$H111, 'Lookups - Rates'!$Z:$Z, 0)), "")</f>
        <v/>
      </c>
      <c r="Q111" s="11">
        <f t="array" ref="Q111">IFERROR(INDEX('Lookups - Rates'!$E:$E, MATCH($G111&amp;"|"&amp;$H111, 'Lookups - Rates'!$Z:$Z, 0)), "")</f>
        <v/>
      </c>
      <c r="R111" s="11">
        <f>LET(ev,$J111, ch,$L111, hr,$P111, dr,$Q111, hpday,Assumptions!$B$2, hpw,Assumptions!$B$3, w,$M111, hrs, IF($I111="Hours", ev, IF($I111="Days", ev*IF(dr&gt;0, dr/hr, hpday), IF($I111="FTE", ev*hpw*w, ch))), IF(hrs="", "", hrs*hr))</f>
        <v/>
      </c>
      <c r="S111" s="13" t="n"/>
      <c r="T111" s="11">
        <f t="array" ref="T111">XLOOKUP(Scenario_Selected, INDEX(Scenario_Table,0,1), INDEX(Scenario_Table,0,2))</f>
        <v/>
      </c>
      <c r="U111" s="11">
        <f t="array" ref="U111">XLOOKUP(Scenario_Selected, INDEX(Scenario_Table,0,1), INDEX(Scenario_Table,0,3))</f>
        <v/>
      </c>
      <c r="V111" s="11">
        <f t="array" ref="V111">XLOOKUP(Scenario_Selected, INDEX(Scenario_Table,0,1), INDEX(Scenario_Table,0,4))</f>
        <v/>
      </c>
      <c r="W111" s="11">
        <f t="array" ref="W111">LET(ev,$J111, ch,$L111, et,$I111, dr,$Q111, hpday,Assumptions!$B$2, hpw,Assumptions!$B$3, w,$M111,hm,INDIRECT("R[0]C[0]",FALSE),hrs, IF(et="Hours", ev, IF(et="Days", ev*IF(dr&gt;0, dr/$P111, hpday), IF(et="FTE", ev*hpw*w, ch))), IF(hrs="", "", hrs*hm))</f>
        <v/>
      </c>
      <c r="X111" s="11">
        <f>IF($P111="","", $P111*INDIRECT("R[0]C[-3]",FALSE))</f>
        <v/>
      </c>
      <c r="Y111" s="11">
        <f>IF(INDIRECT("R[0]C[-1]",FALSE)="","", INDIRECT("R[0]C[-2]",FALSE)*INDIRECT("R[0]C[-1]",FALSE)*(1+INDIRECT("R[0]C[-3]",FALSE)))</f>
        <v/>
      </c>
      <c r="Z111" s="13" t="n"/>
    </row>
    <row r="112" ht="15.75" customHeight="1" s="74">
      <c r="A112" s="11" t="n">
        <v>112</v>
      </c>
      <c r="C112" s="11">
        <f t="array" ref="C112">IFERROR(INDEX(Milestones!$A:$A, MATCH($B112, Milestones!$B:$B, 0)), "")</f>
        <v/>
      </c>
      <c r="D112" s="11">
        <f t="array" ref="D112">IFERROR(INDEX(Milestones!$C:$C, MATCH($B112, Milestones!$B:$B, 0)), "")</f>
        <v/>
      </c>
      <c r="F112" s="11">
        <f t="array" ref="F112">IFERROR(INDEX(Milestones!$E:$E, MATCH($B112, Milestones!$B:$B, 0)), "")</f>
        <v/>
      </c>
      <c r="I112" s="11" t="n"/>
      <c r="J112" s="20" t="n"/>
      <c r="K112" s="11" t="n"/>
      <c r="L112" s="11">
        <f t="array" ref="L112">IF($K112="","", IFERROR(IFS($K112="Low", INDEX('Lookups - Complexity'!$C:$C, MATCH($B112, 'Lookups - Complexity'!$B:$B,0)), $K112="Medium", INDEX('Lookups - Complexity'!$D:$D, MATCH($B112, 'Lookups - Complexity'!$B:$B,0)), $K112="High", INDEX('Lookups - Complexity'!$E:$E, MATCH($B112, 'Lookups - Complexity'!$B:$B,0))), ""))</f>
        <v/>
      </c>
      <c r="M112" s="11">
        <f>IF($I112="FTE", Assumptions!$B$3, "")</f>
        <v/>
      </c>
      <c r="N112" s="11">
        <f t="array" ref="N112">IFERROR(INDEX(Milestones!$F:$F, MATCH($B112, Milestones!$B:$B, 0)), "")</f>
        <v/>
      </c>
      <c r="O112" s="11">
        <f t="array" ref="O112">IFERROR(INDEX(Milestones!$G:$G, MATCH($B112, Milestones!$B:$B, 0)), "")</f>
        <v/>
      </c>
      <c r="P112" s="11">
        <f t="array" ref="P112">IFERROR(INDEX('Lookups - Rates'!$D:$D, MATCH($G112&amp;"|"&amp;$H112, 'Lookups - Rates'!$Z:$Z, 0)), "")</f>
        <v/>
      </c>
      <c r="Q112" s="11">
        <f t="array" ref="Q112">IFERROR(INDEX('Lookups - Rates'!$E:$E, MATCH($G112&amp;"|"&amp;$H112, 'Lookups - Rates'!$Z:$Z, 0)), "")</f>
        <v/>
      </c>
      <c r="R112" s="11">
        <f>LET(ev,$J112, ch,$L112, hr,$P112, dr,$Q112, hpday,Assumptions!$B$2, hpw,Assumptions!$B$3, w,$M112, hrs, IF($I112="Hours", ev, IF($I112="Days", ev*IF(dr&gt;0, dr/hr, hpday), IF($I112="FTE", ev*hpw*w, ch))), IF(hrs="", "", hrs*hr))</f>
        <v/>
      </c>
      <c r="S112" s="13" t="n"/>
      <c r="T112" s="11">
        <f t="array" ref="T112">XLOOKUP(Scenario_Selected, INDEX(Scenario_Table,0,1), INDEX(Scenario_Table,0,2))</f>
        <v/>
      </c>
      <c r="U112" s="11">
        <f t="array" ref="U112">XLOOKUP(Scenario_Selected, INDEX(Scenario_Table,0,1), INDEX(Scenario_Table,0,3))</f>
        <v/>
      </c>
      <c r="V112" s="11">
        <f t="array" ref="V112">XLOOKUP(Scenario_Selected, INDEX(Scenario_Table,0,1), INDEX(Scenario_Table,0,4))</f>
        <v/>
      </c>
      <c r="W112" s="11">
        <f t="array" ref="W112">LET(ev,$J112, ch,$L112, et,$I112, dr,$Q112, hpday,Assumptions!$B$2, hpw,Assumptions!$B$3, w,$M112,hm,INDIRECT("R[0]C[0]",FALSE),hrs, IF(et="Hours", ev, IF(et="Days", ev*IF(dr&gt;0, dr/$P112, hpday), IF(et="FTE", ev*hpw*w, ch))), IF(hrs="", "", hrs*hm))</f>
        <v/>
      </c>
      <c r="X112" s="11">
        <f>IF($P112="","", $P112*INDIRECT("R[0]C[-3]",FALSE))</f>
        <v/>
      </c>
      <c r="Y112" s="11">
        <f>IF(INDIRECT("R[0]C[-1]",FALSE)="","", INDIRECT("R[0]C[-2]",FALSE)*INDIRECT("R[0]C[-1]",FALSE)*(1+INDIRECT("R[0]C[-3]",FALSE)))</f>
        <v/>
      </c>
      <c r="Z112" s="13" t="n"/>
    </row>
    <row r="113" ht="15.75" customHeight="1" s="74">
      <c r="A113" s="11" t="n">
        <v>113</v>
      </c>
      <c r="C113" s="11">
        <f t="array" ref="C113">IFERROR(INDEX(Milestones!$A:$A, MATCH($B113, Milestones!$B:$B, 0)), "")</f>
        <v/>
      </c>
      <c r="D113" s="11">
        <f t="array" ref="D113">IFERROR(INDEX(Milestones!$C:$C, MATCH($B113, Milestones!$B:$B, 0)), "")</f>
        <v/>
      </c>
      <c r="F113" s="11">
        <f t="array" ref="F113">IFERROR(INDEX(Milestones!$E:$E, MATCH($B113, Milestones!$B:$B, 0)), "")</f>
        <v/>
      </c>
      <c r="I113" s="11" t="n"/>
      <c r="J113" s="20" t="n"/>
      <c r="K113" s="11" t="n"/>
      <c r="L113" s="11">
        <f t="array" ref="L113">IF($K113="","", IFERROR(IFS($K113="Low", INDEX('Lookups - Complexity'!$C:$C, MATCH($B113, 'Lookups - Complexity'!$B:$B,0)), $K113="Medium", INDEX('Lookups - Complexity'!$D:$D, MATCH($B113, 'Lookups - Complexity'!$B:$B,0)), $K113="High", INDEX('Lookups - Complexity'!$E:$E, MATCH($B113, 'Lookups - Complexity'!$B:$B,0))), ""))</f>
        <v/>
      </c>
      <c r="M113" s="11">
        <f>IF($I113="FTE", Assumptions!$B$3, "")</f>
        <v/>
      </c>
      <c r="N113" s="11">
        <f t="array" ref="N113">IFERROR(INDEX(Milestones!$F:$F, MATCH($B113, Milestones!$B:$B, 0)), "")</f>
        <v/>
      </c>
      <c r="O113" s="11">
        <f t="array" ref="O113">IFERROR(INDEX(Milestones!$G:$G, MATCH($B113, Milestones!$B:$B, 0)), "")</f>
        <v/>
      </c>
      <c r="P113" s="11">
        <f t="array" ref="P113">IFERROR(INDEX('Lookups - Rates'!$D:$D, MATCH($G113&amp;"|"&amp;$H113, 'Lookups - Rates'!$Z:$Z, 0)), "")</f>
        <v/>
      </c>
      <c r="Q113" s="11">
        <f t="array" ref="Q113">IFERROR(INDEX('Lookups - Rates'!$E:$E, MATCH($G113&amp;"|"&amp;$H113, 'Lookups - Rates'!$Z:$Z, 0)), "")</f>
        <v/>
      </c>
      <c r="R113" s="11">
        <f>LET(ev,$J113, ch,$L113, hr,$P113, dr,$Q113, hpday,Assumptions!$B$2, hpw,Assumptions!$B$3, w,$M113, hrs, IF($I113="Hours", ev, IF($I113="Days", ev*IF(dr&gt;0, dr/hr, hpday), IF($I113="FTE", ev*hpw*w, ch))), IF(hrs="", "", hrs*hr))</f>
        <v/>
      </c>
      <c r="S113" s="13" t="n"/>
      <c r="T113" s="11">
        <f t="array" ref="T113">XLOOKUP(Scenario_Selected, INDEX(Scenario_Table,0,1), INDEX(Scenario_Table,0,2))</f>
        <v/>
      </c>
      <c r="U113" s="11">
        <f t="array" ref="U113">XLOOKUP(Scenario_Selected, INDEX(Scenario_Table,0,1), INDEX(Scenario_Table,0,3))</f>
        <v/>
      </c>
      <c r="V113" s="11">
        <f t="array" ref="V113">XLOOKUP(Scenario_Selected, INDEX(Scenario_Table,0,1), INDEX(Scenario_Table,0,4))</f>
        <v/>
      </c>
      <c r="W113" s="11">
        <f t="array" ref="W113">LET(ev,$J113, ch,$L113, et,$I113, dr,$Q113, hpday,Assumptions!$B$2, hpw,Assumptions!$B$3, w,$M113,hm,INDIRECT("R[0]C[0]",FALSE),hrs, IF(et="Hours", ev, IF(et="Days", ev*IF(dr&gt;0, dr/$P113, hpday), IF(et="FTE", ev*hpw*w, ch))), IF(hrs="", "", hrs*hm))</f>
        <v/>
      </c>
      <c r="X113" s="11">
        <f>IF($P113="","", $P113*INDIRECT("R[0]C[-3]",FALSE))</f>
        <v/>
      </c>
      <c r="Y113" s="11">
        <f>IF(INDIRECT("R[0]C[-1]",FALSE)="","", INDIRECT("R[0]C[-2]",FALSE)*INDIRECT("R[0]C[-1]",FALSE)*(1+INDIRECT("R[0]C[-3]",FALSE)))</f>
        <v/>
      </c>
      <c r="Z113" s="13" t="n"/>
    </row>
    <row r="114" ht="15.75" customHeight="1" s="74">
      <c r="A114" s="11" t="n">
        <v>114</v>
      </c>
      <c r="C114" s="11">
        <f t="array" ref="C114">IFERROR(INDEX(Milestones!$A:$A, MATCH($B114, Milestones!$B:$B, 0)), "")</f>
        <v/>
      </c>
      <c r="D114" s="11">
        <f t="array" ref="D114">IFERROR(INDEX(Milestones!$C:$C, MATCH($B114, Milestones!$B:$B, 0)), "")</f>
        <v/>
      </c>
      <c r="F114" s="11">
        <f t="array" ref="F114">IFERROR(INDEX(Milestones!$E:$E, MATCH($B114, Milestones!$B:$B, 0)), "")</f>
        <v/>
      </c>
      <c r="I114" s="11" t="n"/>
      <c r="J114" s="20" t="n"/>
      <c r="K114" s="11" t="n"/>
      <c r="L114" s="11">
        <f t="array" ref="L114">IF($K114="","", IFERROR(IFS($K114="Low", INDEX('Lookups - Complexity'!$C:$C, MATCH($B114, 'Lookups - Complexity'!$B:$B,0)), $K114="Medium", INDEX('Lookups - Complexity'!$D:$D, MATCH($B114, 'Lookups - Complexity'!$B:$B,0)), $K114="High", INDEX('Lookups - Complexity'!$E:$E, MATCH($B114, 'Lookups - Complexity'!$B:$B,0))), ""))</f>
        <v/>
      </c>
      <c r="M114" s="11">
        <f>IF($I114="FTE", Assumptions!$B$3, "")</f>
        <v/>
      </c>
      <c r="N114" s="11">
        <f t="array" ref="N114">IFERROR(INDEX(Milestones!$F:$F, MATCH($B114, Milestones!$B:$B, 0)), "")</f>
        <v/>
      </c>
      <c r="O114" s="11">
        <f t="array" ref="O114">IFERROR(INDEX(Milestones!$G:$G, MATCH($B114, Milestones!$B:$B, 0)), "")</f>
        <v/>
      </c>
      <c r="P114" s="11">
        <f t="array" ref="P114">IFERROR(INDEX('Lookups - Rates'!$D:$D, MATCH($G114&amp;"|"&amp;$H114, 'Lookups - Rates'!$Z:$Z, 0)), "")</f>
        <v/>
      </c>
      <c r="Q114" s="11">
        <f t="array" ref="Q114">IFERROR(INDEX('Lookups - Rates'!$E:$E, MATCH($G114&amp;"|"&amp;$H114, 'Lookups - Rates'!$Z:$Z, 0)), "")</f>
        <v/>
      </c>
      <c r="R114" s="11">
        <f>LET(ev,$J114, ch,$L114, hr,$P114, dr,$Q114, hpday,Assumptions!$B$2, hpw,Assumptions!$B$3, w,$M114, hrs, IF($I114="Hours", ev, IF($I114="Days", ev*IF(dr&gt;0, dr/hr, hpday), IF($I114="FTE", ev*hpw*w, ch))), IF(hrs="", "", hrs*hr))</f>
        <v/>
      </c>
      <c r="S114" s="13" t="n"/>
      <c r="T114" s="11">
        <f t="array" ref="T114">XLOOKUP(Scenario_Selected, INDEX(Scenario_Table,0,1), INDEX(Scenario_Table,0,2))</f>
        <v/>
      </c>
      <c r="U114" s="11">
        <f t="array" ref="U114">XLOOKUP(Scenario_Selected, INDEX(Scenario_Table,0,1), INDEX(Scenario_Table,0,3))</f>
        <v/>
      </c>
      <c r="V114" s="11">
        <f t="array" ref="V114">XLOOKUP(Scenario_Selected, INDEX(Scenario_Table,0,1), INDEX(Scenario_Table,0,4))</f>
        <v/>
      </c>
      <c r="W114" s="11">
        <f t="array" ref="W114">LET(ev,$J114, ch,$L114, et,$I114, dr,$Q114, hpday,Assumptions!$B$2, hpw,Assumptions!$B$3, w,$M114,hm,INDIRECT("R[0]C[0]",FALSE),hrs, IF(et="Hours", ev, IF(et="Days", ev*IF(dr&gt;0, dr/$P114, hpday), IF(et="FTE", ev*hpw*w, ch))), IF(hrs="", "", hrs*hm))</f>
        <v/>
      </c>
      <c r="X114" s="11">
        <f>IF($P114="","", $P114*INDIRECT("R[0]C[-3]",FALSE))</f>
        <v/>
      </c>
      <c r="Y114" s="11">
        <f>IF(INDIRECT("R[0]C[-1]",FALSE)="","", INDIRECT("R[0]C[-2]",FALSE)*INDIRECT("R[0]C[-1]",FALSE)*(1+INDIRECT("R[0]C[-3]",FALSE)))</f>
        <v/>
      </c>
      <c r="Z114" s="13" t="n"/>
    </row>
    <row r="115" ht="15.75" customHeight="1" s="74">
      <c r="A115" s="11" t="n">
        <v>115</v>
      </c>
      <c r="C115" s="11">
        <f t="array" ref="C115">IFERROR(INDEX(Milestones!$A:$A, MATCH($B115, Milestones!$B:$B, 0)), "")</f>
        <v/>
      </c>
      <c r="D115" s="11">
        <f t="array" ref="D115">IFERROR(INDEX(Milestones!$C:$C, MATCH($B115, Milestones!$B:$B, 0)), "")</f>
        <v/>
      </c>
      <c r="F115" s="11">
        <f t="array" ref="F115">IFERROR(INDEX(Milestones!$E:$E, MATCH($B115, Milestones!$B:$B, 0)), "")</f>
        <v/>
      </c>
      <c r="I115" s="11" t="n"/>
      <c r="J115" s="20" t="n"/>
      <c r="K115" s="11" t="n"/>
      <c r="L115" s="11">
        <f t="array" ref="L115">IF($K115="","", IFERROR(IFS($K115="Low", INDEX('Lookups - Complexity'!$C:$C, MATCH($B115, 'Lookups - Complexity'!$B:$B,0)), $K115="Medium", INDEX('Lookups - Complexity'!$D:$D, MATCH($B115, 'Lookups - Complexity'!$B:$B,0)), $K115="High", INDEX('Lookups - Complexity'!$E:$E, MATCH($B115, 'Lookups - Complexity'!$B:$B,0))), ""))</f>
        <v/>
      </c>
      <c r="M115" s="11">
        <f>IF($I115="FTE", Assumptions!$B$3, "")</f>
        <v/>
      </c>
      <c r="N115" s="11">
        <f t="array" ref="N115">IFERROR(INDEX(Milestones!$F:$F, MATCH($B115, Milestones!$B:$B, 0)), "")</f>
        <v/>
      </c>
      <c r="O115" s="11">
        <f t="array" ref="O115">IFERROR(INDEX(Milestones!$G:$G, MATCH($B115, Milestones!$B:$B, 0)), "")</f>
        <v/>
      </c>
      <c r="P115" s="11">
        <f t="array" ref="P115">IFERROR(INDEX('Lookups - Rates'!$D:$D, MATCH($G115&amp;"|"&amp;$H115, 'Lookups - Rates'!$Z:$Z, 0)), "")</f>
        <v/>
      </c>
      <c r="Q115" s="11">
        <f t="array" ref="Q115">IFERROR(INDEX('Lookups - Rates'!$E:$E, MATCH($G115&amp;"|"&amp;$H115, 'Lookups - Rates'!$Z:$Z, 0)), "")</f>
        <v/>
      </c>
      <c r="R115" s="11">
        <f>LET(ev,$J115, ch,$L115, hr,$P115, dr,$Q115, hpday,Assumptions!$B$2, hpw,Assumptions!$B$3, w,$M115, hrs, IF($I115="Hours", ev, IF($I115="Days", ev*IF(dr&gt;0, dr/hr, hpday), IF($I115="FTE", ev*hpw*w, ch))), IF(hrs="", "", hrs*hr))</f>
        <v/>
      </c>
      <c r="S115" s="13" t="n"/>
      <c r="T115" s="11">
        <f t="array" ref="T115">XLOOKUP(Scenario_Selected, INDEX(Scenario_Table,0,1), INDEX(Scenario_Table,0,2))</f>
        <v/>
      </c>
      <c r="U115" s="11">
        <f t="array" ref="U115">XLOOKUP(Scenario_Selected, INDEX(Scenario_Table,0,1), INDEX(Scenario_Table,0,3))</f>
        <v/>
      </c>
      <c r="V115" s="11">
        <f t="array" ref="V115">XLOOKUP(Scenario_Selected, INDEX(Scenario_Table,0,1), INDEX(Scenario_Table,0,4))</f>
        <v/>
      </c>
      <c r="W115" s="11">
        <f t="array" ref="W115">LET(ev,$J115, ch,$L115, et,$I115, dr,$Q115, hpday,Assumptions!$B$2, hpw,Assumptions!$B$3, w,$M115,hm,INDIRECT("R[0]C[0]",FALSE),hrs, IF(et="Hours", ev, IF(et="Days", ev*IF(dr&gt;0, dr/$P115, hpday), IF(et="FTE", ev*hpw*w, ch))), IF(hrs="", "", hrs*hm))</f>
        <v/>
      </c>
      <c r="X115" s="11">
        <f>IF($P115="","", $P115*INDIRECT("R[0]C[-3]",FALSE))</f>
        <v/>
      </c>
      <c r="Y115" s="11">
        <f>IF(INDIRECT("R[0]C[-1]",FALSE)="","", INDIRECT("R[0]C[-2]",FALSE)*INDIRECT("R[0]C[-1]",FALSE)*(1+INDIRECT("R[0]C[-3]",FALSE)))</f>
        <v/>
      </c>
      <c r="Z115" s="13" t="n"/>
    </row>
    <row r="116" ht="15.75" customHeight="1" s="74">
      <c r="A116" s="11" t="n">
        <v>116</v>
      </c>
      <c r="C116" s="11">
        <f t="array" ref="C116">IFERROR(INDEX(Milestones!$A:$A, MATCH($B116, Milestones!$B:$B, 0)), "")</f>
        <v/>
      </c>
      <c r="D116" s="11">
        <f t="array" ref="D116">IFERROR(INDEX(Milestones!$C:$C, MATCH($B116, Milestones!$B:$B, 0)), "")</f>
        <v/>
      </c>
      <c r="F116" s="11">
        <f t="array" ref="F116">IFERROR(INDEX(Milestones!$E:$E, MATCH($B116, Milestones!$B:$B, 0)), "")</f>
        <v/>
      </c>
      <c r="I116" s="11" t="n"/>
      <c r="J116" s="20" t="n"/>
      <c r="K116" s="11" t="n"/>
      <c r="L116" s="11">
        <f t="array" ref="L116">IF($K116="","", IFERROR(IFS($K116="Low", INDEX('Lookups - Complexity'!$C:$C, MATCH($B116, 'Lookups - Complexity'!$B:$B,0)), $K116="Medium", INDEX('Lookups - Complexity'!$D:$D, MATCH($B116, 'Lookups - Complexity'!$B:$B,0)), $K116="High", INDEX('Lookups - Complexity'!$E:$E, MATCH($B116, 'Lookups - Complexity'!$B:$B,0))), ""))</f>
        <v/>
      </c>
      <c r="M116" s="11">
        <f>IF($I116="FTE", Assumptions!$B$3, "")</f>
        <v/>
      </c>
      <c r="N116" s="11">
        <f t="array" ref="N116">IFERROR(INDEX(Milestones!$F:$F, MATCH($B116, Milestones!$B:$B, 0)), "")</f>
        <v/>
      </c>
      <c r="O116" s="11">
        <f t="array" ref="O116">IFERROR(INDEX(Milestones!$G:$G, MATCH($B116, Milestones!$B:$B, 0)), "")</f>
        <v/>
      </c>
      <c r="P116" s="11">
        <f t="array" ref="P116">IFERROR(INDEX('Lookups - Rates'!$D:$D, MATCH($G116&amp;"|"&amp;$H116, 'Lookups - Rates'!$Z:$Z, 0)), "")</f>
        <v/>
      </c>
      <c r="Q116" s="11">
        <f t="array" ref="Q116">IFERROR(INDEX('Lookups - Rates'!$E:$E, MATCH($G116&amp;"|"&amp;$H116, 'Lookups - Rates'!$Z:$Z, 0)), "")</f>
        <v/>
      </c>
      <c r="R116" s="11">
        <f>LET(ev,$J116, ch,$L116, hr,$P116, dr,$Q116, hpday,Assumptions!$B$2, hpw,Assumptions!$B$3, w,$M116, hrs, IF($I116="Hours", ev, IF($I116="Days", ev*IF(dr&gt;0, dr/hr, hpday), IF($I116="FTE", ev*hpw*w, ch))), IF(hrs="", "", hrs*hr))</f>
        <v/>
      </c>
      <c r="S116" s="13" t="n"/>
      <c r="T116" s="11">
        <f t="array" ref="T116">XLOOKUP(Scenario_Selected, INDEX(Scenario_Table,0,1), INDEX(Scenario_Table,0,2))</f>
        <v/>
      </c>
      <c r="U116" s="11">
        <f t="array" ref="U116">XLOOKUP(Scenario_Selected, INDEX(Scenario_Table,0,1), INDEX(Scenario_Table,0,3))</f>
        <v/>
      </c>
      <c r="V116" s="11">
        <f t="array" ref="V116">XLOOKUP(Scenario_Selected, INDEX(Scenario_Table,0,1), INDEX(Scenario_Table,0,4))</f>
        <v/>
      </c>
      <c r="W116" s="11">
        <f t="array" ref="W116">LET(ev,$J116, ch,$L116, et,$I116, dr,$Q116, hpday,Assumptions!$B$2, hpw,Assumptions!$B$3, w,$M116,hm,INDIRECT("R[0]C[0]",FALSE),hrs, IF(et="Hours", ev, IF(et="Days", ev*IF(dr&gt;0, dr/$P116, hpday), IF(et="FTE", ev*hpw*w, ch))), IF(hrs="", "", hrs*hm))</f>
        <v/>
      </c>
      <c r="X116" s="11">
        <f>IF($P116="","", $P116*INDIRECT("R[0]C[-3]",FALSE))</f>
        <v/>
      </c>
      <c r="Y116" s="11">
        <f>IF(INDIRECT("R[0]C[-1]",FALSE)="","", INDIRECT("R[0]C[-2]",FALSE)*INDIRECT("R[0]C[-1]",FALSE)*(1+INDIRECT("R[0]C[-3]",FALSE)))</f>
        <v/>
      </c>
      <c r="Z116" s="13" t="n"/>
    </row>
    <row r="117" ht="15.75" customHeight="1" s="74">
      <c r="A117" s="11" t="n">
        <v>117</v>
      </c>
      <c r="C117" s="11">
        <f t="array" ref="C117">IFERROR(INDEX(Milestones!$A:$A, MATCH($B117, Milestones!$B:$B, 0)), "")</f>
        <v/>
      </c>
      <c r="D117" s="11">
        <f t="array" ref="D117">IFERROR(INDEX(Milestones!$C:$C, MATCH($B117, Milestones!$B:$B, 0)), "")</f>
        <v/>
      </c>
      <c r="F117" s="11">
        <f t="array" ref="F117">IFERROR(INDEX(Milestones!$E:$E, MATCH($B117, Milestones!$B:$B, 0)), "")</f>
        <v/>
      </c>
      <c r="I117" s="11" t="n"/>
      <c r="J117" s="20" t="n"/>
      <c r="K117" s="11" t="n"/>
      <c r="L117" s="11">
        <f t="array" ref="L117">IF($K117="","", IFERROR(IFS($K117="Low", INDEX('Lookups - Complexity'!$C:$C, MATCH($B117, 'Lookups - Complexity'!$B:$B,0)), $K117="Medium", INDEX('Lookups - Complexity'!$D:$D, MATCH($B117, 'Lookups - Complexity'!$B:$B,0)), $K117="High", INDEX('Lookups - Complexity'!$E:$E, MATCH($B117, 'Lookups - Complexity'!$B:$B,0))), ""))</f>
        <v/>
      </c>
      <c r="M117" s="11">
        <f>IF($I117="FTE", Assumptions!$B$3, "")</f>
        <v/>
      </c>
      <c r="N117" s="11">
        <f t="array" ref="N117">IFERROR(INDEX(Milestones!$F:$F, MATCH($B117, Milestones!$B:$B, 0)), "")</f>
        <v/>
      </c>
      <c r="O117" s="11">
        <f t="array" ref="O117">IFERROR(INDEX(Milestones!$G:$G, MATCH($B117, Milestones!$B:$B, 0)), "")</f>
        <v/>
      </c>
      <c r="P117" s="11">
        <f t="array" ref="P117">IFERROR(INDEX('Lookups - Rates'!$D:$D, MATCH($G117&amp;"|"&amp;$H117, 'Lookups - Rates'!$Z:$Z, 0)), "")</f>
        <v/>
      </c>
      <c r="Q117" s="11">
        <f t="array" ref="Q117">IFERROR(INDEX('Lookups - Rates'!$E:$E, MATCH($G117&amp;"|"&amp;$H117, 'Lookups - Rates'!$Z:$Z, 0)), "")</f>
        <v/>
      </c>
      <c r="R117" s="11">
        <f>LET(ev,$J117, ch,$L117, hr,$P117, dr,$Q117, hpday,Assumptions!$B$2, hpw,Assumptions!$B$3, w,$M117, hrs, IF($I117="Hours", ev, IF($I117="Days", ev*IF(dr&gt;0, dr/hr, hpday), IF($I117="FTE", ev*hpw*w, ch))), IF(hrs="", "", hrs*hr))</f>
        <v/>
      </c>
      <c r="S117" s="13" t="n"/>
      <c r="T117" s="11">
        <f t="array" ref="T117">XLOOKUP(Scenario_Selected, INDEX(Scenario_Table,0,1), INDEX(Scenario_Table,0,2))</f>
        <v/>
      </c>
      <c r="U117" s="11">
        <f t="array" ref="U117">XLOOKUP(Scenario_Selected, INDEX(Scenario_Table,0,1), INDEX(Scenario_Table,0,3))</f>
        <v/>
      </c>
      <c r="V117" s="11">
        <f t="array" ref="V117">XLOOKUP(Scenario_Selected, INDEX(Scenario_Table,0,1), INDEX(Scenario_Table,0,4))</f>
        <v/>
      </c>
      <c r="W117" s="11">
        <f t="array" ref="W117">LET(ev,$J117, ch,$L117, et,$I117, dr,$Q117, hpday,Assumptions!$B$2, hpw,Assumptions!$B$3, w,$M117,hm,INDIRECT("R[0]C[0]",FALSE),hrs, IF(et="Hours", ev, IF(et="Days", ev*IF(dr&gt;0, dr/$P117, hpday), IF(et="FTE", ev*hpw*w, ch))), IF(hrs="", "", hrs*hm))</f>
        <v/>
      </c>
      <c r="X117" s="11">
        <f>IF($P117="","", $P117*INDIRECT("R[0]C[-3]",FALSE))</f>
        <v/>
      </c>
      <c r="Y117" s="11">
        <f>IF(INDIRECT("R[0]C[-1]",FALSE)="","", INDIRECT("R[0]C[-2]",FALSE)*INDIRECT("R[0]C[-1]",FALSE)*(1+INDIRECT("R[0]C[-3]",FALSE)))</f>
        <v/>
      </c>
      <c r="Z117" s="13" t="n"/>
    </row>
    <row r="118" ht="15.75" customHeight="1" s="74">
      <c r="A118" s="11" t="n">
        <v>118</v>
      </c>
      <c r="C118" s="11">
        <f t="array" ref="C118">IFERROR(INDEX(Milestones!$A:$A, MATCH($B118, Milestones!$B:$B, 0)), "")</f>
        <v/>
      </c>
      <c r="D118" s="11">
        <f t="array" ref="D118">IFERROR(INDEX(Milestones!$C:$C, MATCH($B118, Milestones!$B:$B, 0)), "")</f>
        <v/>
      </c>
      <c r="F118" s="11">
        <f t="array" ref="F118">IFERROR(INDEX(Milestones!$E:$E, MATCH($B118, Milestones!$B:$B, 0)), "")</f>
        <v/>
      </c>
      <c r="I118" s="11" t="n"/>
      <c r="J118" s="20" t="n"/>
      <c r="K118" s="11" t="n"/>
      <c r="L118" s="11">
        <f t="array" ref="L118">IF($K118="","", IFERROR(IFS($K118="Low", INDEX('Lookups - Complexity'!$C:$C, MATCH($B118, 'Lookups - Complexity'!$B:$B,0)), $K118="Medium", INDEX('Lookups - Complexity'!$D:$D, MATCH($B118, 'Lookups - Complexity'!$B:$B,0)), $K118="High", INDEX('Lookups - Complexity'!$E:$E, MATCH($B118, 'Lookups - Complexity'!$B:$B,0))), ""))</f>
        <v/>
      </c>
      <c r="M118" s="11">
        <f>IF($I118="FTE", Assumptions!$B$3, "")</f>
        <v/>
      </c>
      <c r="N118" s="11">
        <f t="array" ref="N118">IFERROR(INDEX(Milestones!$F:$F, MATCH($B118, Milestones!$B:$B, 0)), "")</f>
        <v/>
      </c>
      <c r="O118" s="11">
        <f t="array" ref="O118">IFERROR(INDEX(Milestones!$G:$G, MATCH($B118, Milestones!$B:$B, 0)), "")</f>
        <v/>
      </c>
      <c r="P118" s="11">
        <f t="array" ref="P118">IFERROR(INDEX('Lookups - Rates'!$D:$D, MATCH($G118&amp;"|"&amp;$H118, 'Lookups - Rates'!$Z:$Z, 0)), "")</f>
        <v/>
      </c>
      <c r="Q118" s="11">
        <f t="array" ref="Q118">IFERROR(INDEX('Lookups - Rates'!$E:$E, MATCH($G118&amp;"|"&amp;$H118, 'Lookups - Rates'!$Z:$Z, 0)), "")</f>
        <v/>
      </c>
      <c r="R118" s="11">
        <f>LET(ev,$J118, ch,$L118, hr,$P118, dr,$Q118, hpday,Assumptions!$B$2, hpw,Assumptions!$B$3, w,$M118, hrs, IF($I118="Hours", ev, IF($I118="Days", ev*IF(dr&gt;0, dr/hr, hpday), IF($I118="FTE", ev*hpw*w, ch))), IF(hrs="", "", hrs*hr))</f>
        <v/>
      </c>
      <c r="S118" s="13" t="n"/>
      <c r="T118" s="11">
        <f t="array" ref="T118">XLOOKUP(Scenario_Selected, INDEX(Scenario_Table,0,1), INDEX(Scenario_Table,0,2))</f>
        <v/>
      </c>
      <c r="U118" s="11">
        <f t="array" ref="U118">XLOOKUP(Scenario_Selected, INDEX(Scenario_Table,0,1), INDEX(Scenario_Table,0,3))</f>
        <v/>
      </c>
      <c r="V118" s="11">
        <f t="array" ref="V118">XLOOKUP(Scenario_Selected, INDEX(Scenario_Table,0,1), INDEX(Scenario_Table,0,4))</f>
        <v/>
      </c>
      <c r="W118" s="11">
        <f t="array" ref="W118">LET(ev,$J118, ch,$L118, et,$I118, dr,$Q118, hpday,Assumptions!$B$2, hpw,Assumptions!$B$3, w,$M118,hm,INDIRECT("R[0]C[0]",FALSE),hrs, IF(et="Hours", ev, IF(et="Days", ev*IF(dr&gt;0, dr/$P118, hpday), IF(et="FTE", ev*hpw*w, ch))), IF(hrs="", "", hrs*hm))</f>
        <v/>
      </c>
      <c r="X118" s="11">
        <f>IF($P118="","", $P118*INDIRECT("R[0]C[-3]",FALSE))</f>
        <v/>
      </c>
      <c r="Y118" s="11">
        <f>IF(INDIRECT("R[0]C[-1]",FALSE)="","", INDIRECT("R[0]C[-2]",FALSE)*INDIRECT("R[0]C[-1]",FALSE)*(1+INDIRECT("R[0]C[-3]",FALSE)))</f>
        <v/>
      </c>
      <c r="Z118" s="13" t="n"/>
    </row>
    <row r="119" ht="15.75" customHeight="1" s="74">
      <c r="A119" s="11" t="n">
        <v>119</v>
      </c>
      <c r="C119" s="11">
        <f t="array" ref="C119">IFERROR(INDEX(Milestones!$A:$A, MATCH($B119, Milestones!$B:$B, 0)), "")</f>
        <v/>
      </c>
      <c r="D119" s="11">
        <f t="array" ref="D119">IFERROR(INDEX(Milestones!$C:$C, MATCH($B119, Milestones!$B:$B, 0)), "")</f>
        <v/>
      </c>
      <c r="F119" s="11">
        <f t="array" ref="F119">IFERROR(INDEX(Milestones!$E:$E, MATCH($B119, Milestones!$B:$B, 0)), "")</f>
        <v/>
      </c>
      <c r="I119" s="11" t="n"/>
      <c r="J119" s="20" t="n"/>
      <c r="K119" s="11" t="n"/>
      <c r="L119" s="11">
        <f t="array" ref="L119">IF($K119="","", IFERROR(IFS($K119="Low", INDEX('Lookups - Complexity'!$C:$C, MATCH($B119, 'Lookups - Complexity'!$B:$B,0)), $K119="Medium", INDEX('Lookups - Complexity'!$D:$D, MATCH($B119, 'Lookups - Complexity'!$B:$B,0)), $K119="High", INDEX('Lookups - Complexity'!$E:$E, MATCH($B119, 'Lookups - Complexity'!$B:$B,0))), ""))</f>
        <v/>
      </c>
      <c r="M119" s="11">
        <f>IF($I119="FTE", Assumptions!$B$3, "")</f>
        <v/>
      </c>
      <c r="N119" s="11">
        <f t="array" ref="N119">IFERROR(INDEX(Milestones!$F:$F, MATCH($B119, Milestones!$B:$B, 0)), "")</f>
        <v/>
      </c>
      <c r="O119" s="11">
        <f t="array" ref="O119">IFERROR(INDEX(Milestones!$G:$G, MATCH($B119, Milestones!$B:$B, 0)), "")</f>
        <v/>
      </c>
      <c r="P119" s="11">
        <f t="array" ref="P119">IFERROR(INDEX('Lookups - Rates'!$D:$D, MATCH($G119&amp;"|"&amp;$H119, 'Lookups - Rates'!$Z:$Z, 0)), "")</f>
        <v/>
      </c>
      <c r="Q119" s="11">
        <f t="array" ref="Q119">IFERROR(INDEX('Lookups - Rates'!$E:$E, MATCH($G119&amp;"|"&amp;$H119, 'Lookups - Rates'!$Z:$Z, 0)), "")</f>
        <v/>
      </c>
      <c r="R119" s="11">
        <f>LET(ev,$J119, ch,$L119, hr,$P119, dr,$Q119, hpday,Assumptions!$B$2, hpw,Assumptions!$B$3, w,$M119, hrs, IF($I119="Hours", ev, IF($I119="Days", ev*IF(dr&gt;0, dr/hr, hpday), IF($I119="FTE", ev*hpw*w, ch))), IF(hrs="", "", hrs*hr))</f>
        <v/>
      </c>
      <c r="S119" s="13" t="n"/>
      <c r="T119" s="11">
        <f t="array" ref="T119">XLOOKUP(Scenario_Selected, INDEX(Scenario_Table,0,1), INDEX(Scenario_Table,0,2))</f>
        <v/>
      </c>
      <c r="U119" s="11">
        <f t="array" ref="U119">XLOOKUP(Scenario_Selected, INDEX(Scenario_Table,0,1), INDEX(Scenario_Table,0,3))</f>
        <v/>
      </c>
      <c r="V119" s="11">
        <f t="array" ref="V119">XLOOKUP(Scenario_Selected, INDEX(Scenario_Table,0,1), INDEX(Scenario_Table,0,4))</f>
        <v/>
      </c>
      <c r="W119" s="11">
        <f t="array" ref="W119">LET(ev,$J119, ch,$L119, et,$I119, dr,$Q119, hpday,Assumptions!$B$2, hpw,Assumptions!$B$3, w,$M119,hm,INDIRECT("R[0]C[0]",FALSE),hrs, IF(et="Hours", ev, IF(et="Days", ev*IF(dr&gt;0, dr/$P119, hpday), IF(et="FTE", ev*hpw*w, ch))), IF(hrs="", "", hrs*hm))</f>
        <v/>
      </c>
      <c r="X119" s="11">
        <f>IF($P119="","", $P119*INDIRECT("R[0]C[-3]",FALSE))</f>
        <v/>
      </c>
      <c r="Y119" s="11">
        <f>IF(INDIRECT("R[0]C[-1]",FALSE)="","", INDIRECT("R[0]C[-2]",FALSE)*INDIRECT("R[0]C[-1]",FALSE)*(1+INDIRECT("R[0]C[-3]",FALSE)))</f>
        <v/>
      </c>
      <c r="Z119" s="13" t="n"/>
    </row>
    <row r="120" ht="15.75" customHeight="1" s="74">
      <c r="A120" s="11" t="n">
        <v>120</v>
      </c>
      <c r="C120" s="11">
        <f t="array" ref="C120">IFERROR(INDEX(Milestones!$A:$A, MATCH($B120, Milestones!$B:$B, 0)), "")</f>
        <v/>
      </c>
      <c r="D120" s="11">
        <f t="array" ref="D120">IFERROR(INDEX(Milestones!$C:$C, MATCH($B120, Milestones!$B:$B, 0)), "")</f>
        <v/>
      </c>
      <c r="F120" s="11">
        <f t="array" ref="F120">IFERROR(INDEX(Milestones!$E:$E, MATCH($B120, Milestones!$B:$B, 0)), "")</f>
        <v/>
      </c>
      <c r="I120" s="11" t="n"/>
      <c r="J120" s="20" t="n"/>
      <c r="K120" s="11" t="n"/>
      <c r="L120" s="11">
        <f t="array" ref="L120">IF($K120="","", IFERROR(IFS($K120="Low", INDEX('Lookups - Complexity'!$C:$C, MATCH($B120, 'Lookups - Complexity'!$B:$B,0)), $K120="Medium", INDEX('Lookups - Complexity'!$D:$D, MATCH($B120, 'Lookups - Complexity'!$B:$B,0)), $K120="High", INDEX('Lookups - Complexity'!$E:$E, MATCH($B120, 'Lookups - Complexity'!$B:$B,0))), ""))</f>
        <v/>
      </c>
      <c r="M120" s="11">
        <f>IF($I120="FTE", Assumptions!$B$3, "")</f>
        <v/>
      </c>
      <c r="N120" s="11">
        <f t="array" ref="N120">IFERROR(INDEX(Milestones!$F:$F, MATCH($B120, Milestones!$B:$B, 0)), "")</f>
        <v/>
      </c>
      <c r="O120" s="11">
        <f t="array" ref="O120">IFERROR(INDEX(Milestones!$G:$G, MATCH($B120, Milestones!$B:$B, 0)), "")</f>
        <v/>
      </c>
      <c r="P120" s="11">
        <f t="array" ref="P120">IFERROR(INDEX('Lookups - Rates'!$D:$D, MATCH($G120&amp;"|"&amp;$H120, 'Lookups - Rates'!$Z:$Z, 0)), "")</f>
        <v/>
      </c>
      <c r="Q120" s="11">
        <f t="array" ref="Q120">IFERROR(INDEX('Lookups - Rates'!$E:$E, MATCH($G120&amp;"|"&amp;$H120, 'Lookups - Rates'!$Z:$Z, 0)), "")</f>
        <v/>
      </c>
      <c r="R120" s="11">
        <f>LET(ev,$J120, ch,$L120, hr,$P120, dr,$Q120, hpday,Assumptions!$B$2, hpw,Assumptions!$B$3, w,$M120, hrs, IF($I120="Hours", ev, IF($I120="Days", ev*IF(dr&gt;0, dr/hr, hpday), IF($I120="FTE", ev*hpw*w, ch))), IF(hrs="", "", hrs*hr))</f>
        <v/>
      </c>
      <c r="S120" s="13" t="n"/>
      <c r="T120" s="11">
        <f t="array" ref="T120">XLOOKUP(Scenario_Selected, INDEX(Scenario_Table,0,1), INDEX(Scenario_Table,0,2))</f>
        <v/>
      </c>
      <c r="U120" s="11">
        <f t="array" ref="U120">XLOOKUP(Scenario_Selected, INDEX(Scenario_Table,0,1), INDEX(Scenario_Table,0,3))</f>
        <v/>
      </c>
      <c r="V120" s="11">
        <f t="array" ref="V120">XLOOKUP(Scenario_Selected, INDEX(Scenario_Table,0,1), INDEX(Scenario_Table,0,4))</f>
        <v/>
      </c>
      <c r="W120" s="11">
        <f t="array" ref="W120">LET(ev,$J120, ch,$L120, et,$I120, dr,$Q120, hpday,Assumptions!$B$2, hpw,Assumptions!$B$3, w,$M120,hm,INDIRECT("R[0]C[0]",FALSE),hrs, IF(et="Hours", ev, IF(et="Days", ev*IF(dr&gt;0, dr/$P120, hpday), IF(et="FTE", ev*hpw*w, ch))), IF(hrs="", "", hrs*hm))</f>
        <v/>
      </c>
      <c r="X120" s="11">
        <f>IF($P120="","", $P120*INDIRECT("R[0]C[-3]",FALSE))</f>
        <v/>
      </c>
      <c r="Y120" s="11">
        <f>IF(INDIRECT("R[0]C[-1]",FALSE)="","", INDIRECT("R[0]C[-2]",FALSE)*INDIRECT("R[0]C[-1]",FALSE)*(1+INDIRECT("R[0]C[-3]",FALSE)))</f>
        <v/>
      </c>
      <c r="Z120" s="13" t="n"/>
    </row>
    <row r="121" ht="15.75" customHeight="1" s="74">
      <c r="A121" s="11" t="n">
        <v>121</v>
      </c>
      <c r="C121" s="11">
        <f t="array" ref="C121">IFERROR(INDEX(Milestones!$A:$A, MATCH($B121, Milestones!$B:$B, 0)), "")</f>
        <v/>
      </c>
      <c r="D121" s="11">
        <f t="array" ref="D121">IFERROR(INDEX(Milestones!$C:$C, MATCH($B121, Milestones!$B:$B, 0)), "")</f>
        <v/>
      </c>
      <c r="F121" s="11">
        <f t="array" ref="F121">IFERROR(INDEX(Milestones!$E:$E, MATCH($B121, Milestones!$B:$B, 0)), "")</f>
        <v/>
      </c>
      <c r="I121" s="11" t="n"/>
      <c r="J121" s="20" t="n"/>
      <c r="K121" s="11" t="n"/>
      <c r="L121" s="11">
        <f t="array" ref="L121">IF($K121="","", IFERROR(IFS($K121="Low", INDEX('Lookups - Complexity'!$C:$C, MATCH($B121, 'Lookups - Complexity'!$B:$B,0)), $K121="Medium", INDEX('Lookups - Complexity'!$D:$D, MATCH($B121, 'Lookups - Complexity'!$B:$B,0)), $K121="High", INDEX('Lookups - Complexity'!$E:$E, MATCH($B121, 'Lookups - Complexity'!$B:$B,0))), ""))</f>
        <v/>
      </c>
      <c r="M121" s="11">
        <f>IF($I121="FTE", Assumptions!$B$3, "")</f>
        <v/>
      </c>
      <c r="N121" s="11">
        <f t="array" ref="N121">IFERROR(INDEX(Milestones!$F:$F, MATCH($B121, Milestones!$B:$B, 0)), "")</f>
        <v/>
      </c>
      <c r="O121" s="11">
        <f t="array" ref="O121">IFERROR(INDEX(Milestones!$G:$G, MATCH($B121, Milestones!$B:$B, 0)), "")</f>
        <v/>
      </c>
      <c r="P121" s="11">
        <f t="array" ref="P121">IFERROR(INDEX('Lookups - Rates'!$D:$D, MATCH($G121&amp;"|"&amp;$H121, 'Lookups - Rates'!$Z:$Z, 0)), "")</f>
        <v/>
      </c>
      <c r="Q121" s="11">
        <f t="array" ref="Q121">IFERROR(INDEX('Lookups - Rates'!$E:$E, MATCH($G121&amp;"|"&amp;$H121, 'Lookups - Rates'!$Z:$Z, 0)), "")</f>
        <v/>
      </c>
      <c r="R121" s="11">
        <f>LET(ev,$J121, ch,$L121, hr,$P121, dr,$Q121, hpday,Assumptions!$B$2, hpw,Assumptions!$B$3, w,$M121, hrs, IF($I121="Hours", ev, IF($I121="Days", ev*IF(dr&gt;0, dr/hr, hpday), IF($I121="FTE", ev*hpw*w, ch))), IF(hrs="", "", hrs*hr))</f>
        <v/>
      </c>
      <c r="S121" s="13" t="n"/>
      <c r="T121" s="11">
        <f t="array" ref="T121">XLOOKUP(Scenario_Selected, INDEX(Scenario_Table,0,1), INDEX(Scenario_Table,0,2))</f>
        <v/>
      </c>
      <c r="U121" s="11">
        <f t="array" ref="U121">XLOOKUP(Scenario_Selected, INDEX(Scenario_Table,0,1), INDEX(Scenario_Table,0,3))</f>
        <v/>
      </c>
      <c r="V121" s="11">
        <f t="array" ref="V121">XLOOKUP(Scenario_Selected, INDEX(Scenario_Table,0,1), INDEX(Scenario_Table,0,4))</f>
        <v/>
      </c>
      <c r="W121" s="11">
        <f t="array" ref="W121">LET(ev,$J121, ch,$L121, et,$I121, dr,$Q121, hpday,Assumptions!$B$2, hpw,Assumptions!$B$3, w,$M121,hm,INDIRECT("R[0]C[0]",FALSE),hrs, IF(et="Hours", ev, IF(et="Days", ev*IF(dr&gt;0, dr/$P121, hpday), IF(et="FTE", ev*hpw*w, ch))), IF(hrs="", "", hrs*hm))</f>
        <v/>
      </c>
      <c r="X121" s="11">
        <f>IF($P121="","", $P121*INDIRECT("R[0]C[-3]",FALSE))</f>
        <v/>
      </c>
      <c r="Y121" s="11">
        <f>IF(INDIRECT("R[0]C[-1]",FALSE)="","", INDIRECT("R[0]C[-2]",FALSE)*INDIRECT("R[0]C[-1]",FALSE)*(1+INDIRECT("R[0]C[-3]",FALSE)))</f>
        <v/>
      </c>
      <c r="Z121" s="13" t="n"/>
    </row>
    <row r="122" ht="15.75" customHeight="1" s="74">
      <c r="A122" s="11" t="n">
        <v>122</v>
      </c>
      <c r="C122" s="11">
        <f t="array" ref="C122">IFERROR(INDEX(Milestones!$A:$A, MATCH($B122, Milestones!$B:$B, 0)), "")</f>
        <v/>
      </c>
      <c r="D122" s="11">
        <f t="array" ref="D122">IFERROR(INDEX(Milestones!$C:$C, MATCH($B122, Milestones!$B:$B, 0)), "")</f>
        <v/>
      </c>
      <c r="F122" s="11">
        <f t="array" ref="F122">IFERROR(INDEX(Milestones!$E:$E, MATCH($B122, Milestones!$B:$B, 0)), "")</f>
        <v/>
      </c>
      <c r="I122" s="11" t="n"/>
      <c r="J122" s="20" t="n"/>
      <c r="K122" s="11" t="n"/>
      <c r="L122" s="11">
        <f t="array" ref="L122">IF($K122="","", IFERROR(IFS($K122="Low", INDEX('Lookups - Complexity'!$C:$C, MATCH($B122, 'Lookups - Complexity'!$B:$B,0)), $K122="Medium", INDEX('Lookups - Complexity'!$D:$D, MATCH($B122, 'Lookups - Complexity'!$B:$B,0)), $K122="High", INDEX('Lookups - Complexity'!$E:$E, MATCH($B122, 'Lookups - Complexity'!$B:$B,0))), ""))</f>
        <v/>
      </c>
      <c r="M122" s="11">
        <f>IF($I122="FTE", Assumptions!$B$3, "")</f>
        <v/>
      </c>
      <c r="N122" s="11">
        <f t="array" ref="N122">IFERROR(INDEX(Milestones!$F:$F, MATCH($B122, Milestones!$B:$B, 0)), "")</f>
        <v/>
      </c>
      <c r="O122" s="11">
        <f t="array" ref="O122">IFERROR(INDEX(Milestones!$G:$G, MATCH($B122, Milestones!$B:$B, 0)), "")</f>
        <v/>
      </c>
      <c r="P122" s="11">
        <f t="array" ref="P122">IFERROR(INDEX('Lookups - Rates'!$D:$D, MATCH($G122&amp;"|"&amp;$H122, 'Lookups - Rates'!$Z:$Z, 0)), "")</f>
        <v/>
      </c>
      <c r="Q122" s="11">
        <f t="array" ref="Q122">IFERROR(INDEX('Lookups - Rates'!$E:$E, MATCH($G122&amp;"|"&amp;$H122, 'Lookups - Rates'!$Z:$Z, 0)), "")</f>
        <v/>
      </c>
      <c r="R122" s="11">
        <f>LET(ev,$J122, ch,$L122, hr,$P122, dr,$Q122, hpday,Assumptions!$B$2, hpw,Assumptions!$B$3, w,$M122, hrs, IF($I122="Hours", ev, IF($I122="Days", ev*IF(dr&gt;0, dr/hr, hpday), IF($I122="FTE", ev*hpw*w, ch))), IF(hrs="", "", hrs*hr))</f>
        <v/>
      </c>
      <c r="S122" s="13" t="n"/>
      <c r="T122" s="11">
        <f t="array" ref="T122">XLOOKUP(Scenario_Selected, INDEX(Scenario_Table,0,1), INDEX(Scenario_Table,0,2))</f>
        <v/>
      </c>
      <c r="U122" s="11">
        <f t="array" ref="U122">XLOOKUP(Scenario_Selected, INDEX(Scenario_Table,0,1), INDEX(Scenario_Table,0,3))</f>
        <v/>
      </c>
      <c r="V122" s="11">
        <f t="array" ref="V122">XLOOKUP(Scenario_Selected, INDEX(Scenario_Table,0,1), INDEX(Scenario_Table,0,4))</f>
        <v/>
      </c>
      <c r="W122" s="11">
        <f t="array" ref="W122">LET(ev,$J122, ch,$L122, et,$I122, dr,$Q122, hpday,Assumptions!$B$2, hpw,Assumptions!$B$3, w,$M122,hm,INDIRECT("R[0]C[0]",FALSE),hrs, IF(et="Hours", ev, IF(et="Days", ev*IF(dr&gt;0, dr/$P122, hpday), IF(et="FTE", ev*hpw*w, ch))), IF(hrs="", "", hrs*hm))</f>
        <v/>
      </c>
      <c r="X122" s="11">
        <f>IF($P122="","", $P122*INDIRECT("R[0]C[-3]",FALSE))</f>
        <v/>
      </c>
      <c r="Y122" s="11">
        <f>IF(INDIRECT("R[0]C[-1]",FALSE)="","", INDIRECT("R[0]C[-2]",FALSE)*INDIRECT("R[0]C[-1]",FALSE)*(1+INDIRECT("R[0]C[-3]",FALSE)))</f>
        <v/>
      </c>
      <c r="Z122" s="13" t="n"/>
    </row>
    <row r="123" ht="15.75" customHeight="1" s="74">
      <c r="A123" s="11" t="n">
        <v>123</v>
      </c>
      <c r="C123" s="11">
        <f t="array" ref="C123">IFERROR(INDEX(Milestones!$A:$A, MATCH($B123, Milestones!$B:$B, 0)), "")</f>
        <v/>
      </c>
      <c r="D123" s="11">
        <f t="array" ref="D123">IFERROR(INDEX(Milestones!$C:$C, MATCH($B123, Milestones!$B:$B, 0)), "")</f>
        <v/>
      </c>
      <c r="F123" s="11">
        <f t="array" ref="F123">IFERROR(INDEX(Milestones!$E:$E, MATCH($B123, Milestones!$B:$B, 0)), "")</f>
        <v/>
      </c>
      <c r="I123" s="11" t="n"/>
      <c r="J123" s="20" t="n"/>
      <c r="K123" s="11" t="n"/>
      <c r="L123" s="11">
        <f t="array" ref="L123">IF($K123="","", IFERROR(IFS($K123="Low", INDEX('Lookups - Complexity'!$C:$C, MATCH($B123, 'Lookups - Complexity'!$B:$B,0)), $K123="Medium", INDEX('Lookups - Complexity'!$D:$D, MATCH($B123, 'Lookups - Complexity'!$B:$B,0)), $K123="High", INDEX('Lookups - Complexity'!$E:$E, MATCH($B123, 'Lookups - Complexity'!$B:$B,0))), ""))</f>
        <v/>
      </c>
      <c r="M123" s="11">
        <f>IF($I123="FTE", Assumptions!$B$3, "")</f>
        <v/>
      </c>
      <c r="N123" s="11">
        <f t="array" ref="N123">IFERROR(INDEX(Milestones!$F:$F, MATCH($B123, Milestones!$B:$B, 0)), "")</f>
        <v/>
      </c>
      <c r="O123" s="11">
        <f t="array" ref="O123">IFERROR(INDEX(Milestones!$G:$G, MATCH($B123, Milestones!$B:$B, 0)), "")</f>
        <v/>
      </c>
      <c r="P123" s="11">
        <f t="array" ref="P123">IFERROR(INDEX('Lookups - Rates'!$D:$D, MATCH($G123&amp;"|"&amp;$H123, 'Lookups - Rates'!$Z:$Z, 0)), "")</f>
        <v/>
      </c>
      <c r="Q123" s="11">
        <f t="array" ref="Q123">IFERROR(INDEX('Lookups - Rates'!$E:$E, MATCH($G123&amp;"|"&amp;$H123, 'Lookups - Rates'!$Z:$Z, 0)), "")</f>
        <v/>
      </c>
      <c r="R123" s="11">
        <f>LET(ev,$J123, ch,$L123, hr,$P123, dr,$Q123, hpday,Assumptions!$B$2, hpw,Assumptions!$B$3, w,$M123, hrs, IF($I123="Hours", ev, IF($I123="Days", ev*IF(dr&gt;0, dr/hr, hpday), IF($I123="FTE", ev*hpw*w, ch))), IF(hrs="", "", hrs*hr))</f>
        <v/>
      </c>
      <c r="S123" s="13" t="n"/>
      <c r="T123" s="11">
        <f t="array" ref="T123">XLOOKUP(Scenario_Selected, INDEX(Scenario_Table,0,1), INDEX(Scenario_Table,0,2))</f>
        <v/>
      </c>
      <c r="U123" s="11">
        <f t="array" ref="U123">XLOOKUP(Scenario_Selected, INDEX(Scenario_Table,0,1), INDEX(Scenario_Table,0,3))</f>
        <v/>
      </c>
      <c r="V123" s="11">
        <f t="array" ref="V123">XLOOKUP(Scenario_Selected, INDEX(Scenario_Table,0,1), INDEX(Scenario_Table,0,4))</f>
        <v/>
      </c>
      <c r="W123" s="11">
        <f t="array" ref="W123">LET(ev,$J123, ch,$L123, et,$I123, dr,$Q123, hpday,Assumptions!$B$2, hpw,Assumptions!$B$3, w,$M123,hm,INDIRECT("R[0]C[0]",FALSE),hrs, IF(et="Hours", ev, IF(et="Days", ev*IF(dr&gt;0, dr/$P123, hpday), IF(et="FTE", ev*hpw*w, ch))), IF(hrs="", "", hrs*hm))</f>
        <v/>
      </c>
      <c r="X123" s="11">
        <f>IF($P123="","", $P123*INDIRECT("R[0]C[-3]",FALSE))</f>
        <v/>
      </c>
      <c r="Y123" s="11">
        <f>IF(INDIRECT("R[0]C[-1]",FALSE)="","", INDIRECT("R[0]C[-2]",FALSE)*INDIRECT("R[0]C[-1]",FALSE)*(1+INDIRECT("R[0]C[-3]",FALSE)))</f>
        <v/>
      </c>
      <c r="Z123" s="13" t="n"/>
    </row>
    <row r="124" ht="15.75" customHeight="1" s="74">
      <c r="A124" s="11" t="n">
        <v>124</v>
      </c>
      <c r="C124" s="11">
        <f t="array" ref="C124">IFERROR(INDEX(Milestones!$A:$A, MATCH($B124, Milestones!$B:$B, 0)), "")</f>
        <v/>
      </c>
      <c r="D124" s="11">
        <f t="array" ref="D124">IFERROR(INDEX(Milestones!$C:$C, MATCH($B124, Milestones!$B:$B, 0)), "")</f>
        <v/>
      </c>
      <c r="F124" s="11">
        <f t="array" ref="F124">IFERROR(INDEX(Milestones!$E:$E, MATCH($B124, Milestones!$B:$B, 0)), "")</f>
        <v/>
      </c>
      <c r="I124" s="11" t="n"/>
      <c r="J124" s="20" t="n"/>
      <c r="K124" s="11" t="n"/>
      <c r="L124" s="11">
        <f t="array" ref="L124">IF($K124="","", IFERROR(IFS($K124="Low", INDEX('Lookups - Complexity'!$C:$C, MATCH($B124, 'Lookups - Complexity'!$B:$B,0)), $K124="Medium", INDEX('Lookups - Complexity'!$D:$D, MATCH($B124, 'Lookups - Complexity'!$B:$B,0)), $K124="High", INDEX('Lookups - Complexity'!$E:$E, MATCH($B124, 'Lookups - Complexity'!$B:$B,0))), ""))</f>
        <v/>
      </c>
      <c r="M124" s="11">
        <f>IF($I124="FTE", Assumptions!$B$3, "")</f>
        <v/>
      </c>
      <c r="N124" s="11">
        <f t="array" ref="N124">IFERROR(INDEX(Milestones!$F:$F, MATCH($B124, Milestones!$B:$B, 0)), "")</f>
        <v/>
      </c>
      <c r="O124" s="11">
        <f t="array" ref="O124">IFERROR(INDEX(Milestones!$G:$G, MATCH($B124, Milestones!$B:$B, 0)), "")</f>
        <v/>
      </c>
      <c r="P124" s="11">
        <f t="array" ref="P124">IFERROR(INDEX('Lookups - Rates'!$D:$D, MATCH($G124&amp;"|"&amp;$H124, 'Lookups - Rates'!$Z:$Z, 0)), "")</f>
        <v/>
      </c>
      <c r="Q124" s="11">
        <f t="array" ref="Q124">IFERROR(INDEX('Lookups - Rates'!$E:$E, MATCH($G124&amp;"|"&amp;$H124, 'Lookups - Rates'!$Z:$Z, 0)), "")</f>
        <v/>
      </c>
      <c r="R124" s="11">
        <f>LET(ev,$J124, ch,$L124, hr,$P124, dr,$Q124, hpday,Assumptions!$B$2, hpw,Assumptions!$B$3, w,$M124, hrs, IF($I124="Hours", ev, IF($I124="Days", ev*IF(dr&gt;0, dr/hr, hpday), IF($I124="FTE", ev*hpw*w, ch))), IF(hrs="", "", hrs*hr))</f>
        <v/>
      </c>
      <c r="S124" s="13" t="n"/>
      <c r="T124" s="11">
        <f t="array" ref="T124">XLOOKUP(Scenario_Selected, INDEX(Scenario_Table,0,1), INDEX(Scenario_Table,0,2))</f>
        <v/>
      </c>
      <c r="U124" s="11">
        <f t="array" ref="U124">XLOOKUP(Scenario_Selected, INDEX(Scenario_Table,0,1), INDEX(Scenario_Table,0,3))</f>
        <v/>
      </c>
      <c r="V124" s="11">
        <f t="array" ref="V124">XLOOKUP(Scenario_Selected, INDEX(Scenario_Table,0,1), INDEX(Scenario_Table,0,4))</f>
        <v/>
      </c>
      <c r="W124" s="11">
        <f t="array" ref="W124">LET(ev,$J124, ch,$L124, et,$I124, dr,$Q124, hpday,Assumptions!$B$2, hpw,Assumptions!$B$3, w,$M124,hm,INDIRECT("R[0]C[0]",FALSE),hrs, IF(et="Hours", ev, IF(et="Days", ev*IF(dr&gt;0, dr/$P124, hpday), IF(et="FTE", ev*hpw*w, ch))), IF(hrs="", "", hrs*hm))</f>
        <v/>
      </c>
      <c r="X124" s="11">
        <f>IF($P124="","", $P124*INDIRECT("R[0]C[-3]",FALSE))</f>
        <v/>
      </c>
      <c r="Y124" s="11">
        <f>IF(INDIRECT("R[0]C[-1]",FALSE)="","", INDIRECT("R[0]C[-2]",FALSE)*INDIRECT("R[0]C[-1]",FALSE)*(1+INDIRECT("R[0]C[-3]",FALSE)))</f>
        <v/>
      </c>
      <c r="Z124" s="13" t="n"/>
    </row>
    <row r="125" ht="15.75" customHeight="1" s="74">
      <c r="A125" s="11" t="n">
        <v>125</v>
      </c>
      <c r="C125" s="11">
        <f t="array" ref="C125">IFERROR(INDEX(Milestones!$A:$A, MATCH($B125, Milestones!$B:$B, 0)), "")</f>
        <v/>
      </c>
      <c r="D125" s="11">
        <f t="array" ref="D125">IFERROR(INDEX(Milestones!$C:$C, MATCH($B125, Milestones!$B:$B, 0)), "")</f>
        <v/>
      </c>
      <c r="F125" s="11">
        <f t="array" ref="F125">IFERROR(INDEX(Milestones!$E:$E, MATCH($B125, Milestones!$B:$B, 0)), "")</f>
        <v/>
      </c>
      <c r="I125" s="11" t="n"/>
      <c r="J125" s="20" t="n"/>
      <c r="K125" s="11" t="n"/>
      <c r="L125" s="11">
        <f t="array" ref="L125">IF($K125="","", IFERROR(IFS($K125="Low", INDEX('Lookups - Complexity'!$C:$C, MATCH($B125, 'Lookups - Complexity'!$B:$B,0)), $K125="Medium", INDEX('Lookups - Complexity'!$D:$D, MATCH($B125, 'Lookups - Complexity'!$B:$B,0)), $K125="High", INDEX('Lookups - Complexity'!$E:$E, MATCH($B125, 'Lookups - Complexity'!$B:$B,0))), ""))</f>
        <v/>
      </c>
      <c r="M125" s="11">
        <f>IF($I125="FTE", Assumptions!$B$3, "")</f>
        <v/>
      </c>
      <c r="N125" s="11">
        <f t="array" ref="N125">IFERROR(INDEX(Milestones!$F:$F, MATCH($B125, Milestones!$B:$B, 0)), "")</f>
        <v/>
      </c>
      <c r="O125" s="11">
        <f t="array" ref="O125">IFERROR(INDEX(Milestones!$G:$G, MATCH($B125, Milestones!$B:$B, 0)), "")</f>
        <v/>
      </c>
      <c r="P125" s="11">
        <f t="array" ref="P125">IFERROR(INDEX('Lookups - Rates'!$D:$D, MATCH($G125&amp;"|"&amp;$H125, 'Lookups - Rates'!$Z:$Z, 0)), "")</f>
        <v/>
      </c>
      <c r="Q125" s="11">
        <f t="array" ref="Q125">IFERROR(INDEX('Lookups - Rates'!$E:$E, MATCH($G125&amp;"|"&amp;$H125, 'Lookups - Rates'!$Z:$Z, 0)), "")</f>
        <v/>
      </c>
      <c r="R125" s="11">
        <f>LET(ev,$J125, ch,$L125, hr,$P125, dr,$Q125, hpday,Assumptions!$B$2, hpw,Assumptions!$B$3, w,$M125, hrs, IF($I125="Hours", ev, IF($I125="Days", ev*IF(dr&gt;0, dr/hr, hpday), IF($I125="FTE", ev*hpw*w, ch))), IF(hrs="", "", hrs*hr))</f>
        <v/>
      </c>
      <c r="S125" s="13" t="n"/>
      <c r="T125" s="11">
        <f t="array" ref="T125">XLOOKUP(Scenario_Selected, INDEX(Scenario_Table,0,1), INDEX(Scenario_Table,0,2))</f>
        <v/>
      </c>
      <c r="U125" s="11">
        <f t="array" ref="U125">XLOOKUP(Scenario_Selected, INDEX(Scenario_Table,0,1), INDEX(Scenario_Table,0,3))</f>
        <v/>
      </c>
      <c r="V125" s="11">
        <f t="array" ref="V125">XLOOKUP(Scenario_Selected, INDEX(Scenario_Table,0,1), INDEX(Scenario_Table,0,4))</f>
        <v/>
      </c>
      <c r="W125" s="11">
        <f t="array" ref="W125">LET(ev,$J125, ch,$L125, et,$I125, dr,$Q125, hpday,Assumptions!$B$2, hpw,Assumptions!$B$3, w,$M125,hm,INDIRECT("R[0]C[0]",FALSE),hrs, IF(et="Hours", ev, IF(et="Days", ev*IF(dr&gt;0, dr/$P125, hpday), IF(et="FTE", ev*hpw*w, ch))), IF(hrs="", "", hrs*hm))</f>
        <v/>
      </c>
      <c r="X125" s="11">
        <f>IF($P125="","", $P125*INDIRECT("R[0]C[-3]",FALSE))</f>
        <v/>
      </c>
      <c r="Y125" s="11">
        <f>IF(INDIRECT("R[0]C[-1]",FALSE)="","", INDIRECT("R[0]C[-2]",FALSE)*INDIRECT("R[0]C[-1]",FALSE)*(1+INDIRECT("R[0]C[-3]",FALSE)))</f>
        <v/>
      </c>
      <c r="Z125" s="13" t="n"/>
    </row>
    <row r="126" ht="15.75" customHeight="1" s="74">
      <c r="A126" s="11" t="n">
        <v>126</v>
      </c>
      <c r="C126" s="11">
        <f t="array" ref="C126">IFERROR(INDEX(Milestones!$A:$A, MATCH($B126, Milestones!$B:$B, 0)), "")</f>
        <v/>
      </c>
      <c r="D126" s="11">
        <f t="array" ref="D126">IFERROR(INDEX(Milestones!$C:$C, MATCH($B126, Milestones!$B:$B, 0)), "")</f>
        <v/>
      </c>
      <c r="F126" s="11">
        <f t="array" ref="F126">IFERROR(INDEX(Milestones!$E:$E, MATCH($B126, Milestones!$B:$B, 0)), "")</f>
        <v/>
      </c>
      <c r="I126" s="11" t="n"/>
      <c r="J126" s="20" t="n"/>
      <c r="K126" s="11" t="n"/>
      <c r="L126" s="11">
        <f t="array" ref="L126">IF($K126="","", IFERROR(IFS($K126="Low", INDEX('Lookups - Complexity'!$C:$C, MATCH($B126, 'Lookups - Complexity'!$B:$B,0)), $K126="Medium", INDEX('Lookups - Complexity'!$D:$D, MATCH($B126, 'Lookups - Complexity'!$B:$B,0)), $K126="High", INDEX('Lookups - Complexity'!$E:$E, MATCH($B126, 'Lookups - Complexity'!$B:$B,0))), ""))</f>
        <v/>
      </c>
      <c r="M126" s="11">
        <f>IF($I126="FTE", Assumptions!$B$3, "")</f>
        <v/>
      </c>
      <c r="N126" s="11">
        <f t="array" ref="N126">IFERROR(INDEX(Milestones!$F:$F, MATCH($B126, Milestones!$B:$B, 0)), "")</f>
        <v/>
      </c>
      <c r="O126" s="11">
        <f t="array" ref="O126">IFERROR(INDEX(Milestones!$G:$G, MATCH($B126, Milestones!$B:$B, 0)), "")</f>
        <v/>
      </c>
      <c r="P126" s="11">
        <f t="array" ref="P126">IFERROR(INDEX('Lookups - Rates'!$D:$D, MATCH($G126&amp;"|"&amp;$H126, 'Lookups - Rates'!$Z:$Z, 0)), "")</f>
        <v/>
      </c>
      <c r="Q126" s="11">
        <f t="array" ref="Q126">IFERROR(INDEX('Lookups - Rates'!$E:$E, MATCH($G126&amp;"|"&amp;$H126, 'Lookups - Rates'!$Z:$Z, 0)), "")</f>
        <v/>
      </c>
      <c r="R126" s="11">
        <f>LET(ev,$J126, ch,$L126, hr,$P126, dr,$Q126, hpday,Assumptions!$B$2, hpw,Assumptions!$B$3, w,$M126, hrs, IF($I126="Hours", ev, IF($I126="Days", ev*IF(dr&gt;0, dr/hr, hpday), IF($I126="FTE", ev*hpw*w, ch))), IF(hrs="", "", hrs*hr))</f>
        <v/>
      </c>
      <c r="S126" s="13" t="n"/>
      <c r="T126" s="11">
        <f t="array" ref="T126">XLOOKUP(Scenario_Selected, INDEX(Scenario_Table,0,1), INDEX(Scenario_Table,0,2))</f>
        <v/>
      </c>
      <c r="U126" s="11">
        <f t="array" ref="U126">XLOOKUP(Scenario_Selected, INDEX(Scenario_Table,0,1), INDEX(Scenario_Table,0,3))</f>
        <v/>
      </c>
      <c r="V126" s="11">
        <f t="array" ref="V126">XLOOKUP(Scenario_Selected, INDEX(Scenario_Table,0,1), INDEX(Scenario_Table,0,4))</f>
        <v/>
      </c>
      <c r="W126" s="11">
        <f t="array" ref="W126">LET(ev,$J126, ch,$L126, et,$I126, dr,$Q126, hpday,Assumptions!$B$2, hpw,Assumptions!$B$3, w,$M126,hm,INDIRECT("R[0]C[0]",FALSE),hrs, IF(et="Hours", ev, IF(et="Days", ev*IF(dr&gt;0, dr/$P126, hpday), IF(et="FTE", ev*hpw*w, ch))), IF(hrs="", "", hrs*hm))</f>
        <v/>
      </c>
      <c r="X126" s="11">
        <f>IF($P126="","", $P126*INDIRECT("R[0]C[-3]",FALSE))</f>
        <v/>
      </c>
      <c r="Y126" s="11">
        <f>IF(INDIRECT("R[0]C[-1]",FALSE)="","", INDIRECT("R[0]C[-2]",FALSE)*INDIRECT("R[0]C[-1]",FALSE)*(1+INDIRECT("R[0]C[-3]",FALSE)))</f>
        <v/>
      </c>
      <c r="Z126" s="13" t="n"/>
    </row>
    <row r="127" ht="15.75" customHeight="1" s="74">
      <c r="A127" s="11" t="n">
        <v>127</v>
      </c>
      <c r="C127" s="11">
        <f t="array" ref="C127">IFERROR(INDEX(Milestones!$A:$A, MATCH($B127, Milestones!$B:$B, 0)), "")</f>
        <v/>
      </c>
      <c r="D127" s="11">
        <f t="array" ref="D127">IFERROR(INDEX(Milestones!$C:$C, MATCH($B127, Milestones!$B:$B, 0)), "")</f>
        <v/>
      </c>
      <c r="F127" s="11">
        <f t="array" ref="F127">IFERROR(INDEX(Milestones!$E:$E, MATCH($B127, Milestones!$B:$B, 0)), "")</f>
        <v/>
      </c>
      <c r="I127" s="11" t="n"/>
      <c r="J127" s="20" t="n"/>
      <c r="K127" s="11" t="n"/>
      <c r="L127" s="11">
        <f t="array" ref="L127">IF($K127="","", IFERROR(IFS($K127="Low", INDEX('Lookups - Complexity'!$C:$C, MATCH($B127, 'Lookups - Complexity'!$B:$B,0)), $K127="Medium", INDEX('Lookups - Complexity'!$D:$D, MATCH($B127, 'Lookups - Complexity'!$B:$B,0)), $K127="High", INDEX('Lookups - Complexity'!$E:$E, MATCH($B127, 'Lookups - Complexity'!$B:$B,0))), ""))</f>
        <v/>
      </c>
      <c r="M127" s="11">
        <f>IF($I127="FTE", Assumptions!$B$3, "")</f>
        <v/>
      </c>
      <c r="N127" s="11">
        <f t="array" ref="N127">IFERROR(INDEX(Milestones!$F:$F, MATCH($B127, Milestones!$B:$B, 0)), "")</f>
        <v/>
      </c>
      <c r="O127" s="11">
        <f t="array" ref="O127">IFERROR(INDEX(Milestones!$G:$G, MATCH($B127, Milestones!$B:$B, 0)), "")</f>
        <v/>
      </c>
      <c r="P127" s="11">
        <f t="array" ref="P127">IFERROR(INDEX('Lookups - Rates'!$D:$D, MATCH($G127&amp;"|"&amp;$H127, 'Lookups - Rates'!$Z:$Z, 0)), "")</f>
        <v/>
      </c>
      <c r="Q127" s="11">
        <f t="array" ref="Q127">IFERROR(INDEX('Lookups - Rates'!$E:$E, MATCH($G127&amp;"|"&amp;$H127, 'Lookups - Rates'!$Z:$Z, 0)), "")</f>
        <v/>
      </c>
      <c r="R127" s="11">
        <f>LET(ev,$J127, ch,$L127, hr,$P127, dr,$Q127, hpday,Assumptions!$B$2, hpw,Assumptions!$B$3, w,$M127, hrs, IF($I127="Hours", ev, IF($I127="Days", ev*IF(dr&gt;0, dr/hr, hpday), IF($I127="FTE", ev*hpw*w, ch))), IF(hrs="", "", hrs*hr))</f>
        <v/>
      </c>
      <c r="S127" s="13" t="n"/>
      <c r="T127" s="11">
        <f t="array" ref="T127">XLOOKUP(Scenario_Selected, INDEX(Scenario_Table,0,1), INDEX(Scenario_Table,0,2))</f>
        <v/>
      </c>
      <c r="U127" s="11">
        <f t="array" ref="U127">XLOOKUP(Scenario_Selected, INDEX(Scenario_Table,0,1), INDEX(Scenario_Table,0,3))</f>
        <v/>
      </c>
      <c r="V127" s="11">
        <f t="array" ref="V127">XLOOKUP(Scenario_Selected, INDEX(Scenario_Table,0,1), INDEX(Scenario_Table,0,4))</f>
        <v/>
      </c>
      <c r="W127" s="11">
        <f t="array" ref="W127">LET(ev,$J127, ch,$L127, et,$I127, dr,$Q127, hpday,Assumptions!$B$2, hpw,Assumptions!$B$3, w,$M127,hm,INDIRECT("R[0]C[0]",FALSE),hrs, IF(et="Hours", ev, IF(et="Days", ev*IF(dr&gt;0, dr/$P127, hpday), IF(et="FTE", ev*hpw*w, ch))), IF(hrs="", "", hrs*hm))</f>
        <v/>
      </c>
      <c r="X127" s="11">
        <f>IF($P127="","", $P127*INDIRECT("R[0]C[-3]",FALSE))</f>
        <v/>
      </c>
      <c r="Y127" s="11">
        <f>IF(INDIRECT("R[0]C[-1]",FALSE)="","", INDIRECT("R[0]C[-2]",FALSE)*INDIRECT("R[0]C[-1]",FALSE)*(1+INDIRECT("R[0]C[-3]",FALSE)))</f>
        <v/>
      </c>
      <c r="Z127" s="13" t="n"/>
    </row>
    <row r="128" ht="15.75" customHeight="1" s="74">
      <c r="A128" s="11" t="n">
        <v>128</v>
      </c>
      <c r="C128" s="11">
        <f t="array" ref="C128">IFERROR(INDEX(Milestones!$A:$A, MATCH($B128, Milestones!$B:$B, 0)), "")</f>
        <v/>
      </c>
      <c r="D128" s="11">
        <f t="array" ref="D128">IFERROR(INDEX(Milestones!$C:$C, MATCH($B128, Milestones!$B:$B, 0)), "")</f>
        <v/>
      </c>
      <c r="F128" s="11">
        <f t="array" ref="F128">IFERROR(INDEX(Milestones!$E:$E, MATCH($B128, Milestones!$B:$B, 0)), "")</f>
        <v/>
      </c>
      <c r="I128" s="11" t="n"/>
      <c r="J128" s="20" t="n"/>
      <c r="K128" s="11" t="n"/>
      <c r="L128" s="11">
        <f t="array" ref="L128">IF($K128="","", IFERROR(IFS($K128="Low", INDEX('Lookups - Complexity'!$C:$C, MATCH($B128, 'Lookups - Complexity'!$B:$B,0)), $K128="Medium", INDEX('Lookups - Complexity'!$D:$D, MATCH($B128, 'Lookups - Complexity'!$B:$B,0)), $K128="High", INDEX('Lookups - Complexity'!$E:$E, MATCH($B128, 'Lookups - Complexity'!$B:$B,0))), ""))</f>
        <v/>
      </c>
      <c r="M128" s="11">
        <f>IF($I128="FTE", Assumptions!$B$3, "")</f>
        <v/>
      </c>
      <c r="N128" s="11">
        <f t="array" ref="N128">IFERROR(INDEX(Milestones!$F:$F, MATCH($B128, Milestones!$B:$B, 0)), "")</f>
        <v/>
      </c>
      <c r="O128" s="11">
        <f t="array" ref="O128">IFERROR(INDEX(Milestones!$G:$G, MATCH($B128, Milestones!$B:$B, 0)), "")</f>
        <v/>
      </c>
      <c r="P128" s="11">
        <f t="array" ref="P128">IFERROR(INDEX('Lookups - Rates'!$D:$D, MATCH($G128&amp;"|"&amp;$H128, 'Lookups - Rates'!$Z:$Z, 0)), "")</f>
        <v/>
      </c>
      <c r="Q128" s="11">
        <f t="array" ref="Q128">IFERROR(INDEX('Lookups - Rates'!$E:$E, MATCH($G128&amp;"|"&amp;$H128, 'Lookups - Rates'!$Z:$Z, 0)), "")</f>
        <v/>
      </c>
      <c r="R128" s="11">
        <f>LET(ev,$J128, ch,$L128, hr,$P128, dr,$Q128, hpday,Assumptions!$B$2, hpw,Assumptions!$B$3, w,$M128, hrs, IF($I128="Hours", ev, IF($I128="Days", ev*IF(dr&gt;0, dr/hr, hpday), IF($I128="FTE", ev*hpw*w, ch))), IF(hrs="", "", hrs*hr))</f>
        <v/>
      </c>
      <c r="S128" s="13" t="n"/>
      <c r="T128" s="11">
        <f t="array" ref="T128">XLOOKUP(Scenario_Selected, INDEX(Scenario_Table,0,1), INDEX(Scenario_Table,0,2))</f>
        <v/>
      </c>
      <c r="U128" s="11">
        <f t="array" ref="U128">XLOOKUP(Scenario_Selected, INDEX(Scenario_Table,0,1), INDEX(Scenario_Table,0,3))</f>
        <v/>
      </c>
      <c r="V128" s="11">
        <f t="array" ref="V128">XLOOKUP(Scenario_Selected, INDEX(Scenario_Table,0,1), INDEX(Scenario_Table,0,4))</f>
        <v/>
      </c>
      <c r="W128" s="11">
        <f t="array" ref="W128">LET(ev,$J128, ch,$L128, et,$I128, dr,$Q128, hpday,Assumptions!$B$2, hpw,Assumptions!$B$3, w,$M128,hm,INDIRECT("R[0]C[0]",FALSE),hrs, IF(et="Hours", ev, IF(et="Days", ev*IF(dr&gt;0, dr/$P128, hpday), IF(et="FTE", ev*hpw*w, ch))), IF(hrs="", "", hrs*hm))</f>
        <v/>
      </c>
      <c r="X128" s="11">
        <f>IF($P128="","", $P128*INDIRECT("R[0]C[-3]",FALSE))</f>
        <v/>
      </c>
      <c r="Y128" s="11">
        <f>IF(INDIRECT("R[0]C[-1]",FALSE)="","", INDIRECT("R[0]C[-2]",FALSE)*INDIRECT("R[0]C[-1]",FALSE)*(1+INDIRECT("R[0]C[-3]",FALSE)))</f>
        <v/>
      </c>
      <c r="Z128" s="13" t="n"/>
    </row>
    <row r="129" ht="15.75" customHeight="1" s="74">
      <c r="A129" s="11" t="n">
        <v>129</v>
      </c>
      <c r="C129" s="11">
        <f t="array" ref="C129">IFERROR(INDEX(Milestones!$A:$A, MATCH($B129, Milestones!$B:$B, 0)), "")</f>
        <v/>
      </c>
      <c r="D129" s="11">
        <f t="array" ref="D129">IFERROR(INDEX(Milestones!$C:$C, MATCH($B129, Milestones!$B:$B, 0)), "")</f>
        <v/>
      </c>
      <c r="F129" s="11">
        <f t="array" ref="F129">IFERROR(INDEX(Milestones!$E:$E, MATCH($B129, Milestones!$B:$B, 0)), "")</f>
        <v/>
      </c>
      <c r="I129" s="11" t="n"/>
      <c r="J129" s="20" t="n"/>
      <c r="K129" s="11" t="n"/>
      <c r="L129" s="11">
        <f t="array" ref="L129">IF($K129="","", IFERROR(IFS($K129="Low", INDEX('Lookups - Complexity'!$C:$C, MATCH($B129, 'Lookups - Complexity'!$B:$B,0)), $K129="Medium", INDEX('Lookups - Complexity'!$D:$D, MATCH($B129, 'Lookups - Complexity'!$B:$B,0)), $K129="High", INDEX('Lookups - Complexity'!$E:$E, MATCH($B129, 'Lookups - Complexity'!$B:$B,0))), ""))</f>
        <v/>
      </c>
      <c r="M129" s="11">
        <f>IF($I129="FTE", Assumptions!$B$3, "")</f>
        <v/>
      </c>
      <c r="N129" s="11">
        <f t="array" ref="N129">IFERROR(INDEX(Milestones!$F:$F, MATCH($B129, Milestones!$B:$B, 0)), "")</f>
        <v/>
      </c>
      <c r="O129" s="11">
        <f t="array" ref="O129">IFERROR(INDEX(Milestones!$G:$G, MATCH($B129, Milestones!$B:$B, 0)), "")</f>
        <v/>
      </c>
      <c r="P129" s="11">
        <f t="array" ref="P129">IFERROR(INDEX('Lookups - Rates'!$D:$D, MATCH($G129&amp;"|"&amp;$H129, 'Lookups - Rates'!$Z:$Z, 0)), "")</f>
        <v/>
      </c>
      <c r="Q129" s="11">
        <f t="array" ref="Q129">IFERROR(INDEX('Lookups - Rates'!$E:$E, MATCH($G129&amp;"|"&amp;$H129, 'Lookups - Rates'!$Z:$Z, 0)), "")</f>
        <v/>
      </c>
      <c r="R129" s="11">
        <f>LET(ev,$J129, ch,$L129, hr,$P129, dr,$Q129, hpday,Assumptions!$B$2, hpw,Assumptions!$B$3, w,$M129, hrs, IF($I129="Hours", ev, IF($I129="Days", ev*IF(dr&gt;0, dr/hr, hpday), IF($I129="FTE", ev*hpw*w, ch))), IF(hrs="", "", hrs*hr))</f>
        <v/>
      </c>
      <c r="S129" s="13" t="n"/>
      <c r="T129" s="11">
        <f t="array" ref="T129">XLOOKUP(Scenario_Selected, INDEX(Scenario_Table,0,1), INDEX(Scenario_Table,0,2))</f>
        <v/>
      </c>
      <c r="U129" s="11">
        <f t="array" ref="U129">XLOOKUP(Scenario_Selected, INDEX(Scenario_Table,0,1), INDEX(Scenario_Table,0,3))</f>
        <v/>
      </c>
      <c r="V129" s="11">
        <f t="array" ref="V129">XLOOKUP(Scenario_Selected, INDEX(Scenario_Table,0,1), INDEX(Scenario_Table,0,4))</f>
        <v/>
      </c>
      <c r="W129" s="11">
        <f t="array" ref="W129">LET(ev,$J129, ch,$L129, et,$I129, dr,$Q129, hpday,Assumptions!$B$2, hpw,Assumptions!$B$3, w,$M129,hm,INDIRECT("R[0]C[0]",FALSE),hrs, IF(et="Hours", ev, IF(et="Days", ev*IF(dr&gt;0, dr/$P129, hpday), IF(et="FTE", ev*hpw*w, ch))), IF(hrs="", "", hrs*hm))</f>
        <v/>
      </c>
      <c r="X129" s="11">
        <f>IF($P129="","", $P129*INDIRECT("R[0]C[-3]",FALSE))</f>
        <v/>
      </c>
      <c r="Y129" s="11">
        <f>IF(INDIRECT("R[0]C[-1]",FALSE)="","", INDIRECT("R[0]C[-2]",FALSE)*INDIRECT("R[0]C[-1]",FALSE)*(1+INDIRECT("R[0]C[-3]",FALSE)))</f>
        <v/>
      </c>
      <c r="Z129" s="13" t="n"/>
    </row>
    <row r="130" ht="15.75" customHeight="1" s="74">
      <c r="A130" s="11" t="n">
        <v>130</v>
      </c>
      <c r="C130" s="11">
        <f t="array" ref="C130">IFERROR(INDEX(Milestones!$A:$A, MATCH($B130, Milestones!$B:$B, 0)), "")</f>
        <v/>
      </c>
      <c r="D130" s="11">
        <f t="array" ref="D130">IFERROR(INDEX(Milestones!$C:$C, MATCH($B130, Milestones!$B:$B, 0)), "")</f>
        <v/>
      </c>
      <c r="F130" s="11">
        <f t="array" ref="F130">IFERROR(INDEX(Milestones!$E:$E, MATCH($B130, Milestones!$B:$B, 0)), "")</f>
        <v/>
      </c>
      <c r="I130" s="11" t="n"/>
      <c r="J130" s="20" t="n"/>
      <c r="K130" s="11" t="n"/>
      <c r="L130" s="11">
        <f t="array" ref="L130">IF($K130="","", IFERROR(IFS($K130="Low", INDEX('Lookups - Complexity'!$C:$C, MATCH($B130, 'Lookups - Complexity'!$B:$B,0)), $K130="Medium", INDEX('Lookups - Complexity'!$D:$D, MATCH($B130, 'Lookups - Complexity'!$B:$B,0)), $K130="High", INDEX('Lookups - Complexity'!$E:$E, MATCH($B130, 'Lookups - Complexity'!$B:$B,0))), ""))</f>
        <v/>
      </c>
      <c r="M130" s="11">
        <f>IF($I130="FTE", Assumptions!$B$3, "")</f>
        <v/>
      </c>
      <c r="N130" s="11">
        <f t="array" ref="N130">IFERROR(INDEX(Milestones!$F:$F, MATCH($B130, Milestones!$B:$B, 0)), "")</f>
        <v/>
      </c>
      <c r="O130" s="11">
        <f t="array" ref="O130">IFERROR(INDEX(Milestones!$G:$G, MATCH($B130, Milestones!$B:$B, 0)), "")</f>
        <v/>
      </c>
      <c r="P130" s="11">
        <f t="array" ref="P130">IFERROR(INDEX('Lookups - Rates'!$D:$D, MATCH($G130&amp;"|"&amp;$H130, 'Lookups - Rates'!$Z:$Z, 0)), "")</f>
        <v/>
      </c>
      <c r="Q130" s="11">
        <f t="array" ref="Q130">IFERROR(INDEX('Lookups - Rates'!$E:$E, MATCH($G130&amp;"|"&amp;$H130, 'Lookups - Rates'!$Z:$Z, 0)), "")</f>
        <v/>
      </c>
      <c r="R130" s="11">
        <f>LET(ev,$J130, ch,$L130, hr,$P130, dr,$Q130, hpday,Assumptions!$B$2, hpw,Assumptions!$B$3, w,$M130, hrs, IF($I130="Hours", ev, IF($I130="Days", ev*IF(dr&gt;0, dr/hr, hpday), IF($I130="FTE", ev*hpw*w, ch))), IF(hrs="", "", hrs*hr))</f>
        <v/>
      </c>
      <c r="S130" s="13" t="n"/>
      <c r="T130" s="11">
        <f t="array" ref="T130">XLOOKUP(Scenario_Selected, INDEX(Scenario_Table,0,1), INDEX(Scenario_Table,0,2))</f>
        <v/>
      </c>
      <c r="U130" s="11">
        <f t="array" ref="U130">XLOOKUP(Scenario_Selected, INDEX(Scenario_Table,0,1), INDEX(Scenario_Table,0,3))</f>
        <v/>
      </c>
      <c r="V130" s="11">
        <f t="array" ref="V130">XLOOKUP(Scenario_Selected, INDEX(Scenario_Table,0,1), INDEX(Scenario_Table,0,4))</f>
        <v/>
      </c>
      <c r="W130" s="11">
        <f t="array" ref="W130">LET(ev,$J130, ch,$L130, et,$I130, dr,$Q130, hpday,Assumptions!$B$2, hpw,Assumptions!$B$3, w,$M130,hm,INDIRECT("R[0]C[0]",FALSE),hrs, IF(et="Hours", ev, IF(et="Days", ev*IF(dr&gt;0, dr/$P130, hpday), IF(et="FTE", ev*hpw*w, ch))), IF(hrs="", "", hrs*hm))</f>
        <v/>
      </c>
      <c r="X130" s="11">
        <f>IF($P130="","", $P130*INDIRECT("R[0]C[-3]",FALSE))</f>
        <v/>
      </c>
      <c r="Y130" s="11">
        <f>IF(INDIRECT("R[0]C[-1]",FALSE)="","", INDIRECT("R[0]C[-2]",FALSE)*INDIRECT("R[0]C[-1]",FALSE)*(1+INDIRECT("R[0]C[-3]",FALSE)))</f>
        <v/>
      </c>
      <c r="Z130" s="13" t="n"/>
    </row>
    <row r="131" ht="15.75" customHeight="1" s="74">
      <c r="A131" s="11" t="n">
        <v>131</v>
      </c>
      <c r="C131" s="11">
        <f t="array" ref="C131">IFERROR(INDEX(Milestones!$A:$A, MATCH($B131, Milestones!$B:$B, 0)), "")</f>
        <v/>
      </c>
      <c r="D131" s="11">
        <f t="array" ref="D131">IFERROR(INDEX(Milestones!$C:$C, MATCH($B131, Milestones!$B:$B, 0)), "")</f>
        <v/>
      </c>
      <c r="F131" s="11">
        <f t="array" ref="F131">IFERROR(INDEX(Milestones!$E:$E, MATCH($B131, Milestones!$B:$B, 0)), "")</f>
        <v/>
      </c>
      <c r="I131" s="11" t="n"/>
      <c r="J131" s="20" t="n"/>
      <c r="K131" s="11" t="n"/>
      <c r="L131" s="11">
        <f t="array" ref="L131">IF($K131="","", IFERROR(IFS($K131="Low", INDEX('Lookups - Complexity'!$C:$C, MATCH($B131, 'Lookups - Complexity'!$B:$B,0)), $K131="Medium", INDEX('Lookups - Complexity'!$D:$D, MATCH($B131, 'Lookups - Complexity'!$B:$B,0)), $K131="High", INDEX('Lookups - Complexity'!$E:$E, MATCH($B131, 'Lookups - Complexity'!$B:$B,0))), ""))</f>
        <v/>
      </c>
      <c r="M131" s="11">
        <f>IF($I131="FTE", Assumptions!$B$3, "")</f>
        <v/>
      </c>
      <c r="N131" s="11">
        <f t="array" ref="N131">IFERROR(INDEX(Milestones!$F:$F, MATCH($B131, Milestones!$B:$B, 0)), "")</f>
        <v/>
      </c>
      <c r="O131" s="11">
        <f t="array" ref="O131">IFERROR(INDEX(Milestones!$G:$G, MATCH($B131, Milestones!$B:$B, 0)), "")</f>
        <v/>
      </c>
      <c r="P131" s="11">
        <f t="array" ref="P131">IFERROR(INDEX('Lookups - Rates'!$D:$D, MATCH($G131&amp;"|"&amp;$H131, 'Lookups - Rates'!$Z:$Z, 0)), "")</f>
        <v/>
      </c>
      <c r="Q131" s="11">
        <f t="array" ref="Q131">IFERROR(INDEX('Lookups - Rates'!$E:$E, MATCH($G131&amp;"|"&amp;$H131, 'Lookups - Rates'!$Z:$Z, 0)), "")</f>
        <v/>
      </c>
      <c r="R131" s="11">
        <f>LET(ev,$J131, ch,$L131, hr,$P131, dr,$Q131, hpday,Assumptions!$B$2, hpw,Assumptions!$B$3, w,$M131, hrs, IF($I131="Hours", ev, IF($I131="Days", ev*IF(dr&gt;0, dr/hr, hpday), IF($I131="FTE", ev*hpw*w, ch))), IF(hrs="", "", hrs*hr))</f>
        <v/>
      </c>
      <c r="S131" s="13" t="n"/>
      <c r="T131" s="11">
        <f t="array" ref="T131">XLOOKUP(Scenario_Selected, INDEX(Scenario_Table,0,1), INDEX(Scenario_Table,0,2))</f>
        <v/>
      </c>
      <c r="U131" s="11">
        <f t="array" ref="U131">XLOOKUP(Scenario_Selected, INDEX(Scenario_Table,0,1), INDEX(Scenario_Table,0,3))</f>
        <v/>
      </c>
      <c r="V131" s="11">
        <f t="array" ref="V131">XLOOKUP(Scenario_Selected, INDEX(Scenario_Table,0,1), INDEX(Scenario_Table,0,4))</f>
        <v/>
      </c>
      <c r="W131" s="11">
        <f t="array" ref="W131">LET(ev,$J131, ch,$L131, et,$I131, dr,$Q131, hpday,Assumptions!$B$2, hpw,Assumptions!$B$3, w,$M131,hm,INDIRECT("R[0]C[0]",FALSE),hrs, IF(et="Hours", ev, IF(et="Days", ev*IF(dr&gt;0, dr/$P131, hpday), IF(et="FTE", ev*hpw*w, ch))), IF(hrs="", "", hrs*hm))</f>
        <v/>
      </c>
      <c r="X131" s="11">
        <f>IF($P131="","", $P131*INDIRECT("R[0]C[-3]",FALSE))</f>
        <v/>
      </c>
      <c r="Y131" s="11">
        <f>IF(INDIRECT("R[0]C[-1]",FALSE)="","", INDIRECT("R[0]C[-2]",FALSE)*INDIRECT("R[0]C[-1]",FALSE)*(1+INDIRECT("R[0]C[-3]",FALSE)))</f>
        <v/>
      </c>
      <c r="Z131" s="13" t="n"/>
    </row>
    <row r="132" ht="15.75" customHeight="1" s="74">
      <c r="A132" s="11" t="n">
        <v>132</v>
      </c>
      <c r="C132" s="11">
        <f t="array" ref="C132">IFERROR(INDEX(Milestones!$A:$A, MATCH($B132, Milestones!$B:$B, 0)), "")</f>
        <v/>
      </c>
      <c r="D132" s="11">
        <f t="array" ref="D132">IFERROR(INDEX(Milestones!$C:$C, MATCH($B132, Milestones!$B:$B, 0)), "")</f>
        <v/>
      </c>
      <c r="F132" s="11">
        <f t="array" ref="F132">IFERROR(INDEX(Milestones!$E:$E, MATCH($B132, Milestones!$B:$B, 0)), "")</f>
        <v/>
      </c>
      <c r="I132" s="11" t="n"/>
      <c r="J132" s="20" t="n"/>
      <c r="K132" s="11" t="n"/>
      <c r="L132" s="11">
        <f t="array" ref="L132">IF($K132="","", IFERROR(IFS($K132="Low", INDEX('Lookups - Complexity'!$C:$C, MATCH($B132, 'Lookups - Complexity'!$B:$B,0)), $K132="Medium", INDEX('Lookups - Complexity'!$D:$D, MATCH($B132, 'Lookups - Complexity'!$B:$B,0)), $K132="High", INDEX('Lookups - Complexity'!$E:$E, MATCH($B132, 'Lookups - Complexity'!$B:$B,0))), ""))</f>
        <v/>
      </c>
      <c r="M132" s="11">
        <f>IF($I132="FTE", Assumptions!$B$3, "")</f>
        <v/>
      </c>
      <c r="N132" s="11">
        <f t="array" ref="N132">IFERROR(INDEX(Milestones!$F:$F, MATCH($B132, Milestones!$B:$B, 0)), "")</f>
        <v/>
      </c>
      <c r="O132" s="11">
        <f t="array" ref="O132">IFERROR(INDEX(Milestones!$G:$G, MATCH($B132, Milestones!$B:$B, 0)), "")</f>
        <v/>
      </c>
      <c r="P132" s="11">
        <f t="array" ref="P132">IFERROR(INDEX('Lookups - Rates'!$D:$D, MATCH($G132&amp;"|"&amp;$H132, 'Lookups - Rates'!$Z:$Z, 0)), "")</f>
        <v/>
      </c>
      <c r="Q132" s="11">
        <f t="array" ref="Q132">IFERROR(INDEX('Lookups - Rates'!$E:$E, MATCH($G132&amp;"|"&amp;$H132, 'Lookups - Rates'!$Z:$Z, 0)), "")</f>
        <v/>
      </c>
      <c r="R132" s="11">
        <f>LET(ev,$J132, ch,$L132, hr,$P132, dr,$Q132, hpday,Assumptions!$B$2, hpw,Assumptions!$B$3, w,$M132, hrs, IF($I132="Hours", ev, IF($I132="Days", ev*IF(dr&gt;0, dr/hr, hpday), IF($I132="FTE", ev*hpw*w, ch))), IF(hrs="", "", hrs*hr))</f>
        <v/>
      </c>
      <c r="S132" s="13" t="n"/>
      <c r="T132" s="11">
        <f t="array" ref="T132">XLOOKUP(Scenario_Selected, INDEX(Scenario_Table,0,1), INDEX(Scenario_Table,0,2))</f>
        <v/>
      </c>
      <c r="U132" s="11">
        <f t="array" ref="U132">XLOOKUP(Scenario_Selected, INDEX(Scenario_Table,0,1), INDEX(Scenario_Table,0,3))</f>
        <v/>
      </c>
      <c r="V132" s="11">
        <f t="array" ref="V132">XLOOKUP(Scenario_Selected, INDEX(Scenario_Table,0,1), INDEX(Scenario_Table,0,4))</f>
        <v/>
      </c>
      <c r="W132" s="11">
        <f t="array" ref="W132">LET(ev,$J132, ch,$L132, et,$I132, dr,$Q132, hpday,Assumptions!$B$2, hpw,Assumptions!$B$3, w,$M132,hm,INDIRECT("R[0]C[0]",FALSE),hrs, IF(et="Hours", ev, IF(et="Days", ev*IF(dr&gt;0, dr/$P132, hpday), IF(et="FTE", ev*hpw*w, ch))), IF(hrs="", "", hrs*hm))</f>
        <v/>
      </c>
      <c r="X132" s="11">
        <f>IF($P132="","", $P132*INDIRECT("R[0]C[-3]",FALSE))</f>
        <v/>
      </c>
      <c r="Y132" s="11">
        <f>IF(INDIRECT("R[0]C[-1]",FALSE)="","", INDIRECT("R[0]C[-2]",FALSE)*INDIRECT("R[0]C[-1]",FALSE)*(1+INDIRECT("R[0]C[-3]",FALSE)))</f>
        <v/>
      </c>
      <c r="Z132" s="13" t="n"/>
    </row>
    <row r="133" ht="15.75" customHeight="1" s="74">
      <c r="A133" s="11" t="n">
        <v>133</v>
      </c>
      <c r="C133" s="11">
        <f t="array" ref="C133">IFERROR(INDEX(Milestones!$A:$A, MATCH($B133, Milestones!$B:$B, 0)), "")</f>
        <v/>
      </c>
      <c r="D133" s="11">
        <f t="array" ref="D133">IFERROR(INDEX(Milestones!$C:$C, MATCH($B133, Milestones!$B:$B, 0)), "")</f>
        <v/>
      </c>
      <c r="F133" s="11">
        <f t="array" ref="F133">IFERROR(INDEX(Milestones!$E:$E, MATCH($B133, Milestones!$B:$B, 0)), "")</f>
        <v/>
      </c>
      <c r="I133" s="11" t="n"/>
      <c r="J133" s="20" t="n"/>
      <c r="K133" s="11" t="n"/>
      <c r="L133" s="11">
        <f t="array" ref="L133">IF($K133="","", IFERROR(IFS($K133="Low", INDEX('Lookups - Complexity'!$C:$C, MATCH($B133, 'Lookups - Complexity'!$B:$B,0)), $K133="Medium", INDEX('Lookups - Complexity'!$D:$D, MATCH($B133, 'Lookups - Complexity'!$B:$B,0)), $K133="High", INDEX('Lookups - Complexity'!$E:$E, MATCH($B133, 'Lookups - Complexity'!$B:$B,0))), ""))</f>
        <v/>
      </c>
      <c r="M133" s="11">
        <f>IF($I133="FTE", Assumptions!$B$3, "")</f>
        <v/>
      </c>
      <c r="N133" s="11">
        <f t="array" ref="N133">IFERROR(INDEX(Milestones!$F:$F, MATCH($B133, Milestones!$B:$B, 0)), "")</f>
        <v/>
      </c>
      <c r="O133" s="11">
        <f t="array" ref="O133">IFERROR(INDEX(Milestones!$G:$G, MATCH($B133, Milestones!$B:$B, 0)), "")</f>
        <v/>
      </c>
      <c r="P133" s="11">
        <f t="array" ref="P133">IFERROR(INDEX('Lookups - Rates'!$D:$D, MATCH($G133&amp;"|"&amp;$H133, 'Lookups - Rates'!$Z:$Z, 0)), "")</f>
        <v/>
      </c>
      <c r="Q133" s="11">
        <f t="array" ref="Q133">IFERROR(INDEX('Lookups - Rates'!$E:$E, MATCH($G133&amp;"|"&amp;$H133, 'Lookups - Rates'!$Z:$Z, 0)), "")</f>
        <v/>
      </c>
      <c r="R133" s="11">
        <f>LET(ev,$J133, ch,$L133, hr,$P133, dr,$Q133, hpday,Assumptions!$B$2, hpw,Assumptions!$B$3, w,$M133, hrs, IF($I133="Hours", ev, IF($I133="Days", ev*IF(dr&gt;0, dr/hr, hpday), IF($I133="FTE", ev*hpw*w, ch))), IF(hrs="", "", hrs*hr))</f>
        <v/>
      </c>
      <c r="S133" s="13" t="n"/>
      <c r="T133" s="11">
        <f t="array" ref="T133">XLOOKUP(Scenario_Selected, INDEX(Scenario_Table,0,1), INDEX(Scenario_Table,0,2))</f>
        <v/>
      </c>
      <c r="U133" s="11">
        <f t="array" ref="U133">XLOOKUP(Scenario_Selected, INDEX(Scenario_Table,0,1), INDEX(Scenario_Table,0,3))</f>
        <v/>
      </c>
      <c r="V133" s="11">
        <f t="array" ref="V133">XLOOKUP(Scenario_Selected, INDEX(Scenario_Table,0,1), INDEX(Scenario_Table,0,4))</f>
        <v/>
      </c>
      <c r="W133" s="11">
        <f t="array" ref="W133">LET(ev,$J133, ch,$L133, et,$I133, dr,$Q133, hpday,Assumptions!$B$2, hpw,Assumptions!$B$3, w,$M133,hm,INDIRECT("R[0]C[0]",FALSE),hrs, IF(et="Hours", ev, IF(et="Days", ev*IF(dr&gt;0, dr/$P133, hpday), IF(et="FTE", ev*hpw*w, ch))), IF(hrs="", "", hrs*hm))</f>
        <v/>
      </c>
      <c r="X133" s="11">
        <f>IF($P133="","", $P133*INDIRECT("R[0]C[-3]",FALSE))</f>
        <v/>
      </c>
      <c r="Y133" s="11">
        <f>IF(INDIRECT("R[0]C[-1]",FALSE)="","", INDIRECT("R[0]C[-2]",FALSE)*INDIRECT("R[0]C[-1]",FALSE)*(1+INDIRECT("R[0]C[-3]",FALSE)))</f>
        <v/>
      </c>
      <c r="Z133" s="13" t="n"/>
    </row>
    <row r="134" ht="15.75" customHeight="1" s="74">
      <c r="A134" s="11" t="n">
        <v>134</v>
      </c>
      <c r="C134" s="11">
        <f t="array" ref="C134">IFERROR(INDEX(Milestones!$A:$A, MATCH($B134, Milestones!$B:$B, 0)), "")</f>
        <v/>
      </c>
      <c r="D134" s="11">
        <f t="array" ref="D134">IFERROR(INDEX(Milestones!$C:$C, MATCH($B134, Milestones!$B:$B, 0)), "")</f>
        <v/>
      </c>
      <c r="F134" s="11">
        <f t="array" ref="F134">IFERROR(INDEX(Milestones!$E:$E, MATCH($B134, Milestones!$B:$B, 0)), "")</f>
        <v/>
      </c>
      <c r="I134" s="11" t="n"/>
      <c r="J134" s="20" t="n"/>
      <c r="K134" s="11" t="n"/>
      <c r="L134" s="11">
        <f t="array" ref="L134">IF($K134="","", IFERROR(IFS($K134="Low", INDEX('Lookups - Complexity'!$C:$C, MATCH($B134, 'Lookups - Complexity'!$B:$B,0)), $K134="Medium", INDEX('Lookups - Complexity'!$D:$D, MATCH($B134, 'Lookups - Complexity'!$B:$B,0)), $K134="High", INDEX('Lookups - Complexity'!$E:$E, MATCH($B134, 'Lookups - Complexity'!$B:$B,0))), ""))</f>
        <v/>
      </c>
      <c r="M134" s="11">
        <f>IF($I134="FTE", Assumptions!$B$3, "")</f>
        <v/>
      </c>
      <c r="N134" s="11">
        <f t="array" ref="N134">IFERROR(INDEX(Milestones!$F:$F, MATCH($B134, Milestones!$B:$B, 0)), "")</f>
        <v/>
      </c>
      <c r="O134" s="11">
        <f t="array" ref="O134">IFERROR(INDEX(Milestones!$G:$G, MATCH($B134, Milestones!$B:$B, 0)), "")</f>
        <v/>
      </c>
      <c r="P134" s="11">
        <f t="array" ref="P134">IFERROR(INDEX('Lookups - Rates'!$D:$D, MATCH($G134&amp;"|"&amp;$H134, 'Lookups - Rates'!$Z:$Z, 0)), "")</f>
        <v/>
      </c>
      <c r="Q134" s="11">
        <f t="array" ref="Q134">IFERROR(INDEX('Lookups - Rates'!$E:$E, MATCH($G134&amp;"|"&amp;$H134, 'Lookups - Rates'!$Z:$Z, 0)), "")</f>
        <v/>
      </c>
      <c r="R134" s="11">
        <f>LET(ev,$J134, ch,$L134, hr,$P134, dr,$Q134, hpday,Assumptions!$B$2, hpw,Assumptions!$B$3, w,$M134, hrs, IF($I134="Hours", ev, IF($I134="Days", ev*IF(dr&gt;0, dr/hr, hpday), IF($I134="FTE", ev*hpw*w, ch))), IF(hrs="", "", hrs*hr))</f>
        <v/>
      </c>
      <c r="S134" s="13" t="n"/>
      <c r="T134" s="11">
        <f t="array" ref="T134">XLOOKUP(Scenario_Selected, INDEX(Scenario_Table,0,1), INDEX(Scenario_Table,0,2))</f>
        <v/>
      </c>
      <c r="U134" s="11">
        <f t="array" ref="U134">XLOOKUP(Scenario_Selected, INDEX(Scenario_Table,0,1), INDEX(Scenario_Table,0,3))</f>
        <v/>
      </c>
      <c r="V134" s="11">
        <f t="array" ref="V134">XLOOKUP(Scenario_Selected, INDEX(Scenario_Table,0,1), INDEX(Scenario_Table,0,4))</f>
        <v/>
      </c>
      <c r="W134" s="11">
        <f t="array" ref="W134">LET(ev,$J134, ch,$L134, et,$I134, dr,$Q134, hpday,Assumptions!$B$2, hpw,Assumptions!$B$3, w,$M134,hm,INDIRECT("R[0]C[0]",FALSE),hrs, IF(et="Hours", ev, IF(et="Days", ev*IF(dr&gt;0, dr/$P134, hpday), IF(et="FTE", ev*hpw*w, ch))), IF(hrs="", "", hrs*hm))</f>
        <v/>
      </c>
      <c r="X134" s="11">
        <f>IF($P134="","", $P134*INDIRECT("R[0]C[-3]",FALSE))</f>
        <v/>
      </c>
      <c r="Y134" s="11">
        <f>IF(INDIRECT("R[0]C[-1]",FALSE)="","", INDIRECT("R[0]C[-2]",FALSE)*INDIRECT("R[0]C[-1]",FALSE)*(1+INDIRECT("R[0]C[-3]",FALSE)))</f>
        <v/>
      </c>
      <c r="Z134" s="13" t="n"/>
    </row>
    <row r="135" ht="15.75" customHeight="1" s="74">
      <c r="A135" s="11" t="n">
        <v>135</v>
      </c>
      <c r="C135" s="11">
        <f t="array" ref="C135">IFERROR(INDEX(Milestones!$A:$A, MATCH($B135, Milestones!$B:$B, 0)), "")</f>
        <v/>
      </c>
      <c r="D135" s="11">
        <f t="array" ref="D135">IFERROR(INDEX(Milestones!$C:$C, MATCH($B135, Milestones!$B:$B, 0)), "")</f>
        <v/>
      </c>
      <c r="F135" s="11">
        <f t="array" ref="F135">IFERROR(INDEX(Milestones!$E:$E, MATCH($B135, Milestones!$B:$B, 0)), "")</f>
        <v/>
      </c>
      <c r="I135" s="11" t="n"/>
      <c r="J135" s="20" t="n"/>
      <c r="K135" s="11" t="n"/>
      <c r="L135" s="11">
        <f t="array" ref="L135">IF($K135="","", IFERROR(IFS($K135="Low", INDEX('Lookups - Complexity'!$C:$C, MATCH($B135, 'Lookups - Complexity'!$B:$B,0)), $K135="Medium", INDEX('Lookups - Complexity'!$D:$D, MATCH($B135, 'Lookups - Complexity'!$B:$B,0)), $K135="High", INDEX('Lookups - Complexity'!$E:$E, MATCH($B135, 'Lookups - Complexity'!$B:$B,0))), ""))</f>
        <v/>
      </c>
      <c r="M135" s="11">
        <f>IF($I135="FTE", Assumptions!$B$3, "")</f>
        <v/>
      </c>
      <c r="N135" s="11">
        <f t="array" ref="N135">IFERROR(INDEX(Milestones!$F:$F, MATCH($B135, Milestones!$B:$B, 0)), "")</f>
        <v/>
      </c>
      <c r="O135" s="11">
        <f t="array" ref="O135">IFERROR(INDEX(Milestones!$G:$G, MATCH($B135, Milestones!$B:$B, 0)), "")</f>
        <v/>
      </c>
      <c r="P135" s="11">
        <f t="array" ref="P135">IFERROR(INDEX('Lookups - Rates'!$D:$D, MATCH($G135&amp;"|"&amp;$H135, 'Lookups - Rates'!$Z:$Z, 0)), "")</f>
        <v/>
      </c>
      <c r="Q135" s="11">
        <f t="array" ref="Q135">IFERROR(INDEX('Lookups - Rates'!$E:$E, MATCH($G135&amp;"|"&amp;$H135, 'Lookups - Rates'!$Z:$Z, 0)), "")</f>
        <v/>
      </c>
      <c r="R135" s="11">
        <f>LET(ev,$J135, ch,$L135, hr,$P135, dr,$Q135, hpday,Assumptions!$B$2, hpw,Assumptions!$B$3, w,$M135, hrs, IF($I135="Hours", ev, IF($I135="Days", ev*IF(dr&gt;0, dr/hr, hpday), IF($I135="FTE", ev*hpw*w, ch))), IF(hrs="", "", hrs*hr))</f>
        <v/>
      </c>
      <c r="S135" s="13" t="n"/>
      <c r="T135" s="11">
        <f t="array" ref="T135">XLOOKUP(Scenario_Selected, INDEX(Scenario_Table,0,1), INDEX(Scenario_Table,0,2))</f>
        <v/>
      </c>
      <c r="U135" s="11">
        <f t="array" ref="U135">XLOOKUP(Scenario_Selected, INDEX(Scenario_Table,0,1), INDEX(Scenario_Table,0,3))</f>
        <v/>
      </c>
      <c r="V135" s="11">
        <f t="array" ref="V135">XLOOKUP(Scenario_Selected, INDEX(Scenario_Table,0,1), INDEX(Scenario_Table,0,4))</f>
        <v/>
      </c>
      <c r="W135" s="11">
        <f t="array" ref="W135">LET(ev,$J135, ch,$L135, et,$I135, dr,$Q135, hpday,Assumptions!$B$2, hpw,Assumptions!$B$3, w,$M135,hm,INDIRECT("R[0]C[0]",FALSE),hrs, IF(et="Hours", ev, IF(et="Days", ev*IF(dr&gt;0, dr/$P135, hpday), IF(et="FTE", ev*hpw*w, ch))), IF(hrs="", "", hrs*hm))</f>
        <v/>
      </c>
      <c r="X135" s="11">
        <f>IF($P135="","", $P135*INDIRECT("R[0]C[-3]",FALSE))</f>
        <v/>
      </c>
      <c r="Y135" s="11">
        <f>IF(INDIRECT("R[0]C[-1]",FALSE)="","", INDIRECT("R[0]C[-2]",FALSE)*INDIRECT("R[0]C[-1]",FALSE)*(1+INDIRECT("R[0]C[-3]",FALSE)))</f>
        <v/>
      </c>
      <c r="Z135" s="13" t="n"/>
    </row>
    <row r="136" ht="15.75" customHeight="1" s="74">
      <c r="A136" s="11" t="n">
        <v>136</v>
      </c>
      <c r="C136" s="11">
        <f t="array" ref="C136">IFERROR(INDEX(Milestones!$A:$A, MATCH($B136, Milestones!$B:$B, 0)), "")</f>
        <v/>
      </c>
      <c r="D136" s="11">
        <f t="array" ref="D136">IFERROR(INDEX(Milestones!$C:$C, MATCH($B136, Milestones!$B:$B, 0)), "")</f>
        <v/>
      </c>
      <c r="F136" s="11">
        <f t="array" ref="F136">IFERROR(INDEX(Milestones!$E:$E, MATCH($B136, Milestones!$B:$B, 0)), "")</f>
        <v/>
      </c>
      <c r="I136" s="11" t="n"/>
      <c r="J136" s="20" t="n"/>
      <c r="K136" s="11" t="n"/>
      <c r="L136" s="11">
        <f t="array" ref="L136">IF($K136="","", IFERROR(IFS($K136="Low", INDEX('Lookups - Complexity'!$C:$C, MATCH($B136, 'Lookups - Complexity'!$B:$B,0)), $K136="Medium", INDEX('Lookups - Complexity'!$D:$D, MATCH($B136, 'Lookups - Complexity'!$B:$B,0)), $K136="High", INDEX('Lookups - Complexity'!$E:$E, MATCH($B136, 'Lookups - Complexity'!$B:$B,0))), ""))</f>
        <v/>
      </c>
      <c r="M136" s="11">
        <f>IF($I136="FTE", Assumptions!$B$3, "")</f>
        <v/>
      </c>
      <c r="N136" s="11">
        <f t="array" ref="N136">IFERROR(INDEX(Milestones!$F:$F, MATCH($B136, Milestones!$B:$B, 0)), "")</f>
        <v/>
      </c>
      <c r="O136" s="11">
        <f t="array" ref="O136">IFERROR(INDEX(Milestones!$G:$G, MATCH($B136, Milestones!$B:$B, 0)), "")</f>
        <v/>
      </c>
      <c r="P136" s="11">
        <f t="array" ref="P136">IFERROR(INDEX('Lookups - Rates'!$D:$D, MATCH($G136&amp;"|"&amp;$H136, 'Lookups - Rates'!$Z:$Z, 0)), "")</f>
        <v/>
      </c>
      <c r="Q136" s="11">
        <f t="array" ref="Q136">IFERROR(INDEX('Lookups - Rates'!$E:$E, MATCH($G136&amp;"|"&amp;$H136, 'Lookups - Rates'!$Z:$Z, 0)), "")</f>
        <v/>
      </c>
      <c r="R136" s="11">
        <f>LET(ev,$J136, ch,$L136, hr,$P136, dr,$Q136, hpday,Assumptions!$B$2, hpw,Assumptions!$B$3, w,$M136, hrs, IF($I136="Hours", ev, IF($I136="Days", ev*IF(dr&gt;0, dr/hr, hpday), IF($I136="FTE", ev*hpw*w, ch))), IF(hrs="", "", hrs*hr))</f>
        <v/>
      </c>
      <c r="S136" s="13" t="n"/>
      <c r="T136" s="11">
        <f t="array" ref="T136">XLOOKUP(Scenario_Selected, INDEX(Scenario_Table,0,1), INDEX(Scenario_Table,0,2))</f>
        <v/>
      </c>
      <c r="U136" s="11">
        <f t="array" ref="U136">XLOOKUP(Scenario_Selected, INDEX(Scenario_Table,0,1), INDEX(Scenario_Table,0,3))</f>
        <v/>
      </c>
      <c r="V136" s="11">
        <f t="array" ref="V136">XLOOKUP(Scenario_Selected, INDEX(Scenario_Table,0,1), INDEX(Scenario_Table,0,4))</f>
        <v/>
      </c>
      <c r="W136" s="11">
        <f t="array" ref="W136">LET(ev,$J136, ch,$L136, et,$I136, dr,$Q136, hpday,Assumptions!$B$2, hpw,Assumptions!$B$3, w,$M136,hm,INDIRECT("R[0]C[0]",FALSE),hrs, IF(et="Hours", ev, IF(et="Days", ev*IF(dr&gt;0, dr/$P136, hpday), IF(et="FTE", ev*hpw*w, ch))), IF(hrs="", "", hrs*hm))</f>
        <v/>
      </c>
      <c r="X136" s="11">
        <f>IF($P136="","", $P136*INDIRECT("R[0]C[-3]",FALSE))</f>
        <v/>
      </c>
      <c r="Y136" s="11">
        <f>IF(INDIRECT("R[0]C[-1]",FALSE)="","", INDIRECT("R[0]C[-2]",FALSE)*INDIRECT("R[0]C[-1]",FALSE)*(1+INDIRECT("R[0]C[-3]",FALSE)))</f>
        <v/>
      </c>
      <c r="Z136" s="13" t="n"/>
    </row>
    <row r="137" ht="15.75" customHeight="1" s="74">
      <c r="A137" s="11" t="n">
        <v>137</v>
      </c>
      <c r="C137" s="11">
        <f t="array" ref="C137">IFERROR(INDEX(Milestones!$A:$A, MATCH($B137, Milestones!$B:$B, 0)), "")</f>
        <v/>
      </c>
      <c r="D137" s="11">
        <f t="array" ref="D137">IFERROR(INDEX(Milestones!$C:$C, MATCH($B137, Milestones!$B:$B, 0)), "")</f>
        <v/>
      </c>
      <c r="F137" s="11">
        <f t="array" ref="F137">IFERROR(INDEX(Milestones!$E:$E, MATCH($B137, Milestones!$B:$B, 0)), "")</f>
        <v/>
      </c>
      <c r="I137" s="11" t="n"/>
      <c r="J137" s="20" t="n"/>
      <c r="K137" s="11" t="n"/>
      <c r="L137" s="11">
        <f t="array" ref="L137">IF($K137="","", IFERROR(IFS($K137="Low", INDEX('Lookups - Complexity'!$C:$C, MATCH($B137, 'Lookups - Complexity'!$B:$B,0)), $K137="Medium", INDEX('Lookups - Complexity'!$D:$D, MATCH($B137, 'Lookups - Complexity'!$B:$B,0)), $K137="High", INDEX('Lookups - Complexity'!$E:$E, MATCH($B137, 'Lookups - Complexity'!$B:$B,0))), ""))</f>
        <v/>
      </c>
      <c r="M137" s="11">
        <f>IF($I137="FTE", Assumptions!$B$3, "")</f>
        <v/>
      </c>
      <c r="N137" s="11">
        <f t="array" ref="N137">IFERROR(INDEX(Milestones!$F:$F, MATCH($B137, Milestones!$B:$B, 0)), "")</f>
        <v/>
      </c>
      <c r="O137" s="11">
        <f t="array" ref="O137">IFERROR(INDEX(Milestones!$G:$G, MATCH($B137, Milestones!$B:$B, 0)), "")</f>
        <v/>
      </c>
      <c r="P137" s="11">
        <f t="array" ref="P137">IFERROR(INDEX('Lookups - Rates'!$D:$D, MATCH($G137&amp;"|"&amp;$H137, 'Lookups - Rates'!$Z:$Z, 0)), "")</f>
        <v/>
      </c>
      <c r="Q137" s="11">
        <f t="array" ref="Q137">IFERROR(INDEX('Lookups - Rates'!$E:$E, MATCH($G137&amp;"|"&amp;$H137, 'Lookups - Rates'!$Z:$Z, 0)), "")</f>
        <v/>
      </c>
      <c r="R137" s="11">
        <f>LET(ev,$J137, ch,$L137, hr,$P137, dr,$Q137, hpday,Assumptions!$B$2, hpw,Assumptions!$B$3, w,$M137, hrs, IF($I137="Hours", ev, IF($I137="Days", ev*IF(dr&gt;0, dr/hr, hpday), IF($I137="FTE", ev*hpw*w, ch))), IF(hrs="", "", hrs*hr))</f>
        <v/>
      </c>
      <c r="S137" s="13" t="n"/>
      <c r="T137" s="11">
        <f t="array" ref="T137">XLOOKUP(Scenario_Selected, INDEX(Scenario_Table,0,1), INDEX(Scenario_Table,0,2))</f>
        <v/>
      </c>
      <c r="U137" s="11">
        <f t="array" ref="U137">XLOOKUP(Scenario_Selected, INDEX(Scenario_Table,0,1), INDEX(Scenario_Table,0,3))</f>
        <v/>
      </c>
      <c r="V137" s="11">
        <f t="array" ref="V137">XLOOKUP(Scenario_Selected, INDEX(Scenario_Table,0,1), INDEX(Scenario_Table,0,4))</f>
        <v/>
      </c>
      <c r="W137" s="11">
        <f t="array" ref="W137">LET(ev,$J137, ch,$L137, et,$I137, dr,$Q137, hpday,Assumptions!$B$2, hpw,Assumptions!$B$3, w,$M137,hm,INDIRECT("R[0]C[0]",FALSE),hrs, IF(et="Hours", ev, IF(et="Days", ev*IF(dr&gt;0, dr/$P137, hpday), IF(et="FTE", ev*hpw*w, ch))), IF(hrs="", "", hrs*hm))</f>
        <v/>
      </c>
      <c r="X137" s="11">
        <f>IF($P137="","", $P137*INDIRECT("R[0]C[-3]",FALSE))</f>
        <v/>
      </c>
      <c r="Y137" s="11">
        <f>IF(INDIRECT("R[0]C[-1]",FALSE)="","", INDIRECT("R[0]C[-2]",FALSE)*INDIRECT("R[0]C[-1]",FALSE)*(1+INDIRECT("R[0]C[-3]",FALSE)))</f>
        <v/>
      </c>
      <c r="Z137" s="13" t="n"/>
    </row>
    <row r="138" ht="15.75" customHeight="1" s="74">
      <c r="A138" s="11" t="n">
        <v>138</v>
      </c>
      <c r="C138" s="11">
        <f t="array" ref="C138">IFERROR(INDEX(Milestones!$A:$A, MATCH($B138, Milestones!$B:$B, 0)), "")</f>
        <v/>
      </c>
      <c r="D138" s="11">
        <f t="array" ref="D138">IFERROR(INDEX(Milestones!$C:$C, MATCH($B138, Milestones!$B:$B, 0)), "")</f>
        <v/>
      </c>
      <c r="F138" s="11">
        <f t="array" ref="F138">IFERROR(INDEX(Milestones!$E:$E, MATCH($B138, Milestones!$B:$B, 0)), "")</f>
        <v/>
      </c>
      <c r="I138" s="11" t="n"/>
      <c r="J138" s="20" t="n"/>
      <c r="K138" s="11" t="n"/>
      <c r="L138" s="11">
        <f t="array" ref="L138">IF($K138="","", IFERROR(IFS($K138="Low", INDEX('Lookups - Complexity'!$C:$C, MATCH($B138, 'Lookups - Complexity'!$B:$B,0)), $K138="Medium", INDEX('Lookups - Complexity'!$D:$D, MATCH($B138, 'Lookups - Complexity'!$B:$B,0)), $K138="High", INDEX('Lookups - Complexity'!$E:$E, MATCH($B138, 'Lookups - Complexity'!$B:$B,0))), ""))</f>
        <v/>
      </c>
      <c r="M138" s="11">
        <f>IF($I138="FTE", Assumptions!$B$3, "")</f>
        <v/>
      </c>
      <c r="N138" s="11">
        <f t="array" ref="N138">IFERROR(INDEX(Milestones!$F:$F, MATCH($B138, Milestones!$B:$B, 0)), "")</f>
        <v/>
      </c>
      <c r="O138" s="11">
        <f t="array" ref="O138">IFERROR(INDEX(Milestones!$G:$G, MATCH($B138, Milestones!$B:$B, 0)), "")</f>
        <v/>
      </c>
      <c r="P138" s="11">
        <f t="array" ref="P138">IFERROR(INDEX('Lookups - Rates'!$D:$D, MATCH($G138&amp;"|"&amp;$H138, 'Lookups - Rates'!$Z:$Z, 0)), "")</f>
        <v/>
      </c>
      <c r="Q138" s="11">
        <f t="array" ref="Q138">IFERROR(INDEX('Lookups - Rates'!$E:$E, MATCH($G138&amp;"|"&amp;$H138, 'Lookups - Rates'!$Z:$Z, 0)), "")</f>
        <v/>
      </c>
      <c r="R138" s="11">
        <f>LET(ev,$J138, ch,$L138, hr,$P138, dr,$Q138, hpday,Assumptions!$B$2, hpw,Assumptions!$B$3, w,$M138, hrs, IF($I138="Hours", ev, IF($I138="Days", ev*IF(dr&gt;0, dr/hr, hpday), IF($I138="FTE", ev*hpw*w, ch))), IF(hrs="", "", hrs*hr))</f>
        <v/>
      </c>
      <c r="S138" s="13" t="n"/>
      <c r="T138" s="11">
        <f t="array" ref="T138">XLOOKUP(Scenario_Selected, INDEX(Scenario_Table,0,1), INDEX(Scenario_Table,0,2))</f>
        <v/>
      </c>
      <c r="U138" s="11">
        <f t="array" ref="U138">XLOOKUP(Scenario_Selected, INDEX(Scenario_Table,0,1), INDEX(Scenario_Table,0,3))</f>
        <v/>
      </c>
      <c r="V138" s="11">
        <f t="array" ref="V138">XLOOKUP(Scenario_Selected, INDEX(Scenario_Table,0,1), INDEX(Scenario_Table,0,4))</f>
        <v/>
      </c>
      <c r="W138" s="11">
        <f t="array" ref="W138">LET(ev,$J138, ch,$L138, et,$I138, dr,$Q138, hpday,Assumptions!$B$2, hpw,Assumptions!$B$3, w,$M138,hm,INDIRECT("R[0]C[0]",FALSE),hrs, IF(et="Hours", ev, IF(et="Days", ev*IF(dr&gt;0, dr/$P138, hpday), IF(et="FTE", ev*hpw*w, ch))), IF(hrs="", "", hrs*hm))</f>
        <v/>
      </c>
      <c r="X138" s="11">
        <f>IF($P138="","", $P138*INDIRECT("R[0]C[-3]",FALSE))</f>
        <v/>
      </c>
      <c r="Y138" s="11">
        <f>IF(INDIRECT("R[0]C[-1]",FALSE)="","", INDIRECT("R[0]C[-2]",FALSE)*INDIRECT("R[0]C[-1]",FALSE)*(1+INDIRECT("R[0]C[-3]",FALSE)))</f>
        <v/>
      </c>
      <c r="Z138" s="13" t="n"/>
    </row>
    <row r="139" ht="15.75" customHeight="1" s="74">
      <c r="A139" s="11" t="n">
        <v>139</v>
      </c>
      <c r="C139" s="11">
        <f t="array" ref="C139">IFERROR(INDEX(Milestones!$A:$A, MATCH($B139, Milestones!$B:$B, 0)), "")</f>
        <v/>
      </c>
      <c r="D139" s="11">
        <f t="array" ref="D139">IFERROR(INDEX(Milestones!$C:$C, MATCH($B139, Milestones!$B:$B, 0)), "")</f>
        <v/>
      </c>
      <c r="F139" s="11">
        <f t="array" ref="F139">IFERROR(INDEX(Milestones!$E:$E, MATCH($B139, Milestones!$B:$B, 0)), "")</f>
        <v/>
      </c>
      <c r="I139" s="11" t="n"/>
      <c r="J139" s="20" t="n"/>
      <c r="K139" s="11" t="n"/>
      <c r="L139" s="11">
        <f t="array" ref="L139">IF($K139="","", IFERROR(IFS($K139="Low", INDEX('Lookups - Complexity'!$C:$C, MATCH($B139, 'Lookups - Complexity'!$B:$B,0)), $K139="Medium", INDEX('Lookups - Complexity'!$D:$D, MATCH($B139, 'Lookups - Complexity'!$B:$B,0)), $K139="High", INDEX('Lookups - Complexity'!$E:$E, MATCH($B139, 'Lookups - Complexity'!$B:$B,0))), ""))</f>
        <v/>
      </c>
      <c r="M139" s="11">
        <f>IF($I139="FTE", Assumptions!$B$3, "")</f>
        <v/>
      </c>
      <c r="N139" s="11">
        <f t="array" ref="N139">IFERROR(INDEX(Milestones!$F:$F, MATCH($B139, Milestones!$B:$B, 0)), "")</f>
        <v/>
      </c>
      <c r="O139" s="11">
        <f t="array" ref="O139">IFERROR(INDEX(Milestones!$G:$G, MATCH($B139, Milestones!$B:$B, 0)), "")</f>
        <v/>
      </c>
      <c r="P139" s="11">
        <f t="array" ref="P139">IFERROR(INDEX('Lookups - Rates'!$D:$D, MATCH($G139&amp;"|"&amp;$H139, 'Lookups - Rates'!$Z:$Z, 0)), "")</f>
        <v/>
      </c>
      <c r="Q139" s="11">
        <f t="array" ref="Q139">IFERROR(INDEX('Lookups - Rates'!$E:$E, MATCH($G139&amp;"|"&amp;$H139, 'Lookups - Rates'!$Z:$Z, 0)), "")</f>
        <v/>
      </c>
      <c r="R139" s="11">
        <f>LET(ev,$J139, ch,$L139, hr,$P139, dr,$Q139, hpday,Assumptions!$B$2, hpw,Assumptions!$B$3, w,$M139, hrs, IF($I139="Hours", ev, IF($I139="Days", ev*IF(dr&gt;0, dr/hr, hpday), IF($I139="FTE", ev*hpw*w, ch))), IF(hrs="", "", hrs*hr))</f>
        <v/>
      </c>
      <c r="S139" s="13" t="n"/>
      <c r="T139" s="11">
        <f t="array" ref="T139">XLOOKUP(Scenario_Selected, INDEX(Scenario_Table,0,1), INDEX(Scenario_Table,0,2))</f>
        <v/>
      </c>
      <c r="U139" s="11">
        <f t="array" ref="U139">XLOOKUP(Scenario_Selected, INDEX(Scenario_Table,0,1), INDEX(Scenario_Table,0,3))</f>
        <v/>
      </c>
      <c r="V139" s="11">
        <f t="array" ref="V139">XLOOKUP(Scenario_Selected, INDEX(Scenario_Table,0,1), INDEX(Scenario_Table,0,4))</f>
        <v/>
      </c>
      <c r="W139" s="11">
        <f t="array" ref="W139">LET(ev,$J139, ch,$L139, et,$I139, dr,$Q139, hpday,Assumptions!$B$2, hpw,Assumptions!$B$3, w,$M139,hm,INDIRECT("R[0]C[0]",FALSE),hrs, IF(et="Hours", ev, IF(et="Days", ev*IF(dr&gt;0, dr/$P139, hpday), IF(et="FTE", ev*hpw*w, ch))), IF(hrs="", "", hrs*hm))</f>
        <v/>
      </c>
      <c r="X139" s="11">
        <f>IF($P139="","", $P139*INDIRECT("R[0]C[-3]",FALSE))</f>
        <v/>
      </c>
      <c r="Y139" s="11">
        <f>IF(INDIRECT("R[0]C[-1]",FALSE)="","", INDIRECT("R[0]C[-2]",FALSE)*INDIRECT("R[0]C[-1]",FALSE)*(1+INDIRECT("R[0]C[-3]",FALSE)))</f>
        <v/>
      </c>
      <c r="Z139" s="13" t="n"/>
    </row>
    <row r="140" ht="15.75" customHeight="1" s="74">
      <c r="A140" s="11" t="n">
        <v>140</v>
      </c>
      <c r="C140" s="11">
        <f t="array" ref="C140">IFERROR(INDEX(Milestones!$A:$A, MATCH($B140, Milestones!$B:$B, 0)), "")</f>
        <v/>
      </c>
      <c r="D140" s="11">
        <f t="array" ref="D140">IFERROR(INDEX(Milestones!$C:$C, MATCH($B140, Milestones!$B:$B, 0)), "")</f>
        <v/>
      </c>
      <c r="F140" s="11">
        <f t="array" ref="F140">IFERROR(INDEX(Milestones!$E:$E, MATCH($B140, Milestones!$B:$B, 0)), "")</f>
        <v/>
      </c>
      <c r="I140" s="11" t="n"/>
      <c r="J140" s="20" t="n"/>
      <c r="K140" s="11" t="n"/>
      <c r="L140" s="11">
        <f t="array" ref="L140">IF($K140="","", IFERROR(IFS($K140="Low", INDEX('Lookups - Complexity'!$C:$C, MATCH($B140, 'Lookups - Complexity'!$B:$B,0)), $K140="Medium", INDEX('Lookups - Complexity'!$D:$D, MATCH($B140, 'Lookups - Complexity'!$B:$B,0)), $K140="High", INDEX('Lookups - Complexity'!$E:$E, MATCH($B140, 'Lookups - Complexity'!$B:$B,0))), ""))</f>
        <v/>
      </c>
      <c r="M140" s="11">
        <f>IF($I140="FTE", Assumptions!$B$3, "")</f>
        <v/>
      </c>
      <c r="N140" s="11">
        <f t="array" ref="N140">IFERROR(INDEX(Milestones!$F:$F, MATCH($B140, Milestones!$B:$B, 0)), "")</f>
        <v/>
      </c>
      <c r="O140" s="11">
        <f t="array" ref="O140">IFERROR(INDEX(Milestones!$G:$G, MATCH($B140, Milestones!$B:$B, 0)), "")</f>
        <v/>
      </c>
      <c r="P140" s="11">
        <f t="array" ref="P140">IFERROR(INDEX('Lookups - Rates'!$D:$D, MATCH($G140&amp;"|"&amp;$H140, 'Lookups - Rates'!$Z:$Z, 0)), "")</f>
        <v/>
      </c>
      <c r="Q140" s="11">
        <f t="array" ref="Q140">IFERROR(INDEX('Lookups - Rates'!$E:$E, MATCH($G140&amp;"|"&amp;$H140, 'Lookups - Rates'!$Z:$Z, 0)), "")</f>
        <v/>
      </c>
      <c r="R140" s="11">
        <f>LET(ev,$J140, ch,$L140, hr,$P140, dr,$Q140, hpday,Assumptions!$B$2, hpw,Assumptions!$B$3, w,$M140, hrs, IF($I140="Hours", ev, IF($I140="Days", ev*IF(dr&gt;0, dr/hr, hpday), IF($I140="FTE", ev*hpw*w, ch))), IF(hrs="", "", hrs*hr))</f>
        <v/>
      </c>
      <c r="S140" s="13" t="n"/>
      <c r="T140" s="11">
        <f t="array" ref="T140">XLOOKUP(Scenario_Selected, INDEX(Scenario_Table,0,1), INDEX(Scenario_Table,0,2))</f>
        <v/>
      </c>
      <c r="U140" s="11">
        <f t="array" ref="U140">XLOOKUP(Scenario_Selected, INDEX(Scenario_Table,0,1), INDEX(Scenario_Table,0,3))</f>
        <v/>
      </c>
      <c r="V140" s="11">
        <f t="array" ref="V140">XLOOKUP(Scenario_Selected, INDEX(Scenario_Table,0,1), INDEX(Scenario_Table,0,4))</f>
        <v/>
      </c>
      <c r="W140" s="11">
        <f t="array" ref="W140">LET(ev,$J140, ch,$L140, et,$I140, dr,$Q140, hpday,Assumptions!$B$2, hpw,Assumptions!$B$3, w,$M140,hm,INDIRECT("R[0]C[0]",FALSE),hrs, IF(et="Hours", ev, IF(et="Days", ev*IF(dr&gt;0, dr/$P140, hpday), IF(et="FTE", ev*hpw*w, ch))), IF(hrs="", "", hrs*hm))</f>
        <v/>
      </c>
      <c r="X140" s="11">
        <f>IF($P140="","", $P140*INDIRECT("R[0]C[-3]",FALSE))</f>
        <v/>
      </c>
      <c r="Y140" s="11">
        <f>IF(INDIRECT("R[0]C[-1]",FALSE)="","", INDIRECT("R[0]C[-2]",FALSE)*INDIRECT("R[0]C[-1]",FALSE)*(1+INDIRECT("R[0]C[-3]",FALSE)))</f>
        <v/>
      </c>
      <c r="Z140" s="13" t="n"/>
    </row>
    <row r="141" ht="15.75" customHeight="1" s="74">
      <c r="A141" s="11" t="n">
        <v>141</v>
      </c>
      <c r="C141" s="11">
        <f t="array" ref="C141">IFERROR(INDEX(Milestones!$A:$A, MATCH($B141, Milestones!$B:$B, 0)), "")</f>
        <v/>
      </c>
      <c r="D141" s="11">
        <f t="array" ref="D141">IFERROR(INDEX(Milestones!$C:$C, MATCH($B141, Milestones!$B:$B, 0)), "")</f>
        <v/>
      </c>
      <c r="F141" s="11">
        <f t="array" ref="F141">IFERROR(INDEX(Milestones!$E:$E, MATCH($B141, Milestones!$B:$B, 0)), "")</f>
        <v/>
      </c>
      <c r="I141" s="11" t="n"/>
      <c r="J141" s="20" t="n"/>
      <c r="K141" s="11" t="n"/>
      <c r="L141" s="11">
        <f t="array" ref="L141">IF($K141="","", IFERROR(IFS($K141="Low", INDEX('Lookups - Complexity'!$C:$C, MATCH($B141, 'Lookups - Complexity'!$B:$B,0)), $K141="Medium", INDEX('Lookups - Complexity'!$D:$D, MATCH($B141, 'Lookups - Complexity'!$B:$B,0)), $K141="High", INDEX('Lookups - Complexity'!$E:$E, MATCH($B141, 'Lookups - Complexity'!$B:$B,0))), ""))</f>
        <v/>
      </c>
      <c r="M141" s="11">
        <f>IF($I141="FTE", Assumptions!$B$3, "")</f>
        <v/>
      </c>
      <c r="N141" s="11">
        <f t="array" ref="N141">IFERROR(INDEX(Milestones!$F:$F, MATCH($B141, Milestones!$B:$B, 0)), "")</f>
        <v/>
      </c>
      <c r="O141" s="11">
        <f t="array" ref="O141">IFERROR(INDEX(Milestones!$G:$G, MATCH($B141, Milestones!$B:$B, 0)), "")</f>
        <v/>
      </c>
      <c r="P141" s="11">
        <f t="array" ref="P141">IFERROR(INDEX('Lookups - Rates'!$D:$D, MATCH($G141&amp;"|"&amp;$H141, 'Lookups - Rates'!$Z:$Z, 0)), "")</f>
        <v/>
      </c>
      <c r="Q141" s="11">
        <f t="array" ref="Q141">IFERROR(INDEX('Lookups - Rates'!$E:$E, MATCH($G141&amp;"|"&amp;$H141, 'Lookups - Rates'!$Z:$Z, 0)), "")</f>
        <v/>
      </c>
      <c r="R141" s="11">
        <f>LET(ev,$J141, ch,$L141, hr,$P141, dr,$Q141, hpday,Assumptions!$B$2, hpw,Assumptions!$B$3, w,$M141, hrs, IF($I141="Hours", ev, IF($I141="Days", ev*IF(dr&gt;0, dr/hr, hpday), IF($I141="FTE", ev*hpw*w, ch))), IF(hrs="", "", hrs*hr))</f>
        <v/>
      </c>
      <c r="S141" s="13" t="n"/>
      <c r="T141" s="11">
        <f t="array" ref="T141">XLOOKUP(Scenario_Selected, INDEX(Scenario_Table,0,1), INDEX(Scenario_Table,0,2))</f>
        <v/>
      </c>
      <c r="U141" s="11">
        <f t="array" ref="U141">XLOOKUP(Scenario_Selected, INDEX(Scenario_Table,0,1), INDEX(Scenario_Table,0,3))</f>
        <v/>
      </c>
      <c r="V141" s="11">
        <f t="array" ref="V141">XLOOKUP(Scenario_Selected, INDEX(Scenario_Table,0,1), INDEX(Scenario_Table,0,4))</f>
        <v/>
      </c>
      <c r="W141" s="11">
        <f t="array" ref="W141">LET(ev,$J141, ch,$L141, et,$I141, dr,$Q141, hpday,Assumptions!$B$2, hpw,Assumptions!$B$3, w,$M141,hm,INDIRECT("R[0]C[0]",FALSE),hrs, IF(et="Hours", ev, IF(et="Days", ev*IF(dr&gt;0, dr/$P141, hpday), IF(et="FTE", ev*hpw*w, ch))), IF(hrs="", "", hrs*hm))</f>
        <v/>
      </c>
      <c r="X141" s="11">
        <f>IF($P141="","", $P141*INDIRECT("R[0]C[-3]",FALSE))</f>
        <v/>
      </c>
      <c r="Y141" s="11">
        <f>IF(INDIRECT("R[0]C[-1]",FALSE)="","", INDIRECT("R[0]C[-2]",FALSE)*INDIRECT("R[0]C[-1]",FALSE)*(1+INDIRECT("R[0]C[-3]",FALSE)))</f>
        <v/>
      </c>
      <c r="Z141" s="13" t="n"/>
    </row>
    <row r="142" ht="15.75" customHeight="1" s="74">
      <c r="A142" s="11" t="n">
        <v>142</v>
      </c>
      <c r="C142" s="11">
        <f t="array" ref="C142">IFERROR(INDEX(Milestones!$A:$A, MATCH($B142, Milestones!$B:$B, 0)), "")</f>
        <v/>
      </c>
      <c r="D142" s="11">
        <f t="array" ref="D142">IFERROR(INDEX(Milestones!$C:$C, MATCH($B142, Milestones!$B:$B, 0)), "")</f>
        <v/>
      </c>
      <c r="F142" s="11">
        <f t="array" ref="F142">IFERROR(INDEX(Milestones!$E:$E, MATCH($B142, Milestones!$B:$B, 0)), "")</f>
        <v/>
      </c>
      <c r="I142" s="11" t="n"/>
      <c r="J142" s="20" t="n"/>
      <c r="K142" s="11" t="n"/>
      <c r="L142" s="11">
        <f t="array" ref="L142">IF($K142="","", IFERROR(IFS($K142="Low", INDEX('Lookups - Complexity'!$C:$C, MATCH($B142, 'Lookups - Complexity'!$B:$B,0)), $K142="Medium", INDEX('Lookups - Complexity'!$D:$D, MATCH($B142, 'Lookups - Complexity'!$B:$B,0)), $K142="High", INDEX('Lookups - Complexity'!$E:$E, MATCH($B142, 'Lookups - Complexity'!$B:$B,0))), ""))</f>
        <v/>
      </c>
      <c r="M142" s="11">
        <f>IF($I142="FTE", Assumptions!$B$3, "")</f>
        <v/>
      </c>
      <c r="N142" s="11">
        <f t="array" ref="N142">IFERROR(INDEX(Milestones!$F:$F, MATCH($B142, Milestones!$B:$B, 0)), "")</f>
        <v/>
      </c>
      <c r="O142" s="11">
        <f t="array" ref="O142">IFERROR(INDEX(Milestones!$G:$G, MATCH($B142, Milestones!$B:$B, 0)), "")</f>
        <v/>
      </c>
      <c r="P142" s="11">
        <f t="array" ref="P142">IFERROR(INDEX('Lookups - Rates'!$D:$D, MATCH($G142&amp;"|"&amp;$H142, 'Lookups - Rates'!$Z:$Z, 0)), "")</f>
        <v/>
      </c>
      <c r="Q142" s="11">
        <f t="array" ref="Q142">IFERROR(INDEX('Lookups - Rates'!$E:$E, MATCH($G142&amp;"|"&amp;$H142, 'Lookups - Rates'!$Z:$Z, 0)), "")</f>
        <v/>
      </c>
      <c r="R142" s="11">
        <f>LET(ev,$J142, ch,$L142, hr,$P142, dr,$Q142, hpday,Assumptions!$B$2, hpw,Assumptions!$B$3, w,$M142, hrs, IF($I142="Hours", ev, IF($I142="Days", ev*IF(dr&gt;0, dr/hr, hpday), IF($I142="FTE", ev*hpw*w, ch))), IF(hrs="", "", hrs*hr))</f>
        <v/>
      </c>
      <c r="S142" s="13" t="n"/>
      <c r="T142" s="11">
        <f t="array" ref="T142">XLOOKUP(Scenario_Selected, INDEX(Scenario_Table,0,1), INDEX(Scenario_Table,0,2))</f>
        <v/>
      </c>
      <c r="U142" s="11">
        <f t="array" ref="U142">XLOOKUP(Scenario_Selected, INDEX(Scenario_Table,0,1), INDEX(Scenario_Table,0,3))</f>
        <v/>
      </c>
      <c r="V142" s="11">
        <f t="array" ref="V142">XLOOKUP(Scenario_Selected, INDEX(Scenario_Table,0,1), INDEX(Scenario_Table,0,4))</f>
        <v/>
      </c>
      <c r="W142" s="11">
        <f t="array" ref="W142">LET(ev,$J142, ch,$L142, et,$I142, dr,$Q142, hpday,Assumptions!$B$2, hpw,Assumptions!$B$3, w,$M142,hm,INDIRECT("R[0]C[0]",FALSE),hrs, IF(et="Hours", ev, IF(et="Days", ev*IF(dr&gt;0, dr/$P142, hpday), IF(et="FTE", ev*hpw*w, ch))), IF(hrs="", "", hrs*hm))</f>
        <v/>
      </c>
      <c r="X142" s="11">
        <f>IF($P142="","", $P142*INDIRECT("R[0]C[-3]",FALSE))</f>
        <v/>
      </c>
      <c r="Y142" s="11">
        <f>IF(INDIRECT("R[0]C[-1]",FALSE)="","", INDIRECT("R[0]C[-2]",FALSE)*INDIRECT("R[0]C[-1]",FALSE)*(1+INDIRECT("R[0]C[-3]",FALSE)))</f>
        <v/>
      </c>
      <c r="Z142" s="13" t="n"/>
    </row>
    <row r="143" ht="15.75" customHeight="1" s="74">
      <c r="A143" s="11" t="n">
        <v>143</v>
      </c>
      <c r="C143" s="11">
        <f t="array" ref="C143">IFERROR(INDEX(Milestones!$A:$A, MATCH($B143, Milestones!$B:$B, 0)), "")</f>
        <v/>
      </c>
      <c r="D143" s="11">
        <f t="array" ref="D143">IFERROR(INDEX(Milestones!$C:$C, MATCH($B143, Milestones!$B:$B, 0)), "")</f>
        <v/>
      </c>
      <c r="F143" s="11">
        <f t="array" ref="F143">IFERROR(INDEX(Milestones!$E:$E, MATCH($B143, Milestones!$B:$B, 0)), "")</f>
        <v/>
      </c>
      <c r="I143" s="11" t="n"/>
      <c r="J143" s="20" t="n"/>
      <c r="K143" s="11" t="n"/>
      <c r="L143" s="11">
        <f t="array" ref="L143">IF($K143="","", IFERROR(IFS($K143="Low", INDEX('Lookups - Complexity'!$C:$C, MATCH($B143, 'Lookups - Complexity'!$B:$B,0)), $K143="Medium", INDEX('Lookups - Complexity'!$D:$D, MATCH($B143, 'Lookups - Complexity'!$B:$B,0)), $K143="High", INDEX('Lookups - Complexity'!$E:$E, MATCH($B143, 'Lookups - Complexity'!$B:$B,0))), ""))</f>
        <v/>
      </c>
      <c r="M143" s="11">
        <f>IF($I143="FTE", Assumptions!$B$3, "")</f>
        <v/>
      </c>
      <c r="N143" s="11">
        <f t="array" ref="N143">IFERROR(INDEX(Milestones!$F:$F, MATCH($B143, Milestones!$B:$B, 0)), "")</f>
        <v/>
      </c>
      <c r="O143" s="11">
        <f t="array" ref="O143">IFERROR(INDEX(Milestones!$G:$G, MATCH($B143, Milestones!$B:$B, 0)), "")</f>
        <v/>
      </c>
      <c r="P143" s="11">
        <f t="array" ref="P143">IFERROR(INDEX('Lookups - Rates'!$D:$D, MATCH($G143&amp;"|"&amp;$H143, 'Lookups - Rates'!$Z:$Z, 0)), "")</f>
        <v/>
      </c>
      <c r="Q143" s="11">
        <f t="array" ref="Q143">IFERROR(INDEX('Lookups - Rates'!$E:$E, MATCH($G143&amp;"|"&amp;$H143, 'Lookups - Rates'!$Z:$Z, 0)), "")</f>
        <v/>
      </c>
      <c r="R143" s="11">
        <f>LET(ev,$J143, ch,$L143, hr,$P143, dr,$Q143, hpday,Assumptions!$B$2, hpw,Assumptions!$B$3, w,$M143, hrs, IF($I143="Hours", ev, IF($I143="Days", ev*IF(dr&gt;0, dr/hr, hpday), IF($I143="FTE", ev*hpw*w, ch))), IF(hrs="", "", hrs*hr))</f>
        <v/>
      </c>
      <c r="S143" s="13" t="n"/>
      <c r="T143" s="11">
        <f t="array" ref="T143">XLOOKUP(Scenario_Selected, INDEX(Scenario_Table,0,1), INDEX(Scenario_Table,0,2))</f>
        <v/>
      </c>
      <c r="U143" s="11">
        <f t="array" ref="U143">XLOOKUP(Scenario_Selected, INDEX(Scenario_Table,0,1), INDEX(Scenario_Table,0,3))</f>
        <v/>
      </c>
      <c r="V143" s="11">
        <f t="array" ref="V143">XLOOKUP(Scenario_Selected, INDEX(Scenario_Table,0,1), INDEX(Scenario_Table,0,4))</f>
        <v/>
      </c>
      <c r="W143" s="11">
        <f t="array" ref="W143">LET(ev,$J143, ch,$L143, et,$I143, dr,$Q143, hpday,Assumptions!$B$2, hpw,Assumptions!$B$3, w,$M143,hm,INDIRECT("R[0]C[0]",FALSE),hrs, IF(et="Hours", ev, IF(et="Days", ev*IF(dr&gt;0, dr/$P143, hpday), IF(et="FTE", ev*hpw*w, ch))), IF(hrs="", "", hrs*hm))</f>
        <v/>
      </c>
      <c r="X143" s="11">
        <f>IF($P143="","", $P143*INDIRECT("R[0]C[-3]",FALSE))</f>
        <v/>
      </c>
      <c r="Y143" s="11">
        <f>IF(INDIRECT("R[0]C[-1]",FALSE)="","", INDIRECT("R[0]C[-2]",FALSE)*INDIRECT("R[0]C[-1]",FALSE)*(1+INDIRECT("R[0]C[-3]",FALSE)))</f>
        <v/>
      </c>
      <c r="Z143" s="13" t="n"/>
    </row>
    <row r="144" ht="15.75" customHeight="1" s="74">
      <c r="A144" s="11" t="n">
        <v>144</v>
      </c>
      <c r="C144" s="11">
        <f t="array" ref="C144">IFERROR(INDEX(Milestones!$A:$A, MATCH($B144, Milestones!$B:$B, 0)), "")</f>
        <v/>
      </c>
      <c r="D144" s="11">
        <f t="array" ref="D144">IFERROR(INDEX(Milestones!$C:$C, MATCH($B144, Milestones!$B:$B, 0)), "")</f>
        <v/>
      </c>
      <c r="F144" s="11">
        <f t="array" ref="F144">IFERROR(INDEX(Milestones!$E:$E, MATCH($B144, Milestones!$B:$B, 0)), "")</f>
        <v/>
      </c>
      <c r="I144" s="11" t="n"/>
      <c r="J144" s="20" t="n"/>
      <c r="K144" s="11" t="n"/>
      <c r="L144" s="11">
        <f t="array" ref="L144">IF($K144="","", IFERROR(IFS($K144="Low", INDEX('Lookups - Complexity'!$C:$C, MATCH($B144, 'Lookups - Complexity'!$B:$B,0)), $K144="Medium", INDEX('Lookups - Complexity'!$D:$D, MATCH($B144, 'Lookups - Complexity'!$B:$B,0)), $K144="High", INDEX('Lookups - Complexity'!$E:$E, MATCH($B144, 'Lookups - Complexity'!$B:$B,0))), ""))</f>
        <v/>
      </c>
      <c r="M144" s="11">
        <f>IF($I144="FTE", Assumptions!$B$3, "")</f>
        <v/>
      </c>
      <c r="N144" s="11">
        <f t="array" ref="N144">IFERROR(INDEX(Milestones!$F:$F, MATCH($B144, Milestones!$B:$B, 0)), "")</f>
        <v/>
      </c>
      <c r="O144" s="11">
        <f t="array" ref="O144">IFERROR(INDEX(Milestones!$G:$G, MATCH($B144, Milestones!$B:$B, 0)), "")</f>
        <v/>
      </c>
      <c r="P144" s="11">
        <f t="array" ref="P144">IFERROR(INDEX('Lookups - Rates'!$D:$D, MATCH($G144&amp;"|"&amp;$H144, 'Lookups - Rates'!$Z:$Z, 0)), "")</f>
        <v/>
      </c>
      <c r="Q144" s="11">
        <f t="array" ref="Q144">IFERROR(INDEX('Lookups - Rates'!$E:$E, MATCH($G144&amp;"|"&amp;$H144, 'Lookups - Rates'!$Z:$Z, 0)), "")</f>
        <v/>
      </c>
      <c r="R144" s="11">
        <f>LET(ev,$J144, ch,$L144, hr,$P144, dr,$Q144, hpday,Assumptions!$B$2, hpw,Assumptions!$B$3, w,$M144, hrs, IF($I144="Hours", ev, IF($I144="Days", ev*IF(dr&gt;0, dr/hr, hpday), IF($I144="FTE", ev*hpw*w, ch))), IF(hrs="", "", hrs*hr))</f>
        <v/>
      </c>
      <c r="S144" s="13" t="n"/>
      <c r="T144" s="11">
        <f t="array" ref="T144">XLOOKUP(Scenario_Selected, INDEX(Scenario_Table,0,1), INDEX(Scenario_Table,0,2))</f>
        <v/>
      </c>
      <c r="U144" s="11">
        <f t="array" ref="U144">XLOOKUP(Scenario_Selected, INDEX(Scenario_Table,0,1), INDEX(Scenario_Table,0,3))</f>
        <v/>
      </c>
      <c r="V144" s="11">
        <f t="array" ref="V144">XLOOKUP(Scenario_Selected, INDEX(Scenario_Table,0,1), INDEX(Scenario_Table,0,4))</f>
        <v/>
      </c>
      <c r="W144" s="11">
        <f t="array" ref="W144">LET(ev,$J144, ch,$L144, et,$I144, dr,$Q144, hpday,Assumptions!$B$2, hpw,Assumptions!$B$3, w,$M144,hm,INDIRECT("R[0]C[0]",FALSE),hrs, IF(et="Hours", ev, IF(et="Days", ev*IF(dr&gt;0, dr/$P144, hpday), IF(et="FTE", ev*hpw*w, ch))), IF(hrs="", "", hrs*hm))</f>
        <v/>
      </c>
      <c r="X144" s="11">
        <f>IF($P144="","", $P144*INDIRECT("R[0]C[-3]",FALSE))</f>
        <v/>
      </c>
      <c r="Y144" s="11">
        <f>IF(INDIRECT("R[0]C[-1]",FALSE)="","", INDIRECT("R[0]C[-2]",FALSE)*INDIRECT("R[0]C[-1]",FALSE)*(1+INDIRECT("R[0]C[-3]",FALSE)))</f>
        <v/>
      </c>
      <c r="Z144" s="13" t="n"/>
    </row>
    <row r="145" ht="15.75" customHeight="1" s="74">
      <c r="A145" s="11" t="n">
        <v>145</v>
      </c>
      <c r="C145" s="11">
        <f t="array" ref="C145">IFERROR(INDEX(Milestones!$A:$A, MATCH($B145, Milestones!$B:$B, 0)), "")</f>
        <v/>
      </c>
      <c r="D145" s="11">
        <f t="array" ref="D145">IFERROR(INDEX(Milestones!$C:$C, MATCH($B145, Milestones!$B:$B, 0)), "")</f>
        <v/>
      </c>
      <c r="F145" s="11">
        <f t="array" ref="F145">IFERROR(INDEX(Milestones!$E:$E, MATCH($B145, Milestones!$B:$B, 0)), "")</f>
        <v/>
      </c>
      <c r="I145" s="11" t="n"/>
      <c r="J145" s="20" t="n"/>
      <c r="K145" s="11" t="n"/>
      <c r="L145" s="11">
        <f t="array" ref="L145">IF($K145="","", IFERROR(IFS($K145="Low", INDEX('Lookups - Complexity'!$C:$C, MATCH($B145, 'Lookups - Complexity'!$B:$B,0)), $K145="Medium", INDEX('Lookups - Complexity'!$D:$D, MATCH($B145, 'Lookups - Complexity'!$B:$B,0)), $K145="High", INDEX('Lookups - Complexity'!$E:$E, MATCH($B145, 'Lookups - Complexity'!$B:$B,0))), ""))</f>
        <v/>
      </c>
      <c r="M145" s="11">
        <f>IF($I145="FTE", Assumptions!$B$3, "")</f>
        <v/>
      </c>
      <c r="N145" s="11">
        <f t="array" ref="N145">IFERROR(INDEX(Milestones!$F:$F, MATCH($B145, Milestones!$B:$B, 0)), "")</f>
        <v/>
      </c>
      <c r="O145" s="11">
        <f t="array" ref="O145">IFERROR(INDEX(Milestones!$G:$G, MATCH($B145, Milestones!$B:$B, 0)), "")</f>
        <v/>
      </c>
      <c r="P145" s="11">
        <f t="array" ref="P145">IFERROR(INDEX('Lookups - Rates'!$D:$D, MATCH($G145&amp;"|"&amp;$H145, 'Lookups - Rates'!$Z:$Z, 0)), "")</f>
        <v/>
      </c>
      <c r="Q145" s="11">
        <f t="array" ref="Q145">IFERROR(INDEX('Lookups - Rates'!$E:$E, MATCH($G145&amp;"|"&amp;$H145, 'Lookups - Rates'!$Z:$Z, 0)), "")</f>
        <v/>
      </c>
      <c r="R145" s="11">
        <f>LET(ev,$J145, ch,$L145, hr,$P145, dr,$Q145, hpday,Assumptions!$B$2, hpw,Assumptions!$B$3, w,$M145, hrs, IF($I145="Hours", ev, IF($I145="Days", ev*IF(dr&gt;0, dr/hr, hpday), IF($I145="FTE", ev*hpw*w, ch))), IF(hrs="", "", hrs*hr))</f>
        <v/>
      </c>
      <c r="S145" s="13" t="n"/>
      <c r="T145" s="11">
        <f t="array" ref="T145">XLOOKUP(Scenario_Selected, INDEX(Scenario_Table,0,1), INDEX(Scenario_Table,0,2))</f>
        <v/>
      </c>
      <c r="U145" s="11">
        <f t="array" ref="U145">XLOOKUP(Scenario_Selected, INDEX(Scenario_Table,0,1), INDEX(Scenario_Table,0,3))</f>
        <v/>
      </c>
      <c r="V145" s="11">
        <f t="array" ref="V145">XLOOKUP(Scenario_Selected, INDEX(Scenario_Table,0,1), INDEX(Scenario_Table,0,4))</f>
        <v/>
      </c>
      <c r="W145" s="11">
        <f t="array" ref="W145">LET(ev,$J145, ch,$L145, et,$I145, dr,$Q145, hpday,Assumptions!$B$2, hpw,Assumptions!$B$3, w,$M145,hm,INDIRECT("R[0]C[0]",FALSE),hrs, IF(et="Hours", ev, IF(et="Days", ev*IF(dr&gt;0, dr/$P145, hpday), IF(et="FTE", ev*hpw*w, ch))), IF(hrs="", "", hrs*hm))</f>
        <v/>
      </c>
      <c r="X145" s="11">
        <f>IF($P145="","", $P145*INDIRECT("R[0]C[-3]",FALSE))</f>
        <v/>
      </c>
      <c r="Y145" s="11">
        <f>IF(INDIRECT("R[0]C[-1]",FALSE)="","", INDIRECT("R[0]C[-2]",FALSE)*INDIRECT("R[0]C[-1]",FALSE)*(1+INDIRECT("R[0]C[-3]",FALSE)))</f>
        <v/>
      </c>
      <c r="Z145" s="13" t="n"/>
    </row>
    <row r="146" ht="15.75" customHeight="1" s="74">
      <c r="A146" s="11" t="n">
        <v>146</v>
      </c>
      <c r="C146" s="11">
        <f t="array" ref="C146">IFERROR(INDEX(Milestones!$A:$A, MATCH($B146, Milestones!$B:$B, 0)), "")</f>
        <v/>
      </c>
      <c r="D146" s="11">
        <f t="array" ref="D146">IFERROR(INDEX(Milestones!$C:$C, MATCH($B146, Milestones!$B:$B, 0)), "")</f>
        <v/>
      </c>
      <c r="F146" s="11">
        <f t="array" ref="F146">IFERROR(INDEX(Milestones!$E:$E, MATCH($B146, Milestones!$B:$B, 0)), "")</f>
        <v/>
      </c>
      <c r="I146" s="11" t="n"/>
      <c r="J146" s="20" t="n"/>
      <c r="K146" s="11" t="n"/>
      <c r="L146" s="11">
        <f t="array" ref="L146">IF($K146="","", IFERROR(IFS($K146="Low", INDEX('Lookups - Complexity'!$C:$C, MATCH($B146, 'Lookups - Complexity'!$B:$B,0)), $K146="Medium", INDEX('Lookups - Complexity'!$D:$D, MATCH($B146, 'Lookups - Complexity'!$B:$B,0)), $K146="High", INDEX('Lookups - Complexity'!$E:$E, MATCH($B146, 'Lookups - Complexity'!$B:$B,0))), ""))</f>
        <v/>
      </c>
      <c r="M146" s="11">
        <f>IF($I146="FTE", Assumptions!$B$3, "")</f>
        <v/>
      </c>
      <c r="N146" s="11">
        <f t="array" ref="N146">IFERROR(INDEX(Milestones!$F:$F, MATCH($B146, Milestones!$B:$B, 0)), "")</f>
        <v/>
      </c>
      <c r="O146" s="11">
        <f t="array" ref="O146">IFERROR(INDEX(Milestones!$G:$G, MATCH($B146, Milestones!$B:$B, 0)), "")</f>
        <v/>
      </c>
      <c r="P146" s="11">
        <f t="array" ref="P146">IFERROR(INDEX('Lookups - Rates'!$D:$D, MATCH($G146&amp;"|"&amp;$H146, 'Lookups - Rates'!$Z:$Z, 0)), "")</f>
        <v/>
      </c>
      <c r="Q146" s="11">
        <f t="array" ref="Q146">IFERROR(INDEX('Lookups - Rates'!$E:$E, MATCH($G146&amp;"|"&amp;$H146, 'Lookups - Rates'!$Z:$Z, 0)), "")</f>
        <v/>
      </c>
      <c r="R146" s="11">
        <f>LET(ev,$J146, ch,$L146, hr,$P146, dr,$Q146, hpday,Assumptions!$B$2, hpw,Assumptions!$B$3, w,$M146, hrs, IF($I146="Hours", ev, IF($I146="Days", ev*IF(dr&gt;0, dr/hr, hpday), IF($I146="FTE", ev*hpw*w, ch))), IF(hrs="", "", hrs*hr))</f>
        <v/>
      </c>
      <c r="S146" s="13" t="n"/>
      <c r="T146" s="11">
        <f t="array" ref="T146">XLOOKUP(Scenario_Selected, INDEX(Scenario_Table,0,1), INDEX(Scenario_Table,0,2))</f>
        <v/>
      </c>
      <c r="U146" s="11">
        <f t="array" ref="U146">XLOOKUP(Scenario_Selected, INDEX(Scenario_Table,0,1), INDEX(Scenario_Table,0,3))</f>
        <v/>
      </c>
      <c r="V146" s="11">
        <f t="array" ref="V146">XLOOKUP(Scenario_Selected, INDEX(Scenario_Table,0,1), INDEX(Scenario_Table,0,4))</f>
        <v/>
      </c>
      <c r="W146" s="11">
        <f t="array" ref="W146">LET(ev,$J146, ch,$L146, et,$I146, dr,$Q146, hpday,Assumptions!$B$2, hpw,Assumptions!$B$3, w,$M146,hm,INDIRECT("R[0]C[0]",FALSE),hrs, IF(et="Hours", ev, IF(et="Days", ev*IF(dr&gt;0, dr/$P146, hpday), IF(et="FTE", ev*hpw*w, ch))), IF(hrs="", "", hrs*hm))</f>
        <v/>
      </c>
      <c r="X146" s="11">
        <f>IF($P146="","", $P146*INDIRECT("R[0]C[-3]",FALSE))</f>
        <v/>
      </c>
      <c r="Y146" s="11">
        <f>IF(INDIRECT("R[0]C[-1]",FALSE)="","", INDIRECT("R[0]C[-2]",FALSE)*INDIRECT("R[0]C[-1]",FALSE)*(1+INDIRECT("R[0]C[-3]",FALSE)))</f>
        <v/>
      </c>
      <c r="Z146" s="13" t="n"/>
    </row>
    <row r="147" ht="15.75" customHeight="1" s="74">
      <c r="A147" s="11" t="n">
        <v>147</v>
      </c>
      <c r="C147" s="11">
        <f t="array" ref="C147">IFERROR(INDEX(Milestones!$A:$A, MATCH($B147, Milestones!$B:$B, 0)), "")</f>
        <v/>
      </c>
      <c r="D147" s="11">
        <f t="array" ref="D147">IFERROR(INDEX(Milestones!$C:$C, MATCH($B147, Milestones!$B:$B, 0)), "")</f>
        <v/>
      </c>
      <c r="F147" s="11">
        <f t="array" ref="F147">IFERROR(INDEX(Milestones!$E:$E, MATCH($B147, Milestones!$B:$B, 0)), "")</f>
        <v/>
      </c>
      <c r="I147" s="11" t="n"/>
      <c r="J147" s="20" t="n"/>
      <c r="K147" s="11" t="n"/>
      <c r="L147" s="11">
        <f t="array" ref="L147">IF($K147="","", IFERROR(IFS($K147="Low", INDEX('Lookups - Complexity'!$C:$C, MATCH($B147, 'Lookups - Complexity'!$B:$B,0)), $K147="Medium", INDEX('Lookups - Complexity'!$D:$D, MATCH($B147, 'Lookups - Complexity'!$B:$B,0)), $K147="High", INDEX('Lookups - Complexity'!$E:$E, MATCH($B147, 'Lookups - Complexity'!$B:$B,0))), ""))</f>
        <v/>
      </c>
      <c r="M147" s="11">
        <f>IF($I147="FTE", Assumptions!$B$3, "")</f>
        <v/>
      </c>
      <c r="N147" s="11">
        <f t="array" ref="N147">IFERROR(INDEX(Milestones!$F:$F, MATCH($B147, Milestones!$B:$B, 0)), "")</f>
        <v/>
      </c>
      <c r="O147" s="11">
        <f t="array" ref="O147">IFERROR(INDEX(Milestones!$G:$G, MATCH($B147, Milestones!$B:$B, 0)), "")</f>
        <v/>
      </c>
      <c r="P147" s="11">
        <f t="array" ref="P147">IFERROR(INDEX('Lookups - Rates'!$D:$D, MATCH($G147&amp;"|"&amp;$H147, 'Lookups - Rates'!$Z:$Z, 0)), "")</f>
        <v/>
      </c>
      <c r="Q147" s="11">
        <f t="array" ref="Q147">IFERROR(INDEX('Lookups - Rates'!$E:$E, MATCH($G147&amp;"|"&amp;$H147, 'Lookups - Rates'!$Z:$Z, 0)), "")</f>
        <v/>
      </c>
      <c r="R147" s="11">
        <f>LET(ev,$J147, ch,$L147, hr,$P147, dr,$Q147, hpday,Assumptions!$B$2, hpw,Assumptions!$B$3, w,$M147, hrs, IF($I147="Hours", ev, IF($I147="Days", ev*IF(dr&gt;0, dr/hr, hpday), IF($I147="FTE", ev*hpw*w, ch))), IF(hrs="", "", hrs*hr))</f>
        <v/>
      </c>
      <c r="S147" s="13" t="n"/>
      <c r="T147" s="11">
        <f t="array" ref="T147">XLOOKUP(Scenario_Selected, INDEX(Scenario_Table,0,1), INDEX(Scenario_Table,0,2))</f>
        <v/>
      </c>
      <c r="U147" s="11">
        <f t="array" ref="U147">XLOOKUP(Scenario_Selected, INDEX(Scenario_Table,0,1), INDEX(Scenario_Table,0,3))</f>
        <v/>
      </c>
      <c r="V147" s="11">
        <f t="array" ref="V147">XLOOKUP(Scenario_Selected, INDEX(Scenario_Table,0,1), INDEX(Scenario_Table,0,4))</f>
        <v/>
      </c>
      <c r="W147" s="11">
        <f t="array" ref="W147">LET(ev,$J147, ch,$L147, et,$I147, dr,$Q147, hpday,Assumptions!$B$2, hpw,Assumptions!$B$3, w,$M147,hm,INDIRECT("R[0]C[0]",FALSE),hrs, IF(et="Hours", ev, IF(et="Days", ev*IF(dr&gt;0, dr/$P147, hpday), IF(et="FTE", ev*hpw*w, ch))), IF(hrs="", "", hrs*hm))</f>
        <v/>
      </c>
      <c r="X147" s="11">
        <f>IF($P147="","", $P147*INDIRECT("R[0]C[-3]",FALSE))</f>
        <v/>
      </c>
      <c r="Y147" s="11">
        <f>IF(INDIRECT("R[0]C[-1]",FALSE)="","", INDIRECT("R[0]C[-2]",FALSE)*INDIRECT("R[0]C[-1]",FALSE)*(1+INDIRECT("R[0]C[-3]",FALSE)))</f>
        <v/>
      </c>
      <c r="Z147" s="13" t="n"/>
    </row>
    <row r="148" ht="15.75" customHeight="1" s="74">
      <c r="A148" s="11" t="n">
        <v>148</v>
      </c>
      <c r="C148" s="11">
        <f t="array" ref="C148">IFERROR(INDEX(Milestones!$A:$A, MATCH($B148, Milestones!$B:$B, 0)), "")</f>
        <v/>
      </c>
      <c r="D148" s="11">
        <f t="array" ref="D148">IFERROR(INDEX(Milestones!$C:$C, MATCH($B148, Milestones!$B:$B, 0)), "")</f>
        <v/>
      </c>
      <c r="F148" s="11">
        <f t="array" ref="F148">IFERROR(INDEX(Milestones!$E:$E, MATCH($B148, Milestones!$B:$B, 0)), "")</f>
        <v/>
      </c>
      <c r="I148" s="11" t="n"/>
      <c r="J148" s="20" t="n"/>
      <c r="K148" s="11" t="n"/>
      <c r="L148" s="11">
        <f t="array" ref="L148">IF($K148="","", IFERROR(IFS($K148="Low", INDEX('Lookups - Complexity'!$C:$C, MATCH($B148, 'Lookups - Complexity'!$B:$B,0)), $K148="Medium", INDEX('Lookups - Complexity'!$D:$D, MATCH($B148, 'Lookups - Complexity'!$B:$B,0)), $K148="High", INDEX('Lookups - Complexity'!$E:$E, MATCH($B148, 'Lookups - Complexity'!$B:$B,0))), ""))</f>
        <v/>
      </c>
      <c r="M148" s="11">
        <f>IF($I148="FTE", Assumptions!$B$3, "")</f>
        <v/>
      </c>
      <c r="N148" s="11">
        <f t="array" ref="N148">IFERROR(INDEX(Milestones!$F:$F, MATCH($B148, Milestones!$B:$B, 0)), "")</f>
        <v/>
      </c>
      <c r="O148" s="11">
        <f t="array" ref="O148">IFERROR(INDEX(Milestones!$G:$G, MATCH($B148, Milestones!$B:$B, 0)), "")</f>
        <v/>
      </c>
      <c r="P148" s="11">
        <f t="array" ref="P148">IFERROR(INDEX('Lookups - Rates'!$D:$D, MATCH($G148&amp;"|"&amp;$H148, 'Lookups - Rates'!$Z:$Z, 0)), "")</f>
        <v/>
      </c>
      <c r="Q148" s="11">
        <f t="array" ref="Q148">IFERROR(INDEX('Lookups - Rates'!$E:$E, MATCH($G148&amp;"|"&amp;$H148, 'Lookups - Rates'!$Z:$Z, 0)), "")</f>
        <v/>
      </c>
      <c r="R148" s="11">
        <f>LET(ev,$J148, ch,$L148, hr,$P148, dr,$Q148, hpday,Assumptions!$B$2, hpw,Assumptions!$B$3, w,$M148, hrs, IF($I148="Hours", ev, IF($I148="Days", ev*IF(dr&gt;0, dr/hr, hpday), IF($I148="FTE", ev*hpw*w, ch))), IF(hrs="", "", hrs*hr))</f>
        <v/>
      </c>
      <c r="S148" s="13" t="n"/>
      <c r="T148" s="11">
        <f t="array" ref="T148">XLOOKUP(Scenario_Selected, INDEX(Scenario_Table,0,1), INDEX(Scenario_Table,0,2))</f>
        <v/>
      </c>
      <c r="U148" s="11">
        <f t="array" ref="U148">XLOOKUP(Scenario_Selected, INDEX(Scenario_Table,0,1), INDEX(Scenario_Table,0,3))</f>
        <v/>
      </c>
      <c r="V148" s="11">
        <f t="array" ref="V148">XLOOKUP(Scenario_Selected, INDEX(Scenario_Table,0,1), INDEX(Scenario_Table,0,4))</f>
        <v/>
      </c>
      <c r="W148" s="11">
        <f t="array" ref="W148">LET(ev,$J148, ch,$L148, et,$I148, dr,$Q148, hpday,Assumptions!$B$2, hpw,Assumptions!$B$3, w,$M148,hm,INDIRECT("R[0]C[0]",FALSE),hrs, IF(et="Hours", ev, IF(et="Days", ev*IF(dr&gt;0, dr/$P148, hpday), IF(et="FTE", ev*hpw*w, ch))), IF(hrs="", "", hrs*hm))</f>
        <v/>
      </c>
      <c r="X148" s="11">
        <f>IF($P148="","", $P148*INDIRECT("R[0]C[-3]",FALSE))</f>
        <v/>
      </c>
      <c r="Y148" s="11">
        <f>IF(INDIRECT("R[0]C[-1]",FALSE)="","", INDIRECT("R[0]C[-2]",FALSE)*INDIRECT("R[0]C[-1]",FALSE)*(1+INDIRECT("R[0]C[-3]",FALSE)))</f>
        <v/>
      </c>
      <c r="Z148" s="13" t="n"/>
    </row>
    <row r="149" ht="15.75" customHeight="1" s="74">
      <c r="A149" s="11" t="n">
        <v>149</v>
      </c>
      <c r="C149" s="11">
        <f t="array" ref="C149">IFERROR(INDEX(Milestones!$A:$A, MATCH($B149, Milestones!$B:$B, 0)), "")</f>
        <v/>
      </c>
      <c r="D149" s="11">
        <f t="array" ref="D149">IFERROR(INDEX(Milestones!$C:$C, MATCH($B149, Milestones!$B:$B, 0)), "")</f>
        <v/>
      </c>
      <c r="F149" s="11">
        <f t="array" ref="F149">IFERROR(INDEX(Milestones!$E:$E, MATCH($B149, Milestones!$B:$B, 0)), "")</f>
        <v/>
      </c>
      <c r="I149" s="11" t="n"/>
      <c r="J149" s="20" t="n"/>
      <c r="K149" s="11" t="n"/>
      <c r="L149" s="11">
        <f t="array" ref="L149">IF($K149="","", IFERROR(IFS($K149="Low", INDEX('Lookups - Complexity'!$C:$C, MATCH($B149, 'Lookups - Complexity'!$B:$B,0)), $K149="Medium", INDEX('Lookups - Complexity'!$D:$D, MATCH($B149, 'Lookups - Complexity'!$B:$B,0)), $K149="High", INDEX('Lookups - Complexity'!$E:$E, MATCH($B149, 'Lookups - Complexity'!$B:$B,0))), ""))</f>
        <v/>
      </c>
      <c r="M149" s="11">
        <f>IF($I149="FTE", Assumptions!$B$3, "")</f>
        <v/>
      </c>
      <c r="N149" s="11">
        <f t="array" ref="N149">IFERROR(INDEX(Milestones!$F:$F, MATCH($B149, Milestones!$B:$B, 0)), "")</f>
        <v/>
      </c>
      <c r="O149" s="11">
        <f t="array" ref="O149">IFERROR(INDEX(Milestones!$G:$G, MATCH($B149, Milestones!$B:$B, 0)), "")</f>
        <v/>
      </c>
      <c r="P149" s="11">
        <f t="array" ref="P149">IFERROR(INDEX('Lookups - Rates'!$D:$D, MATCH($G149&amp;"|"&amp;$H149, 'Lookups - Rates'!$Z:$Z, 0)), "")</f>
        <v/>
      </c>
      <c r="Q149" s="11">
        <f t="array" ref="Q149">IFERROR(INDEX('Lookups - Rates'!$E:$E, MATCH($G149&amp;"|"&amp;$H149, 'Lookups - Rates'!$Z:$Z, 0)), "")</f>
        <v/>
      </c>
      <c r="R149" s="11">
        <f>LET(ev,$J149, ch,$L149, hr,$P149, dr,$Q149, hpday,Assumptions!$B$2, hpw,Assumptions!$B$3, w,$M149, hrs, IF($I149="Hours", ev, IF($I149="Days", ev*IF(dr&gt;0, dr/hr, hpday), IF($I149="FTE", ev*hpw*w, ch))), IF(hrs="", "", hrs*hr))</f>
        <v/>
      </c>
      <c r="S149" s="13" t="n"/>
      <c r="T149" s="11">
        <f t="array" ref="T149">XLOOKUP(Scenario_Selected, INDEX(Scenario_Table,0,1), INDEX(Scenario_Table,0,2))</f>
        <v/>
      </c>
      <c r="U149" s="11">
        <f t="array" ref="U149">XLOOKUP(Scenario_Selected, INDEX(Scenario_Table,0,1), INDEX(Scenario_Table,0,3))</f>
        <v/>
      </c>
      <c r="V149" s="11">
        <f t="array" ref="V149">XLOOKUP(Scenario_Selected, INDEX(Scenario_Table,0,1), INDEX(Scenario_Table,0,4))</f>
        <v/>
      </c>
      <c r="W149" s="11">
        <f t="array" ref="W149">LET(ev,$J149, ch,$L149, et,$I149, dr,$Q149, hpday,Assumptions!$B$2, hpw,Assumptions!$B$3, w,$M149,hm,INDIRECT("R[0]C[0]",FALSE),hrs, IF(et="Hours", ev, IF(et="Days", ev*IF(dr&gt;0, dr/$P149, hpday), IF(et="FTE", ev*hpw*w, ch))), IF(hrs="", "", hrs*hm))</f>
        <v/>
      </c>
      <c r="X149" s="11">
        <f>IF($P149="","", $P149*INDIRECT("R[0]C[-3]",FALSE))</f>
        <v/>
      </c>
      <c r="Y149" s="11">
        <f>IF(INDIRECT("R[0]C[-1]",FALSE)="","", INDIRECT("R[0]C[-2]",FALSE)*INDIRECT("R[0]C[-1]",FALSE)*(1+INDIRECT("R[0]C[-3]",FALSE)))</f>
        <v/>
      </c>
      <c r="Z149" s="13" t="n"/>
    </row>
    <row r="150" ht="15.75" customHeight="1" s="74">
      <c r="A150" s="11" t="n">
        <v>150</v>
      </c>
      <c r="C150" s="11">
        <f t="array" ref="C150">IFERROR(INDEX(Milestones!$A:$A, MATCH($B150, Milestones!$B:$B, 0)), "")</f>
        <v/>
      </c>
      <c r="D150" s="11">
        <f t="array" ref="D150">IFERROR(INDEX(Milestones!$C:$C, MATCH($B150, Milestones!$B:$B, 0)), "")</f>
        <v/>
      </c>
      <c r="F150" s="11">
        <f t="array" ref="F150">IFERROR(INDEX(Milestones!$E:$E, MATCH($B150, Milestones!$B:$B, 0)), "")</f>
        <v/>
      </c>
      <c r="I150" s="11" t="n"/>
      <c r="J150" s="20" t="n"/>
      <c r="K150" s="11" t="n"/>
      <c r="L150" s="11">
        <f t="array" ref="L150">IF($K150="","", IFERROR(IFS($K150="Low", INDEX('Lookups - Complexity'!$C:$C, MATCH($B150, 'Lookups - Complexity'!$B:$B,0)), $K150="Medium", INDEX('Lookups - Complexity'!$D:$D, MATCH($B150, 'Lookups - Complexity'!$B:$B,0)), $K150="High", INDEX('Lookups - Complexity'!$E:$E, MATCH($B150, 'Lookups - Complexity'!$B:$B,0))), ""))</f>
        <v/>
      </c>
      <c r="M150" s="11">
        <f>IF($I150="FTE", Assumptions!$B$3, "")</f>
        <v/>
      </c>
      <c r="N150" s="11">
        <f t="array" ref="N150">IFERROR(INDEX(Milestones!$F:$F, MATCH($B150, Milestones!$B:$B, 0)), "")</f>
        <v/>
      </c>
      <c r="O150" s="11">
        <f t="array" ref="O150">IFERROR(INDEX(Milestones!$G:$G, MATCH($B150, Milestones!$B:$B, 0)), "")</f>
        <v/>
      </c>
      <c r="P150" s="11">
        <f t="array" ref="P150">IFERROR(INDEX('Lookups - Rates'!$D:$D, MATCH($G150&amp;"|"&amp;$H150, 'Lookups - Rates'!$Z:$Z, 0)), "")</f>
        <v/>
      </c>
      <c r="Q150" s="11">
        <f t="array" ref="Q150">IFERROR(INDEX('Lookups - Rates'!$E:$E, MATCH($G150&amp;"|"&amp;$H150, 'Lookups - Rates'!$Z:$Z, 0)), "")</f>
        <v/>
      </c>
      <c r="R150" s="11">
        <f>LET(ev,$J150, ch,$L150, hr,$P150, dr,$Q150, hpday,Assumptions!$B$2, hpw,Assumptions!$B$3, w,$M150, hrs, IF($I150="Hours", ev, IF($I150="Days", ev*IF(dr&gt;0, dr/hr, hpday), IF($I150="FTE", ev*hpw*w, ch))), IF(hrs="", "", hrs*hr))</f>
        <v/>
      </c>
      <c r="S150" s="13" t="n"/>
      <c r="T150" s="11">
        <f t="array" ref="T150">XLOOKUP(Scenario_Selected, INDEX(Scenario_Table,0,1), INDEX(Scenario_Table,0,2))</f>
        <v/>
      </c>
      <c r="U150" s="11">
        <f t="array" ref="U150">XLOOKUP(Scenario_Selected, INDEX(Scenario_Table,0,1), INDEX(Scenario_Table,0,3))</f>
        <v/>
      </c>
      <c r="V150" s="11">
        <f t="array" ref="V150">XLOOKUP(Scenario_Selected, INDEX(Scenario_Table,0,1), INDEX(Scenario_Table,0,4))</f>
        <v/>
      </c>
      <c r="W150" s="11">
        <f t="array" ref="W150">LET(ev,$J150, ch,$L150, et,$I150, dr,$Q150, hpday,Assumptions!$B$2, hpw,Assumptions!$B$3, w,$M150,hm,INDIRECT("R[0]C[0]",FALSE),hrs, IF(et="Hours", ev, IF(et="Days", ev*IF(dr&gt;0, dr/$P150, hpday), IF(et="FTE", ev*hpw*w, ch))), IF(hrs="", "", hrs*hm))</f>
        <v/>
      </c>
      <c r="X150" s="11">
        <f>IF($P150="","", $P150*INDIRECT("R[0]C[-3]",FALSE))</f>
        <v/>
      </c>
      <c r="Y150" s="11">
        <f>IF(INDIRECT("R[0]C[-1]",FALSE)="","", INDIRECT("R[0]C[-2]",FALSE)*INDIRECT("R[0]C[-1]",FALSE)*(1+INDIRECT("R[0]C[-3]",FALSE)))</f>
        <v/>
      </c>
      <c r="Z150" s="13" t="n"/>
    </row>
    <row r="151" ht="15.75" customHeight="1" s="74">
      <c r="A151" s="11" t="n">
        <v>151</v>
      </c>
      <c r="C151" s="11">
        <f t="array" ref="C151">IFERROR(INDEX(Milestones!$A:$A, MATCH($B151, Milestones!$B:$B, 0)), "")</f>
        <v/>
      </c>
      <c r="D151" s="11">
        <f t="array" ref="D151">IFERROR(INDEX(Milestones!$C:$C, MATCH($B151, Milestones!$B:$B, 0)), "")</f>
        <v/>
      </c>
      <c r="F151" s="11">
        <f t="array" ref="F151">IFERROR(INDEX(Milestones!$E:$E, MATCH($B151, Milestones!$B:$B, 0)), "")</f>
        <v/>
      </c>
      <c r="I151" s="11" t="n"/>
      <c r="J151" s="20" t="n"/>
      <c r="K151" s="11" t="n"/>
      <c r="L151" s="11">
        <f t="array" ref="L151">IF($K151="","", IFERROR(IFS($K151="Low", INDEX('Lookups - Complexity'!$C:$C, MATCH($B151, 'Lookups - Complexity'!$B:$B,0)), $K151="Medium", INDEX('Lookups - Complexity'!$D:$D, MATCH($B151, 'Lookups - Complexity'!$B:$B,0)), $K151="High", INDEX('Lookups - Complexity'!$E:$E, MATCH($B151, 'Lookups - Complexity'!$B:$B,0))), ""))</f>
        <v/>
      </c>
      <c r="M151" s="11">
        <f>IF($I151="FTE", Assumptions!$B$3, "")</f>
        <v/>
      </c>
      <c r="N151" s="11">
        <f t="array" ref="N151">IFERROR(INDEX(Milestones!$F:$F, MATCH($B151, Milestones!$B:$B, 0)), "")</f>
        <v/>
      </c>
      <c r="O151" s="11">
        <f t="array" ref="O151">IFERROR(INDEX(Milestones!$G:$G, MATCH($B151, Milestones!$B:$B, 0)), "")</f>
        <v/>
      </c>
      <c r="P151" s="11">
        <f t="array" ref="P151">IFERROR(INDEX('Lookups - Rates'!$D:$D, MATCH($G151&amp;"|"&amp;$H151, 'Lookups - Rates'!$Z:$Z, 0)), "")</f>
        <v/>
      </c>
      <c r="Q151" s="11">
        <f t="array" ref="Q151">IFERROR(INDEX('Lookups - Rates'!$E:$E, MATCH($G151&amp;"|"&amp;$H151, 'Lookups - Rates'!$Z:$Z, 0)), "")</f>
        <v/>
      </c>
      <c r="R151" s="11">
        <f>LET(ev,$J151, ch,$L151, hr,$P151, dr,$Q151, hpday,Assumptions!$B$2, hpw,Assumptions!$B$3, w,$M151, hrs, IF($I151="Hours", ev, IF($I151="Days", ev*IF(dr&gt;0, dr/hr, hpday), IF($I151="FTE", ev*hpw*w, ch))), IF(hrs="", "", hrs*hr))</f>
        <v/>
      </c>
      <c r="S151" s="13" t="n"/>
      <c r="T151" s="11">
        <f t="array" ref="T151">XLOOKUP(Scenario_Selected, INDEX(Scenario_Table,0,1), INDEX(Scenario_Table,0,2))</f>
        <v/>
      </c>
      <c r="U151" s="11">
        <f t="array" ref="U151">XLOOKUP(Scenario_Selected, INDEX(Scenario_Table,0,1), INDEX(Scenario_Table,0,3))</f>
        <v/>
      </c>
      <c r="V151" s="11">
        <f t="array" ref="V151">XLOOKUP(Scenario_Selected, INDEX(Scenario_Table,0,1), INDEX(Scenario_Table,0,4))</f>
        <v/>
      </c>
      <c r="W151" s="11">
        <f t="array" ref="W151">LET(ev,$J151, ch,$L151, et,$I151, dr,$Q151, hpday,Assumptions!$B$2, hpw,Assumptions!$B$3, w,$M151,hm,INDIRECT("R[0]C[0]",FALSE),hrs, IF(et="Hours", ev, IF(et="Days", ev*IF(dr&gt;0, dr/$P151, hpday), IF(et="FTE", ev*hpw*w, ch))), IF(hrs="", "", hrs*hm))</f>
        <v/>
      </c>
      <c r="X151" s="11">
        <f>IF($P151="","", $P151*INDIRECT("R[0]C[-3]",FALSE))</f>
        <v/>
      </c>
      <c r="Y151" s="11">
        <f>IF(INDIRECT("R[0]C[-1]",FALSE)="","", INDIRECT("R[0]C[-2]",FALSE)*INDIRECT("R[0]C[-1]",FALSE)*(1+INDIRECT("R[0]C[-3]",FALSE)))</f>
        <v/>
      </c>
      <c r="Z151" s="13" t="n"/>
    </row>
    <row r="152" ht="15.75" customHeight="1" s="74">
      <c r="A152" s="11" t="n">
        <v>152</v>
      </c>
      <c r="C152" s="11">
        <f t="array" ref="C152">IFERROR(INDEX(Milestones!$A:$A, MATCH($B152, Milestones!$B:$B, 0)), "")</f>
        <v/>
      </c>
      <c r="D152" s="11">
        <f t="array" ref="D152">IFERROR(INDEX(Milestones!$C:$C, MATCH($B152, Milestones!$B:$B, 0)), "")</f>
        <v/>
      </c>
      <c r="F152" s="11">
        <f t="array" ref="F152">IFERROR(INDEX(Milestones!$E:$E, MATCH($B152, Milestones!$B:$B, 0)), "")</f>
        <v/>
      </c>
      <c r="I152" s="11" t="n"/>
      <c r="J152" s="20" t="n"/>
      <c r="K152" s="11" t="n"/>
      <c r="L152" s="11">
        <f t="array" ref="L152">IF($K152="","", IFERROR(IFS($K152="Low", INDEX('Lookups - Complexity'!$C:$C, MATCH($B152, 'Lookups - Complexity'!$B:$B,0)), $K152="Medium", INDEX('Lookups - Complexity'!$D:$D, MATCH($B152, 'Lookups - Complexity'!$B:$B,0)), $K152="High", INDEX('Lookups - Complexity'!$E:$E, MATCH($B152, 'Lookups - Complexity'!$B:$B,0))), ""))</f>
        <v/>
      </c>
      <c r="M152" s="11">
        <f>IF($I152="FTE", Assumptions!$B$3, "")</f>
        <v/>
      </c>
      <c r="N152" s="11">
        <f t="array" ref="N152">IFERROR(INDEX(Milestones!$F:$F, MATCH($B152, Milestones!$B:$B, 0)), "")</f>
        <v/>
      </c>
      <c r="O152" s="11">
        <f t="array" ref="O152">IFERROR(INDEX(Milestones!$G:$G, MATCH($B152, Milestones!$B:$B, 0)), "")</f>
        <v/>
      </c>
      <c r="P152" s="11">
        <f t="array" ref="P152">IFERROR(INDEX('Lookups - Rates'!$D:$D, MATCH($G152&amp;"|"&amp;$H152, 'Lookups - Rates'!$Z:$Z, 0)), "")</f>
        <v/>
      </c>
      <c r="Q152" s="11">
        <f t="array" ref="Q152">IFERROR(INDEX('Lookups - Rates'!$E:$E, MATCH($G152&amp;"|"&amp;$H152, 'Lookups - Rates'!$Z:$Z, 0)), "")</f>
        <v/>
      </c>
      <c r="R152" s="11">
        <f>LET(ev,$J152, ch,$L152, hr,$P152, dr,$Q152, hpday,Assumptions!$B$2, hpw,Assumptions!$B$3, w,$M152, hrs, IF($I152="Hours", ev, IF($I152="Days", ev*IF(dr&gt;0, dr/hr, hpday), IF($I152="FTE", ev*hpw*w, ch))), IF(hrs="", "", hrs*hr))</f>
        <v/>
      </c>
      <c r="S152" s="13" t="n"/>
      <c r="T152" s="11">
        <f t="array" ref="T152">XLOOKUP(Scenario_Selected, INDEX(Scenario_Table,0,1), INDEX(Scenario_Table,0,2))</f>
        <v/>
      </c>
      <c r="U152" s="11">
        <f t="array" ref="U152">XLOOKUP(Scenario_Selected, INDEX(Scenario_Table,0,1), INDEX(Scenario_Table,0,3))</f>
        <v/>
      </c>
      <c r="V152" s="11">
        <f t="array" ref="V152">XLOOKUP(Scenario_Selected, INDEX(Scenario_Table,0,1), INDEX(Scenario_Table,0,4))</f>
        <v/>
      </c>
      <c r="W152" s="11">
        <f t="array" ref="W152">LET(ev,$J152, ch,$L152, et,$I152, dr,$Q152, hpday,Assumptions!$B$2, hpw,Assumptions!$B$3, w,$M152,hm,INDIRECT("R[0]C[0]",FALSE),hrs, IF(et="Hours", ev, IF(et="Days", ev*IF(dr&gt;0, dr/$P152, hpday), IF(et="FTE", ev*hpw*w, ch))), IF(hrs="", "", hrs*hm))</f>
        <v/>
      </c>
      <c r="X152" s="11">
        <f>IF($P152="","", $P152*INDIRECT("R[0]C[-3]",FALSE))</f>
        <v/>
      </c>
      <c r="Y152" s="11">
        <f>IF(INDIRECT("R[0]C[-1]",FALSE)="","", INDIRECT("R[0]C[-2]",FALSE)*INDIRECT("R[0]C[-1]",FALSE)*(1+INDIRECT("R[0]C[-3]",FALSE)))</f>
        <v/>
      </c>
      <c r="Z152" s="13" t="n"/>
    </row>
    <row r="153" ht="15.75" customHeight="1" s="74">
      <c r="A153" s="11" t="n">
        <v>153</v>
      </c>
      <c r="C153" s="11">
        <f t="array" ref="C153">IFERROR(INDEX(Milestones!$A:$A, MATCH($B153, Milestones!$B:$B, 0)), "")</f>
        <v/>
      </c>
      <c r="D153" s="11">
        <f t="array" ref="D153">IFERROR(INDEX(Milestones!$C:$C, MATCH($B153, Milestones!$B:$B, 0)), "")</f>
        <v/>
      </c>
      <c r="F153" s="11">
        <f t="array" ref="F153">IFERROR(INDEX(Milestones!$E:$E, MATCH($B153, Milestones!$B:$B, 0)), "")</f>
        <v/>
      </c>
      <c r="I153" s="11" t="n"/>
      <c r="J153" s="20" t="n"/>
      <c r="K153" s="11" t="n"/>
      <c r="L153" s="11">
        <f t="array" ref="L153">IF($K153="","", IFERROR(IFS($K153="Low", INDEX('Lookups - Complexity'!$C:$C, MATCH($B153, 'Lookups - Complexity'!$B:$B,0)), $K153="Medium", INDEX('Lookups - Complexity'!$D:$D, MATCH($B153, 'Lookups - Complexity'!$B:$B,0)), $K153="High", INDEX('Lookups - Complexity'!$E:$E, MATCH($B153, 'Lookups - Complexity'!$B:$B,0))), ""))</f>
        <v/>
      </c>
      <c r="M153" s="11">
        <f>IF($I153="FTE", Assumptions!$B$3, "")</f>
        <v/>
      </c>
      <c r="N153" s="11">
        <f t="array" ref="N153">IFERROR(INDEX(Milestones!$F:$F, MATCH($B153, Milestones!$B:$B, 0)), "")</f>
        <v/>
      </c>
      <c r="O153" s="11">
        <f t="array" ref="O153">IFERROR(INDEX(Milestones!$G:$G, MATCH($B153, Milestones!$B:$B, 0)), "")</f>
        <v/>
      </c>
      <c r="P153" s="11">
        <f t="array" ref="P153">IFERROR(INDEX('Lookups - Rates'!$D:$D, MATCH($G153&amp;"|"&amp;$H153, 'Lookups - Rates'!$Z:$Z, 0)), "")</f>
        <v/>
      </c>
      <c r="Q153" s="11">
        <f t="array" ref="Q153">IFERROR(INDEX('Lookups - Rates'!$E:$E, MATCH($G153&amp;"|"&amp;$H153, 'Lookups - Rates'!$Z:$Z, 0)), "")</f>
        <v/>
      </c>
      <c r="R153" s="11">
        <f>LET(ev,$J153, ch,$L153, hr,$P153, dr,$Q153, hpday,Assumptions!$B$2, hpw,Assumptions!$B$3, w,$M153, hrs, IF($I153="Hours", ev, IF($I153="Days", ev*IF(dr&gt;0, dr/hr, hpday), IF($I153="FTE", ev*hpw*w, ch))), IF(hrs="", "", hrs*hr))</f>
        <v/>
      </c>
      <c r="S153" s="13" t="n"/>
      <c r="T153" s="11">
        <f t="array" ref="T153">XLOOKUP(Scenario_Selected, INDEX(Scenario_Table,0,1), INDEX(Scenario_Table,0,2))</f>
        <v/>
      </c>
      <c r="U153" s="11">
        <f t="array" ref="U153">XLOOKUP(Scenario_Selected, INDEX(Scenario_Table,0,1), INDEX(Scenario_Table,0,3))</f>
        <v/>
      </c>
      <c r="V153" s="11">
        <f t="array" ref="V153">XLOOKUP(Scenario_Selected, INDEX(Scenario_Table,0,1), INDEX(Scenario_Table,0,4))</f>
        <v/>
      </c>
      <c r="W153" s="11">
        <f t="array" ref="W153">LET(ev,$J153, ch,$L153, et,$I153, dr,$Q153, hpday,Assumptions!$B$2, hpw,Assumptions!$B$3, w,$M153,hm,INDIRECT("R[0]C[0]",FALSE),hrs, IF(et="Hours", ev, IF(et="Days", ev*IF(dr&gt;0, dr/$P153, hpday), IF(et="FTE", ev*hpw*w, ch))), IF(hrs="", "", hrs*hm))</f>
        <v/>
      </c>
      <c r="X153" s="11">
        <f>IF($P153="","", $P153*INDIRECT("R[0]C[-3]",FALSE))</f>
        <v/>
      </c>
      <c r="Y153" s="11">
        <f>IF(INDIRECT("R[0]C[-1]",FALSE)="","", INDIRECT("R[0]C[-2]",FALSE)*INDIRECT("R[0]C[-1]",FALSE)*(1+INDIRECT("R[0]C[-3]",FALSE)))</f>
        <v/>
      </c>
      <c r="Z153" s="13" t="n"/>
    </row>
    <row r="154" ht="15.75" customHeight="1" s="74">
      <c r="A154" s="11" t="n">
        <v>154</v>
      </c>
      <c r="C154" s="11">
        <f t="array" ref="C154">IFERROR(INDEX(Milestones!$A:$A, MATCH($B154, Milestones!$B:$B, 0)), "")</f>
        <v/>
      </c>
      <c r="D154" s="11">
        <f t="array" ref="D154">IFERROR(INDEX(Milestones!$C:$C, MATCH($B154, Milestones!$B:$B, 0)), "")</f>
        <v/>
      </c>
      <c r="F154" s="11">
        <f t="array" ref="F154">IFERROR(INDEX(Milestones!$E:$E, MATCH($B154, Milestones!$B:$B, 0)), "")</f>
        <v/>
      </c>
      <c r="I154" s="11" t="n"/>
      <c r="J154" s="20" t="n"/>
      <c r="K154" s="11" t="n"/>
      <c r="L154" s="11">
        <f t="array" ref="L154">IF($K154="","", IFERROR(IFS($K154="Low", INDEX('Lookups - Complexity'!$C:$C, MATCH($B154, 'Lookups - Complexity'!$B:$B,0)), $K154="Medium", INDEX('Lookups - Complexity'!$D:$D, MATCH($B154, 'Lookups - Complexity'!$B:$B,0)), $K154="High", INDEX('Lookups - Complexity'!$E:$E, MATCH($B154, 'Lookups - Complexity'!$B:$B,0))), ""))</f>
        <v/>
      </c>
      <c r="M154" s="11">
        <f>IF($I154="FTE", Assumptions!$B$3, "")</f>
        <v/>
      </c>
      <c r="N154" s="11">
        <f t="array" ref="N154">IFERROR(INDEX(Milestones!$F:$F, MATCH($B154, Milestones!$B:$B, 0)), "")</f>
        <v/>
      </c>
      <c r="O154" s="11">
        <f t="array" ref="O154">IFERROR(INDEX(Milestones!$G:$G, MATCH($B154, Milestones!$B:$B, 0)), "")</f>
        <v/>
      </c>
      <c r="P154" s="11">
        <f t="array" ref="P154">IFERROR(INDEX('Lookups - Rates'!$D:$D, MATCH($G154&amp;"|"&amp;$H154, 'Lookups - Rates'!$Z:$Z, 0)), "")</f>
        <v/>
      </c>
      <c r="Q154" s="11">
        <f t="array" ref="Q154">IFERROR(INDEX('Lookups - Rates'!$E:$E, MATCH($G154&amp;"|"&amp;$H154, 'Lookups - Rates'!$Z:$Z, 0)), "")</f>
        <v/>
      </c>
      <c r="R154" s="11">
        <f>LET(ev,$J154, ch,$L154, hr,$P154, dr,$Q154, hpday,Assumptions!$B$2, hpw,Assumptions!$B$3, w,$M154, hrs, IF($I154="Hours", ev, IF($I154="Days", ev*IF(dr&gt;0, dr/hr, hpday), IF($I154="FTE", ev*hpw*w, ch))), IF(hrs="", "", hrs*hr))</f>
        <v/>
      </c>
      <c r="S154" s="13" t="n"/>
      <c r="T154" s="11">
        <f t="array" ref="T154">XLOOKUP(Scenario_Selected, INDEX(Scenario_Table,0,1), INDEX(Scenario_Table,0,2))</f>
        <v/>
      </c>
      <c r="U154" s="11">
        <f t="array" ref="U154">XLOOKUP(Scenario_Selected, INDEX(Scenario_Table,0,1), INDEX(Scenario_Table,0,3))</f>
        <v/>
      </c>
      <c r="V154" s="11">
        <f t="array" ref="V154">XLOOKUP(Scenario_Selected, INDEX(Scenario_Table,0,1), INDEX(Scenario_Table,0,4))</f>
        <v/>
      </c>
      <c r="W154" s="11">
        <f t="array" ref="W154">LET(ev,$J154, ch,$L154, et,$I154, dr,$Q154, hpday,Assumptions!$B$2, hpw,Assumptions!$B$3, w,$M154,hm,INDIRECT("R[0]C[0]",FALSE),hrs, IF(et="Hours", ev, IF(et="Days", ev*IF(dr&gt;0, dr/$P154, hpday), IF(et="FTE", ev*hpw*w, ch))), IF(hrs="", "", hrs*hm))</f>
        <v/>
      </c>
      <c r="X154" s="11">
        <f>IF($P154="","", $P154*INDIRECT("R[0]C[-3]",FALSE))</f>
        <v/>
      </c>
      <c r="Y154" s="11">
        <f>IF(INDIRECT("R[0]C[-1]",FALSE)="","", INDIRECT("R[0]C[-2]",FALSE)*INDIRECT("R[0]C[-1]",FALSE)*(1+INDIRECT("R[0]C[-3]",FALSE)))</f>
        <v/>
      </c>
      <c r="Z154" s="13" t="n"/>
    </row>
    <row r="155" ht="15.75" customHeight="1" s="74">
      <c r="A155" s="11" t="n">
        <v>155</v>
      </c>
      <c r="C155" s="11">
        <f t="array" ref="C155">IFERROR(INDEX(Milestones!$A:$A, MATCH($B155, Milestones!$B:$B, 0)), "")</f>
        <v/>
      </c>
      <c r="D155" s="11">
        <f t="array" ref="D155">IFERROR(INDEX(Milestones!$C:$C, MATCH($B155, Milestones!$B:$B, 0)), "")</f>
        <v/>
      </c>
      <c r="F155" s="11">
        <f t="array" ref="F155">IFERROR(INDEX(Milestones!$E:$E, MATCH($B155, Milestones!$B:$B, 0)), "")</f>
        <v/>
      </c>
      <c r="I155" s="11" t="n"/>
      <c r="J155" s="20" t="n"/>
      <c r="K155" s="11" t="n"/>
      <c r="L155" s="11">
        <f t="array" ref="L155">IF($K155="","", IFERROR(IFS($K155="Low", INDEX('Lookups - Complexity'!$C:$C, MATCH($B155, 'Lookups - Complexity'!$B:$B,0)), $K155="Medium", INDEX('Lookups - Complexity'!$D:$D, MATCH($B155, 'Lookups - Complexity'!$B:$B,0)), $K155="High", INDEX('Lookups - Complexity'!$E:$E, MATCH($B155, 'Lookups - Complexity'!$B:$B,0))), ""))</f>
        <v/>
      </c>
      <c r="M155" s="11">
        <f>IF($I155="FTE", Assumptions!$B$3, "")</f>
        <v/>
      </c>
      <c r="N155" s="11">
        <f t="array" ref="N155">IFERROR(INDEX(Milestones!$F:$F, MATCH($B155, Milestones!$B:$B, 0)), "")</f>
        <v/>
      </c>
      <c r="O155" s="11">
        <f t="array" ref="O155">IFERROR(INDEX(Milestones!$G:$G, MATCH($B155, Milestones!$B:$B, 0)), "")</f>
        <v/>
      </c>
      <c r="P155" s="11">
        <f t="array" ref="P155">IFERROR(INDEX('Lookups - Rates'!$D:$D, MATCH($G155&amp;"|"&amp;$H155, 'Lookups - Rates'!$Z:$Z, 0)), "")</f>
        <v/>
      </c>
      <c r="Q155" s="11">
        <f t="array" ref="Q155">IFERROR(INDEX('Lookups - Rates'!$E:$E, MATCH($G155&amp;"|"&amp;$H155, 'Lookups - Rates'!$Z:$Z, 0)), "")</f>
        <v/>
      </c>
      <c r="R155" s="11">
        <f>LET(ev,$J155, ch,$L155, hr,$P155, dr,$Q155, hpday,Assumptions!$B$2, hpw,Assumptions!$B$3, w,$M155, hrs, IF($I155="Hours", ev, IF($I155="Days", ev*IF(dr&gt;0, dr/hr, hpday), IF($I155="FTE", ev*hpw*w, ch))), IF(hrs="", "", hrs*hr))</f>
        <v/>
      </c>
      <c r="S155" s="13" t="n"/>
      <c r="T155" s="11">
        <f t="array" ref="T155">XLOOKUP(Scenario_Selected, INDEX(Scenario_Table,0,1), INDEX(Scenario_Table,0,2))</f>
        <v/>
      </c>
      <c r="U155" s="11">
        <f t="array" ref="U155">XLOOKUP(Scenario_Selected, INDEX(Scenario_Table,0,1), INDEX(Scenario_Table,0,3))</f>
        <v/>
      </c>
      <c r="V155" s="11">
        <f t="array" ref="V155">XLOOKUP(Scenario_Selected, INDEX(Scenario_Table,0,1), INDEX(Scenario_Table,0,4))</f>
        <v/>
      </c>
      <c r="W155" s="11">
        <f t="array" ref="W155">LET(ev,$J155, ch,$L155, et,$I155, dr,$Q155, hpday,Assumptions!$B$2, hpw,Assumptions!$B$3, w,$M155,hm,INDIRECT("R[0]C[0]",FALSE),hrs, IF(et="Hours", ev, IF(et="Days", ev*IF(dr&gt;0, dr/$P155, hpday), IF(et="FTE", ev*hpw*w, ch))), IF(hrs="", "", hrs*hm))</f>
        <v/>
      </c>
      <c r="X155" s="11">
        <f>IF($P155="","", $P155*INDIRECT("R[0]C[-3]",FALSE))</f>
        <v/>
      </c>
      <c r="Y155" s="11">
        <f>IF(INDIRECT("R[0]C[-1]",FALSE)="","", INDIRECT("R[0]C[-2]",FALSE)*INDIRECT("R[0]C[-1]",FALSE)*(1+INDIRECT("R[0]C[-3]",FALSE)))</f>
        <v/>
      </c>
      <c r="Z155" s="13" t="n"/>
    </row>
    <row r="156" ht="15.75" customHeight="1" s="74">
      <c r="A156" s="11" t="n">
        <v>156</v>
      </c>
      <c r="C156" s="11">
        <f t="array" ref="C156">IFERROR(INDEX(Milestones!$A:$A, MATCH($B156, Milestones!$B:$B, 0)), "")</f>
        <v/>
      </c>
      <c r="D156" s="11">
        <f t="array" ref="D156">IFERROR(INDEX(Milestones!$C:$C, MATCH($B156, Milestones!$B:$B, 0)), "")</f>
        <v/>
      </c>
      <c r="F156" s="11">
        <f t="array" ref="F156">IFERROR(INDEX(Milestones!$E:$E, MATCH($B156, Milestones!$B:$B, 0)), "")</f>
        <v/>
      </c>
      <c r="I156" s="11" t="n"/>
      <c r="J156" s="20" t="n"/>
      <c r="K156" s="11" t="n"/>
      <c r="L156" s="11">
        <f t="array" ref="L156">IF($K156="","", IFERROR(IFS($K156="Low", INDEX('Lookups - Complexity'!$C:$C, MATCH($B156, 'Lookups - Complexity'!$B:$B,0)), $K156="Medium", INDEX('Lookups - Complexity'!$D:$D, MATCH($B156, 'Lookups - Complexity'!$B:$B,0)), $K156="High", INDEX('Lookups - Complexity'!$E:$E, MATCH($B156, 'Lookups - Complexity'!$B:$B,0))), ""))</f>
        <v/>
      </c>
      <c r="M156" s="11">
        <f>IF($I156="FTE", Assumptions!$B$3, "")</f>
        <v/>
      </c>
      <c r="N156" s="11">
        <f t="array" ref="N156">IFERROR(INDEX(Milestones!$F:$F, MATCH($B156, Milestones!$B:$B, 0)), "")</f>
        <v/>
      </c>
      <c r="O156" s="11">
        <f t="array" ref="O156">IFERROR(INDEX(Milestones!$G:$G, MATCH($B156, Milestones!$B:$B, 0)), "")</f>
        <v/>
      </c>
      <c r="P156" s="11">
        <f t="array" ref="P156">IFERROR(INDEX('Lookups - Rates'!$D:$D, MATCH($G156&amp;"|"&amp;$H156, 'Lookups - Rates'!$Z:$Z, 0)), "")</f>
        <v/>
      </c>
      <c r="Q156" s="11">
        <f t="array" ref="Q156">IFERROR(INDEX('Lookups - Rates'!$E:$E, MATCH($G156&amp;"|"&amp;$H156, 'Lookups - Rates'!$Z:$Z, 0)), "")</f>
        <v/>
      </c>
      <c r="R156" s="11">
        <f>LET(ev,$J156, ch,$L156, hr,$P156, dr,$Q156, hpday,Assumptions!$B$2, hpw,Assumptions!$B$3, w,$M156, hrs, IF($I156="Hours", ev, IF($I156="Days", ev*IF(dr&gt;0, dr/hr, hpday), IF($I156="FTE", ev*hpw*w, ch))), IF(hrs="", "", hrs*hr))</f>
        <v/>
      </c>
      <c r="S156" s="13" t="n"/>
      <c r="T156" s="11">
        <f t="array" ref="T156">XLOOKUP(Scenario_Selected, INDEX(Scenario_Table,0,1), INDEX(Scenario_Table,0,2))</f>
        <v/>
      </c>
      <c r="U156" s="11">
        <f t="array" ref="U156">XLOOKUP(Scenario_Selected, INDEX(Scenario_Table,0,1), INDEX(Scenario_Table,0,3))</f>
        <v/>
      </c>
      <c r="V156" s="11">
        <f t="array" ref="V156">XLOOKUP(Scenario_Selected, INDEX(Scenario_Table,0,1), INDEX(Scenario_Table,0,4))</f>
        <v/>
      </c>
      <c r="W156" s="11">
        <f t="array" ref="W156">LET(ev,$J156, ch,$L156, et,$I156, dr,$Q156, hpday,Assumptions!$B$2, hpw,Assumptions!$B$3, w,$M156,hm,INDIRECT("R[0]C[0]",FALSE),hrs, IF(et="Hours", ev, IF(et="Days", ev*IF(dr&gt;0, dr/$P156, hpday), IF(et="FTE", ev*hpw*w, ch))), IF(hrs="", "", hrs*hm))</f>
        <v/>
      </c>
      <c r="X156" s="11">
        <f>IF($P156="","", $P156*INDIRECT("R[0]C[-3]",FALSE))</f>
        <v/>
      </c>
      <c r="Y156" s="11">
        <f>IF(INDIRECT("R[0]C[-1]",FALSE)="","", INDIRECT("R[0]C[-2]",FALSE)*INDIRECT("R[0]C[-1]",FALSE)*(1+INDIRECT("R[0]C[-3]",FALSE)))</f>
        <v/>
      </c>
      <c r="Z156" s="13" t="n"/>
    </row>
    <row r="157" ht="15.75" customHeight="1" s="74">
      <c r="A157" s="11" t="n">
        <v>157</v>
      </c>
      <c r="C157" s="11">
        <f t="array" ref="C157">IFERROR(INDEX(Milestones!$A:$A, MATCH($B157, Milestones!$B:$B, 0)), "")</f>
        <v/>
      </c>
      <c r="D157" s="11">
        <f t="array" ref="D157">IFERROR(INDEX(Milestones!$C:$C, MATCH($B157, Milestones!$B:$B, 0)), "")</f>
        <v/>
      </c>
      <c r="F157" s="11">
        <f t="array" ref="F157">IFERROR(INDEX(Milestones!$E:$E, MATCH($B157, Milestones!$B:$B, 0)), "")</f>
        <v/>
      </c>
      <c r="I157" s="11" t="n"/>
      <c r="J157" s="20" t="n"/>
      <c r="K157" s="11" t="n"/>
      <c r="L157" s="11">
        <f t="array" ref="L157">IF($K157="","", IFERROR(IFS($K157="Low", INDEX('Lookups - Complexity'!$C:$C, MATCH($B157, 'Lookups - Complexity'!$B:$B,0)), $K157="Medium", INDEX('Lookups - Complexity'!$D:$D, MATCH($B157, 'Lookups - Complexity'!$B:$B,0)), $K157="High", INDEX('Lookups - Complexity'!$E:$E, MATCH($B157, 'Lookups - Complexity'!$B:$B,0))), ""))</f>
        <v/>
      </c>
      <c r="M157" s="11">
        <f>IF($I157="FTE", Assumptions!$B$3, "")</f>
        <v/>
      </c>
      <c r="N157" s="11">
        <f t="array" ref="N157">IFERROR(INDEX(Milestones!$F:$F, MATCH($B157, Milestones!$B:$B, 0)), "")</f>
        <v/>
      </c>
      <c r="O157" s="11">
        <f t="array" ref="O157">IFERROR(INDEX(Milestones!$G:$G, MATCH($B157, Milestones!$B:$B, 0)), "")</f>
        <v/>
      </c>
      <c r="P157" s="11">
        <f t="array" ref="P157">IFERROR(INDEX('Lookups - Rates'!$D:$D, MATCH($G157&amp;"|"&amp;$H157, 'Lookups - Rates'!$Z:$Z, 0)), "")</f>
        <v/>
      </c>
      <c r="Q157" s="11">
        <f t="array" ref="Q157">IFERROR(INDEX('Lookups - Rates'!$E:$E, MATCH($G157&amp;"|"&amp;$H157, 'Lookups - Rates'!$Z:$Z, 0)), "")</f>
        <v/>
      </c>
      <c r="R157" s="11">
        <f>LET(ev,$J157, ch,$L157, hr,$P157, dr,$Q157, hpday,Assumptions!$B$2, hpw,Assumptions!$B$3, w,$M157, hrs, IF($I157="Hours", ev, IF($I157="Days", ev*IF(dr&gt;0, dr/hr, hpday), IF($I157="FTE", ev*hpw*w, ch))), IF(hrs="", "", hrs*hr))</f>
        <v/>
      </c>
      <c r="S157" s="13" t="n"/>
      <c r="T157" s="11">
        <f t="array" ref="T157">XLOOKUP(Scenario_Selected, INDEX(Scenario_Table,0,1), INDEX(Scenario_Table,0,2))</f>
        <v/>
      </c>
      <c r="U157" s="11">
        <f t="array" ref="U157">XLOOKUP(Scenario_Selected, INDEX(Scenario_Table,0,1), INDEX(Scenario_Table,0,3))</f>
        <v/>
      </c>
      <c r="V157" s="11">
        <f t="array" ref="V157">XLOOKUP(Scenario_Selected, INDEX(Scenario_Table,0,1), INDEX(Scenario_Table,0,4))</f>
        <v/>
      </c>
      <c r="W157" s="11">
        <f t="array" ref="W157">LET(ev,$J157, ch,$L157, et,$I157, dr,$Q157, hpday,Assumptions!$B$2, hpw,Assumptions!$B$3, w,$M157,hm,INDIRECT("R[0]C[0]",FALSE),hrs, IF(et="Hours", ev, IF(et="Days", ev*IF(dr&gt;0, dr/$P157, hpday), IF(et="FTE", ev*hpw*w, ch))), IF(hrs="", "", hrs*hm))</f>
        <v/>
      </c>
      <c r="X157" s="11">
        <f>IF($P157="","", $P157*INDIRECT("R[0]C[-3]",FALSE))</f>
        <v/>
      </c>
      <c r="Y157" s="11">
        <f>IF(INDIRECT("R[0]C[-1]",FALSE)="","", INDIRECT("R[0]C[-2]",FALSE)*INDIRECT("R[0]C[-1]",FALSE)*(1+INDIRECT("R[0]C[-3]",FALSE)))</f>
        <v/>
      </c>
      <c r="Z157" s="13" t="n"/>
    </row>
    <row r="158" ht="15.75" customHeight="1" s="74">
      <c r="A158" s="11" t="n">
        <v>158</v>
      </c>
      <c r="C158" s="11">
        <f t="array" ref="C158">IFERROR(INDEX(Milestones!$A:$A, MATCH($B158, Milestones!$B:$B, 0)), "")</f>
        <v/>
      </c>
      <c r="D158" s="11">
        <f t="array" ref="D158">IFERROR(INDEX(Milestones!$C:$C, MATCH($B158, Milestones!$B:$B, 0)), "")</f>
        <v/>
      </c>
      <c r="F158" s="11">
        <f t="array" ref="F158">IFERROR(INDEX(Milestones!$E:$E, MATCH($B158, Milestones!$B:$B, 0)), "")</f>
        <v/>
      </c>
      <c r="I158" s="11" t="n"/>
      <c r="J158" s="20" t="n"/>
      <c r="K158" s="11" t="n"/>
      <c r="L158" s="11">
        <f t="array" ref="L158">IF($K158="","", IFERROR(IFS($K158="Low", INDEX('Lookups - Complexity'!$C:$C, MATCH($B158, 'Lookups - Complexity'!$B:$B,0)), $K158="Medium", INDEX('Lookups - Complexity'!$D:$D, MATCH($B158, 'Lookups - Complexity'!$B:$B,0)), $K158="High", INDEX('Lookups - Complexity'!$E:$E, MATCH($B158, 'Lookups - Complexity'!$B:$B,0))), ""))</f>
        <v/>
      </c>
      <c r="M158" s="11">
        <f>IF($I158="FTE", Assumptions!$B$3, "")</f>
        <v/>
      </c>
      <c r="N158" s="11">
        <f t="array" ref="N158">IFERROR(INDEX(Milestones!$F:$F, MATCH($B158, Milestones!$B:$B, 0)), "")</f>
        <v/>
      </c>
      <c r="O158" s="11">
        <f t="array" ref="O158">IFERROR(INDEX(Milestones!$G:$G, MATCH($B158, Milestones!$B:$B, 0)), "")</f>
        <v/>
      </c>
      <c r="P158" s="11">
        <f t="array" ref="P158">IFERROR(INDEX('Lookups - Rates'!$D:$D, MATCH($G158&amp;"|"&amp;$H158, 'Lookups - Rates'!$Z:$Z, 0)), "")</f>
        <v/>
      </c>
      <c r="Q158" s="11">
        <f t="array" ref="Q158">IFERROR(INDEX('Lookups - Rates'!$E:$E, MATCH($G158&amp;"|"&amp;$H158, 'Lookups - Rates'!$Z:$Z, 0)), "")</f>
        <v/>
      </c>
      <c r="R158" s="11">
        <f>LET(ev,$J158, ch,$L158, hr,$P158, dr,$Q158, hpday,Assumptions!$B$2, hpw,Assumptions!$B$3, w,$M158, hrs, IF($I158="Hours", ev, IF($I158="Days", ev*IF(dr&gt;0, dr/hr, hpday), IF($I158="FTE", ev*hpw*w, ch))), IF(hrs="", "", hrs*hr))</f>
        <v/>
      </c>
      <c r="S158" s="13" t="n"/>
      <c r="T158" s="11">
        <f t="array" ref="T158">XLOOKUP(Scenario_Selected, INDEX(Scenario_Table,0,1), INDEX(Scenario_Table,0,2))</f>
        <v/>
      </c>
      <c r="U158" s="11">
        <f t="array" ref="U158">XLOOKUP(Scenario_Selected, INDEX(Scenario_Table,0,1), INDEX(Scenario_Table,0,3))</f>
        <v/>
      </c>
      <c r="V158" s="11">
        <f t="array" ref="V158">XLOOKUP(Scenario_Selected, INDEX(Scenario_Table,0,1), INDEX(Scenario_Table,0,4))</f>
        <v/>
      </c>
      <c r="W158" s="11">
        <f t="array" ref="W158">LET(ev,$J158, ch,$L158, et,$I158, dr,$Q158, hpday,Assumptions!$B$2, hpw,Assumptions!$B$3, w,$M158,hm,INDIRECT("R[0]C[0]",FALSE),hrs, IF(et="Hours", ev, IF(et="Days", ev*IF(dr&gt;0, dr/$P158, hpday), IF(et="FTE", ev*hpw*w, ch))), IF(hrs="", "", hrs*hm))</f>
        <v/>
      </c>
      <c r="X158" s="11">
        <f>IF($P158="","", $P158*INDIRECT("R[0]C[-3]",FALSE))</f>
        <v/>
      </c>
      <c r="Y158" s="11">
        <f>IF(INDIRECT("R[0]C[-1]",FALSE)="","", INDIRECT("R[0]C[-2]",FALSE)*INDIRECT("R[0]C[-1]",FALSE)*(1+INDIRECT("R[0]C[-3]",FALSE)))</f>
        <v/>
      </c>
      <c r="Z158" s="13" t="n"/>
    </row>
    <row r="159" ht="15.75" customHeight="1" s="74">
      <c r="A159" s="11" t="n">
        <v>159</v>
      </c>
      <c r="C159" s="11">
        <f t="array" ref="C159">IFERROR(INDEX(Milestones!$A:$A, MATCH($B159, Milestones!$B:$B, 0)), "")</f>
        <v/>
      </c>
      <c r="D159" s="11">
        <f t="array" ref="D159">IFERROR(INDEX(Milestones!$C:$C, MATCH($B159, Milestones!$B:$B, 0)), "")</f>
        <v/>
      </c>
      <c r="F159" s="11">
        <f t="array" ref="F159">IFERROR(INDEX(Milestones!$E:$E, MATCH($B159, Milestones!$B:$B, 0)), "")</f>
        <v/>
      </c>
      <c r="I159" s="11" t="n"/>
      <c r="J159" s="20" t="n"/>
      <c r="K159" s="11" t="n"/>
      <c r="L159" s="11">
        <f t="array" ref="L159">IF($K159="","", IFERROR(IFS($K159="Low", INDEX('Lookups - Complexity'!$C:$C, MATCH($B159, 'Lookups - Complexity'!$B:$B,0)), $K159="Medium", INDEX('Lookups - Complexity'!$D:$D, MATCH($B159, 'Lookups - Complexity'!$B:$B,0)), $K159="High", INDEX('Lookups - Complexity'!$E:$E, MATCH($B159, 'Lookups - Complexity'!$B:$B,0))), ""))</f>
        <v/>
      </c>
      <c r="M159" s="11">
        <f>IF($I159="FTE", Assumptions!$B$3, "")</f>
        <v/>
      </c>
      <c r="N159" s="11">
        <f t="array" ref="N159">IFERROR(INDEX(Milestones!$F:$F, MATCH($B159, Milestones!$B:$B, 0)), "")</f>
        <v/>
      </c>
      <c r="O159" s="11">
        <f t="array" ref="O159">IFERROR(INDEX(Milestones!$G:$G, MATCH($B159, Milestones!$B:$B, 0)), "")</f>
        <v/>
      </c>
      <c r="P159" s="11">
        <f t="array" ref="P159">IFERROR(INDEX('Lookups - Rates'!$D:$D, MATCH($G159&amp;"|"&amp;$H159, 'Lookups - Rates'!$Z:$Z, 0)), "")</f>
        <v/>
      </c>
      <c r="Q159" s="11">
        <f t="array" ref="Q159">IFERROR(INDEX('Lookups - Rates'!$E:$E, MATCH($G159&amp;"|"&amp;$H159, 'Lookups - Rates'!$Z:$Z, 0)), "")</f>
        <v/>
      </c>
      <c r="R159" s="11">
        <f>LET(ev,$J159, ch,$L159, hr,$P159, dr,$Q159, hpday,Assumptions!$B$2, hpw,Assumptions!$B$3, w,$M159, hrs, IF($I159="Hours", ev, IF($I159="Days", ev*IF(dr&gt;0, dr/hr, hpday), IF($I159="FTE", ev*hpw*w, ch))), IF(hrs="", "", hrs*hr))</f>
        <v/>
      </c>
      <c r="S159" s="13" t="n"/>
      <c r="T159" s="11">
        <f t="array" ref="T159">XLOOKUP(Scenario_Selected, INDEX(Scenario_Table,0,1), INDEX(Scenario_Table,0,2))</f>
        <v/>
      </c>
      <c r="U159" s="11">
        <f t="array" ref="U159">XLOOKUP(Scenario_Selected, INDEX(Scenario_Table,0,1), INDEX(Scenario_Table,0,3))</f>
        <v/>
      </c>
      <c r="V159" s="11">
        <f t="array" ref="V159">XLOOKUP(Scenario_Selected, INDEX(Scenario_Table,0,1), INDEX(Scenario_Table,0,4))</f>
        <v/>
      </c>
      <c r="W159" s="11">
        <f t="array" ref="W159">LET(ev,$J159, ch,$L159, et,$I159, dr,$Q159, hpday,Assumptions!$B$2, hpw,Assumptions!$B$3, w,$M159,hm,INDIRECT("R[0]C[0]",FALSE),hrs, IF(et="Hours", ev, IF(et="Days", ev*IF(dr&gt;0, dr/$P159, hpday), IF(et="FTE", ev*hpw*w, ch))), IF(hrs="", "", hrs*hm))</f>
        <v/>
      </c>
      <c r="X159" s="11">
        <f>IF($P159="","", $P159*INDIRECT("R[0]C[-3]",FALSE))</f>
        <v/>
      </c>
      <c r="Y159" s="11">
        <f>IF(INDIRECT("R[0]C[-1]",FALSE)="","", INDIRECT("R[0]C[-2]",FALSE)*INDIRECT("R[0]C[-1]",FALSE)*(1+INDIRECT("R[0]C[-3]",FALSE)))</f>
        <v/>
      </c>
      <c r="Z159" s="13" t="n"/>
    </row>
    <row r="160" ht="15.75" customHeight="1" s="74">
      <c r="A160" s="11" t="n">
        <v>160</v>
      </c>
      <c r="C160" s="11">
        <f t="array" ref="C160">IFERROR(INDEX(Milestones!$A:$A, MATCH($B160, Milestones!$B:$B, 0)), "")</f>
        <v/>
      </c>
      <c r="D160" s="11">
        <f t="array" ref="D160">IFERROR(INDEX(Milestones!$C:$C, MATCH($B160, Milestones!$B:$B, 0)), "")</f>
        <v/>
      </c>
      <c r="F160" s="11">
        <f t="array" ref="F160">IFERROR(INDEX(Milestones!$E:$E, MATCH($B160, Milestones!$B:$B, 0)), "")</f>
        <v/>
      </c>
      <c r="I160" s="11" t="n"/>
      <c r="J160" s="20" t="n"/>
      <c r="K160" s="11" t="n"/>
      <c r="L160" s="11">
        <f t="array" ref="L160">IF($K160="","", IFERROR(IFS($K160="Low", INDEX('Lookups - Complexity'!$C:$C, MATCH($B160, 'Lookups - Complexity'!$B:$B,0)), $K160="Medium", INDEX('Lookups - Complexity'!$D:$D, MATCH($B160, 'Lookups - Complexity'!$B:$B,0)), $K160="High", INDEX('Lookups - Complexity'!$E:$E, MATCH($B160, 'Lookups - Complexity'!$B:$B,0))), ""))</f>
        <v/>
      </c>
      <c r="M160" s="11">
        <f>IF($I160="FTE", Assumptions!$B$3, "")</f>
        <v/>
      </c>
      <c r="N160" s="11">
        <f t="array" ref="N160">IFERROR(INDEX(Milestones!$F:$F, MATCH($B160, Milestones!$B:$B, 0)), "")</f>
        <v/>
      </c>
      <c r="O160" s="11">
        <f t="array" ref="O160">IFERROR(INDEX(Milestones!$G:$G, MATCH($B160, Milestones!$B:$B, 0)), "")</f>
        <v/>
      </c>
      <c r="P160" s="11">
        <f t="array" ref="P160">IFERROR(INDEX('Lookups - Rates'!$D:$D, MATCH($G160&amp;"|"&amp;$H160, 'Lookups - Rates'!$Z:$Z, 0)), "")</f>
        <v/>
      </c>
      <c r="Q160" s="11">
        <f t="array" ref="Q160">IFERROR(INDEX('Lookups - Rates'!$E:$E, MATCH($G160&amp;"|"&amp;$H160, 'Lookups - Rates'!$Z:$Z, 0)), "")</f>
        <v/>
      </c>
      <c r="R160" s="11">
        <f>LET(ev,$J160, ch,$L160, hr,$P160, dr,$Q160, hpday,Assumptions!$B$2, hpw,Assumptions!$B$3, w,$M160, hrs, IF($I160="Hours", ev, IF($I160="Days", ev*IF(dr&gt;0, dr/hr, hpday), IF($I160="FTE", ev*hpw*w, ch))), IF(hrs="", "", hrs*hr))</f>
        <v/>
      </c>
      <c r="S160" s="13" t="n"/>
      <c r="T160" s="11">
        <f t="array" ref="T160">XLOOKUP(Scenario_Selected, INDEX(Scenario_Table,0,1), INDEX(Scenario_Table,0,2))</f>
        <v/>
      </c>
      <c r="U160" s="11">
        <f t="array" ref="U160">XLOOKUP(Scenario_Selected, INDEX(Scenario_Table,0,1), INDEX(Scenario_Table,0,3))</f>
        <v/>
      </c>
      <c r="V160" s="11">
        <f t="array" ref="V160">XLOOKUP(Scenario_Selected, INDEX(Scenario_Table,0,1), INDEX(Scenario_Table,0,4))</f>
        <v/>
      </c>
      <c r="W160" s="11">
        <f t="array" ref="W160">LET(ev,$J160, ch,$L160, et,$I160, dr,$Q160, hpday,Assumptions!$B$2, hpw,Assumptions!$B$3, w,$M160,hm,INDIRECT("R[0]C[0]",FALSE),hrs, IF(et="Hours", ev, IF(et="Days", ev*IF(dr&gt;0, dr/$P160, hpday), IF(et="FTE", ev*hpw*w, ch))), IF(hrs="", "", hrs*hm))</f>
        <v/>
      </c>
      <c r="X160" s="11">
        <f>IF($P160="","", $P160*INDIRECT("R[0]C[-3]",FALSE))</f>
        <v/>
      </c>
      <c r="Y160" s="11">
        <f>IF(INDIRECT("R[0]C[-1]",FALSE)="","", INDIRECT("R[0]C[-2]",FALSE)*INDIRECT("R[0]C[-1]",FALSE)*(1+INDIRECT("R[0]C[-3]",FALSE)))</f>
        <v/>
      </c>
      <c r="Z160" s="13" t="n"/>
    </row>
    <row r="161" ht="15.75" customHeight="1" s="74">
      <c r="A161" s="11" t="n">
        <v>161</v>
      </c>
      <c r="C161" s="11">
        <f t="array" ref="C161">IFERROR(INDEX(Milestones!$A:$A, MATCH($B161, Milestones!$B:$B, 0)), "")</f>
        <v/>
      </c>
      <c r="D161" s="11">
        <f t="array" ref="D161">IFERROR(INDEX(Milestones!$C:$C, MATCH($B161, Milestones!$B:$B, 0)), "")</f>
        <v/>
      </c>
      <c r="F161" s="11">
        <f t="array" ref="F161">IFERROR(INDEX(Milestones!$E:$E, MATCH($B161, Milestones!$B:$B, 0)), "")</f>
        <v/>
      </c>
      <c r="I161" s="11" t="n"/>
      <c r="J161" s="20" t="n"/>
      <c r="K161" s="11" t="n"/>
      <c r="L161" s="11">
        <f t="array" ref="L161">IF($K161="","", IFERROR(IFS($K161="Low", INDEX('Lookups - Complexity'!$C:$C, MATCH($B161, 'Lookups - Complexity'!$B:$B,0)), $K161="Medium", INDEX('Lookups - Complexity'!$D:$D, MATCH($B161, 'Lookups - Complexity'!$B:$B,0)), $K161="High", INDEX('Lookups - Complexity'!$E:$E, MATCH($B161, 'Lookups - Complexity'!$B:$B,0))), ""))</f>
        <v/>
      </c>
      <c r="M161" s="11">
        <f>IF($I161="FTE", Assumptions!$B$3, "")</f>
        <v/>
      </c>
      <c r="N161" s="11">
        <f t="array" ref="N161">IFERROR(INDEX(Milestones!$F:$F, MATCH($B161, Milestones!$B:$B, 0)), "")</f>
        <v/>
      </c>
      <c r="O161" s="11">
        <f t="array" ref="O161">IFERROR(INDEX(Milestones!$G:$G, MATCH($B161, Milestones!$B:$B, 0)), "")</f>
        <v/>
      </c>
      <c r="P161" s="11">
        <f t="array" ref="P161">IFERROR(INDEX('Lookups - Rates'!$D:$D, MATCH($G161&amp;"|"&amp;$H161, 'Lookups - Rates'!$Z:$Z, 0)), "")</f>
        <v/>
      </c>
      <c r="Q161" s="11">
        <f t="array" ref="Q161">IFERROR(INDEX('Lookups - Rates'!$E:$E, MATCH($G161&amp;"|"&amp;$H161, 'Lookups - Rates'!$Z:$Z, 0)), "")</f>
        <v/>
      </c>
      <c r="R161" s="11">
        <f>LET(ev,$J161, ch,$L161, hr,$P161, dr,$Q161, hpday,Assumptions!$B$2, hpw,Assumptions!$B$3, w,$M161, hrs, IF($I161="Hours", ev, IF($I161="Days", ev*IF(dr&gt;0, dr/hr, hpday), IF($I161="FTE", ev*hpw*w, ch))), IF(hrs="", "", hrs*hr))</f>
        <v/>
      </c>
      <c r="S161" s="13" t="n"/>
      <c r="T161" s="11">
        <f t="array" ref="T161">XLOOKUP(Scenario_Selected, INDEX(Scenario_Table,0,1), INDEX(Scenario_Table,0,2))</f>
        <v/>
      </c>
      <c r="U161" s="11">
        <f t="array" ref="U161">XLOOKUP(Scenario_Selected, INDEX(Scenario_Table,0,1), INDEX(Scenario_Table,0,3))</f>
        <v/>
      </c>
      <c r="V161" s="11">
        <f t="array" ref="V161">XLOOKUP(Scenario_Selected, INDEX(Scenario_Table,0,1), INDEX(Scenario_Table,0,4))</f>
        <v/>
      </c>
      <c r="W161" s="11">
        <f t="array" ref="W161">LET(ev,$J161, ch,$L161, et,$I161, dr,$Q161, hpday,Assumptions!$B$2, hpw,Assumptions!$B$3, w,$M161,hm,INDIRECT("R[0]C[0]",FALSE),hrs, IF(et="Hours", ev, IF(et="Days", ev*IF(dr&gt;0, dr/$P161, hpday), IF(et="FTE", ev*hpw*w, ch))), IF(hrs="", "", hrs*hm))</f>
        <v/>
      </c>
      <c r="X161" s="11">
        <f>IF($P161="","", $P161*INDIRECT("R[0]C[-3]",FALSE))</f>
        <v/>
      </c>
      <c r="Y161" s="11">
        <f>IF(INDIRECT("R[0]C[-1]",FALSE)="","", INDIRECT("R[0]C[-2]",FALSE)*INDIRECT("R[0]C[-1]",FALSE)*(1+INDIRECT("R[0]C[-3]",FALSE)))</f>
        <v/>
      </c>
      <c r="Z161" s="13" t="n"/>
    </row>
    <row r="162" ht="15.75" customHeight="1" s="74">
      <c r="A162" s="11" t="n">
        <v>162</v>
      </c>
      <c r="C162" s="11">
        <f t="array" ref="C162">IFERROR(INDEX(Milestones!$A:$A, MATCH($B162, Milestones!$B:$B, 0)), "")</f>
        <v/>
      </c>
      <c r="D162" s="11">
        <f t="array" ref="D162">IFERROR(INDEX(Milestones!$C:$C, MATCH($B162, Milestones!$B:$B, 0)), "")</f>
        <v/>
      </c>
      <c r="F162" s="11">
        <f t="array" ref="F162">IFERROR(INDEX(Milestones!$E:$E, MATCH($B162, Milestones!$B:$B, 0)), "")</f>
        <v/>
      </c>
      <c r="I162" s="11" t="n"/>
      <c r="J162" s="20" t="n"/>
      <c r="K162" s="11" t="n"/>
      <c r="L162" s="11">
        <f t="array" ref="L162">IF($K162="","", IFERROR(IFS($K162="Low", INDEX('Lookups - Complexity'!$C:$C, MATCH($B162, 'Lookups - Complexity'!$B:$B,0)), $K162="Medium", INDEX('Lookups - Complexity'!$D:$D, MATCH($B162, 'Lookups - Complexity'!$B:$B,0)), $K162="High", INDEX('Lookups - Complexity'!$E:$E, MATCH($B162, 'Lookups - Complexity'!$B:$B,0))), ""))</f>
        <v/>
      </c>
      <c r="M162" s="11">
        <f>IF($I162="FTE", Assumptions!$B$3, "")</f>
        <v/>
      </c>
      <c r="N162" s="11">
        <f t="array" ref="N162">IFERROR(INDEX(Milestones!$F:$F, MATCH($B162, Milestones!$B:$B, 0)), "")</f>
        <v/>
      </c>
      <c r="O162" s="11">
        <f t="array" ref="O162">IFERROR(INDEX(Milestones!$G:$G, MATCH($B162, Milestones!$B:$B, 0)), "")</f>
        <v/>
      </c>
      <c r="P162" s="11">
        <f t="array" ref="P162">IFERROR(INDEX('Lookups - Rates'!$D:$D, MATCH($G162&amp;"|"&amp;$H162, 'Lookups - Rates'!$Z:$Z, 0)), "")</f>
        <v/>
      </c>
      <c r="Q162" s="11">
        <f t="array" ref="Q162">IFERROR(INDEX('Lookups - Rates'!$E:$E, MATCH($G162&amp;"|"&amp;$H162, 'Lookups - Rates'!$Z:$Z, 0)), "")</f>
        <v/>
      </c>
      <c r="R162" s="11">
        <f>LET(ev,$J162, ch,$L162, hr,$P162, dr,$Q162, hpday,Assumptions!$B$2, hpw,Assumptions!$B$3, w,$M162, hrs, IF($I162="Hours", ev, IF($I162="Days", ev*IF(dr&gt;0, dr/hr, hpday), IF($I162="FTE", ev*hpw*w, ch))), IF(hrs="", "", hrs*hr))</f>
        <v/>
      </c>
      <c r="S162" s="13" t="n"/>
      <c r="T162" s="11">
        <f t="array" ref="T162">XLOOKUP(Scenario_Selected, INDEX(Scenario_Table,0,1), INDEX(Scenario_Table,0,2))</f>
        <v/>
      </c>
      <c r="U162" s="11">
        <f t="array" ref="U162">XLOOKUP(Scenario_Selected, INDEX(Scenario_Table,0,1), INDEX(Scenario_Table,0,3))</f>
        <v/>
      </c>
      <c r="V162" s="11">
        <f t="array" ref="V162">XLOOKUP(Scenario_Selected, INDEX(Scenario_Table,0,1), INDEX(Scenario_Table,0,4))</f>
        <v/>
      </c>
      <c r="W162" s="11">
        <f t="array" ref="W162">LET(ev,$J162, ch,$L162, et,$I162, dr,$Q162, hpday,Assumptions!$B$2, hpw,Assumptions!$B$3, w,$M162,hm,INDIRECT("R[0]C[0]",FALSE),hrs, IF(et="Hours", ev, IF(et="Days", ev*IF(dr&gt;0, dr/$P162, hpday), IF(et="FTE", ev*hpw*w, ch))), IF(hrs="", "", hrs*hm))</f>
        <v/>
      </c>
      <c r="X162" s="11">
        <f>IF($P162="","", $P162*INDIRECT("R[0]C[-3]",FALSE))</f>
        <v/>
      </c>
      <c r="Y162" s="11">
        <f>IF(INDIRECT("R[0]C[-1]",FALSE)="","", INDIRECT("R[0]C[-2]",FALSE)*INDIRECT("R[0]C[-1]",FALSE)*(1+INDIRECT("R[0]C[-3]",FALSE)))</f>
        <v/>
      </c>
      <c r="Z162" s="13" t="n"/>
    </row>
    <row r="163" ht="15.75" customHeight="1" s="74">
      <c r="A163" s="11" t="n">
        <v>163</v>
      </c>
      <c r="C163" s="11">
        <f t="array" ref="C163">IFERROR(INDEX(Milestones!$A:$A, MATCH($B163, Milestones!$B:$B, 0)), "")</f>
        <v/>
      </c>
      <c r="D163" s="11">
        <f t="array" ref="D163">IFERROR(INDEX(Milestones!$C:$C, MATCH($B163, Milestones!$B:$B, 0)), "")</f>
        <v/>
      </c>
      <c r="F163" s="11">
        <f t="array" ref="F163">IFERROR(INDEX(Milestones!$E:$E, MATCH($B163, Milestones!$B:$B, 0)), "")</f>
        <v/>
      </c>
      <c r="I163" s="11" t="n"/>
      <c r="J163" s="20" t="n"/>
      <c r="K163" s="11" t="n"/>
      <c r="L163" s="11">
        <f t="array" ref="L163">IF($K163="","", IFERROR(IFS($K163="Low", INDEX('Lookups - Complexity'!$C:$C, MATCH($B163, 'Lookups - Complexity'!$B:$B,0)), $K163="Medium", INDEX('Lookups - Complexity'!$D:$D, MATCH($B163, 'Lookups - Complexity'!$B:$B,0)), $K163="High", INDEX('Lookups - Complexity'!$E:$E, MATCH($B163, 'Lookups - Complexity'!$B:$B,0))), ""))</f>
        <v/>
      </c>
      <c r="M163" s="11">
        <f>IF($I163="FTE", Assumptions!$B$3, "")</f>
        <v/>
      </c>
      <c r="N163" s="11">
        <f t="array" ref="N163">IFERROR(INDEX(Milestones!$F:$F, MATCH($B163, Milestones!$B:$B, 0)), "")</f>
        <v/>
      </c>
      <c r="O163" s="11">
        <f t="array" ref="O163">IFERROR(INDEX(Milestones!$G:$G, MATCH($B163, Milestones!$B:$B, 0)), "")</f>
        <v/>
      </c>
      <c r="P163" s="11">
        <f t="array" ref="P163">IFERROR(INDEX('Lookups - Rates'!$D:$D, MATCH($G163&amp;"|"&amp;$H163, 'Lookups - Rates'!$Z:$Z, 0)), "")</f>
        <v/>
      </c>
      <c r="Q163" s="11">
        <f t="array" ref="Q163">IFERROR(INDEX('Lookups - Rates'!$E:$E, MATCH($G163&amp;"|"&amp;$H163, 'Lookups - Rates'!$Z:$Z, 0)), "")</f>
        <v/>
      </c>
      <c r="R163" s="11">
        <f>LET(ev,$J163, ch,$L163, hr,$P163, dr,$Q163, hpday,Assumptions!$B$2, hpw,Assumptions!$B$3, w,$M163, hrs, IF($I163="Hours", ev, IF($I163="Days", ev*IF(dr&gt;0, dr/hr, hpday), IF($I163="FTE", ev*hpw*w, ch))), IF(hrs="", "", hrs*hr))</f>
        <v/>
      </c>
      <c r="S163" s="13" t="n"/>
      <c r="T163" s="11">
        <f t="array" ref="T163">XLOOKUP(Scenario_Selected, INDEX(Scenario_Table,0,1), INDEX(Scenario_Table,0,2))</f>
        <v/>
      </c>
      <c r="U163" s="11">
        <f t="array" ref="U163">XLOOKUP(Scenario_Selected, INDEX(Scenario_Table,0,1), INDEX(Scenario_Table,0,3))</f>
        <v/>
      </c>
      <c r="V163" s="11">
        <f t="array" ref="V163">XLOOKUP(Scenario_Selected, INDEX(Scenario_Table,0,1), INDEX(Scenario_Table,0,4))</f>
        <v/>
      </c>
      <c r="W163" s="11">
        <f t="array" ref="W163">LET(ev,$J163, ch,$L163, et,$I163, dr,$Q163, hpday,Assumptions!$B$2, hpw,Assumptions!$B$3, w,$M163,hm,INDIRECT("R[0]C[0]",FALSE),hrs, IF(et="Hours", ev, IF(et="Days", ev*IF(dr&gt;0, dr/$P163, hpday), IF(et="FTE", ev*hpw*w, ch))), IF(hrs="", "", hrs*hm))</f>
        <v/>
      </c>
      <c r="X163" s="11">
        <f>IF($P163="","", $P163*INDIRECT("R[0]C[-3]",FALSE))</f>
        <v/>
      </c>
      <c r="Y163" s="11">
        <f>IF(INDIRECT("R[0]C[-1]",FALSE)="","", INDIRECT("R[0]C[-2]",FALSE)*INDIRECT("R[0]C[-1]",FALSE)*(1+INDIRECT("R[0]C[-3]",FALSE)))</f>
        <v/>
      </c>
      <c r="Z163" s="13" t="n"/>
    </row>
    <row r="164" ht="15.75" customHeight="1" s="74">
      <c r="A164" s="11" t="n">
        <v>164</v>
      </c>
      <c r="C164" s="11">
        <f t="array" ref="C164">IFERROR(INDEX(Milestones!$A:$A, MATCH($B164, Milestones!$B:$B, 0)), "")</f>
        <v/>
      </c>
      <c r="D164" s="11">
        <f t="array" ref="D164">IFERROR(INDEX(Milestones!$C:$C, MATCH($B164, Milestones!$B:$B, 0)), "")</f>
        <v/>
      </c>
      <c r="F164" s="11">
        <f t="array" ref="F164">IFERROR(INDEX(Milestones!$E:$E, MATCH($B164, Milestones!$B:$B, 0)), "")</f>
        <v/>
      </c>
      <c r="I164" s="11" t="n"/>
      <c r="J164" s="20" t="n"/>
      <c r="K164" s="11" t="n"/>
      <c r="L164" s="11">
        <f t="array" ref="L164">IF($K164="","", IFERROR(IFS($K164="Low", INDEX('Lookups - Complexity'!$C:$C, MATCH($B164, 'Lookups - Complexity'!$B:$B,0)), $K164="Medium", INDEX('Lookups - Complexity'!$D:$D, MATCH($B164, 'Lookups - Complexity'!$B:$B,0)), $K164="High", INDEX('Lookups - Complexity'!$E:$E, MATCH($B164, 'Lookups - Complexity'!$B:$B,0))), ""))</f>
        <v/>
      </c>
      <c r="M164" s="11">
        <f>IF($I164="FTE", Assumptions!$B$3, "")</f>
        <v/>
      </c>
      <c r="N164" s="11">
        <f t="array" ref="N164">IFERROR(INDEX(Milestones!$F:$F, MATCH($B164, Milestones!$B:$B, 0)), "")</f>
        <v/>
      </c>
      <c r="O164" s="11">
        <f t="array" ref="O164">IFERROR(INDEX(Milestones!$G:$G, MATCH($B164, Milestones!$B:$B, 0)), "")</f>
        <v/>
      </c>
      <c r="P164" s="11">
        <f t="array" ref="P164">IFERROR(INDEX('Lookups - Rates'!$D:$D, MATCH($G164&amp;"|"&amp;$H164, 'Lookups - Rates'!$Z:$Z, 0)), "")</f>
        <v/>
      </c>
      <c r="Q164" s="11">
        <f t="array" ref="Q164">IFERROR(INDEX('Lookups - Rates'!$E:$E, MATCH($G164&amp;"|"&amp;$H164, 'Lookups - Rates'!$Z:$Z, 0)), "")</f>
        <v/>
      </c>
      <c r="R164" s="11">
        <f>LET(ev,$J164, ch,$L164, hr,$P164, dr,$Q164, hpday,Assumptions!$B$2, hpw,Assumptions!$B$3, w,$M164, hrs, IF($I164="Hours", ev, IF($I164="Days", ev*IF(dr&gt;0, dr/hr, hpday), IF($I164="FTE", ev*hpw*w, ch))), IF(hrs="", "", hrs*hr))</f>
        <v/>
      </c>
      <c r="S164" s="13" t="n"/>
      <c r="T164" s="11">
        <f t="array" ref="T164">XLOOKUP(Scenario_Selected, INDEX(Scenario_Table,0,1), INDEX(Scenario_Table,0,2))</f>
        <v/>
      </c>
      <c r="U164" s="11">
        <f t="array" ref="U164">XLOOKUP(Scenario_Selected, INDEX(Scenario_Table,0,1), INDEX(Scenario_Table,0,3))</f>
        <v/>
      </c>
      <c r="V164" s="11">
        <f t="array" ref="V164">XLOOKUP(Scenario_Selected, INDEX(Scenario_Table,0,1), INDEX(Scenario_Table,0,4))</f>
        <v/>
      </c>
      <c r="W164" s="11">
        <f t="array" ref="W164">LET(ev,$J164, ch,$L164, et,$I164, dr,$Q164, hpday,Assumptions!$B$2, hpw,Assumptions!$B$3, w,$M164,hm,INDIRECT("R[0]C[0]",FALSE),hrs, IF(et="Hours", ev, IF(et="Days", ev*IF(dr&gt;0, dr/$P164, hpday), IF(et="FTE", ev*hpw*w, ch))), IF(hrs="", "", hrs*hm))</f>
        <v/>
      </c>
      <c r="X164" s="11">
        <f>IF($P164="","", $P164*INDIRECT("R[0]C[-3]",FALSE))</f>
        <v/>
      </c>
      <c r="Y164" s="11">
        <f>IF(INDIRECT("R[0]C[-1]",FALSE)="","", INDIRECT("R[0]C[-2]",FALSE)*INDIRECT("R[0]C[-1]",FALSE)*(1+INDIRECT("R[0]C[-3]",FALSE)))</f>
        <v/>
      </c>
      <c r="Z164" s="13" t="n"/>
    </row>
    <row r="165" ht="15.75" customHeight="1" s="74">
      <c r="A165" s="11" t="n">
        <v>165</v>
      </c>
      <c r="C165" s="11">
        <f t="array" ref="C165">IFERROR(INDEX(Milestones!$A:$A, MATCH($B165, Milestones!$B:$B, 0)), "")</f>
        <v/>
      </c>
      <c r="D165" s="11">
        <f t="array" ref="D165">IFERROR(INDEX(Milestones!$C:$C, MATCH($B165, Milestones!$B:$B, 0)), "")</f>
        <v/>
      </c>
      <c r="F165" s="11">
        <f t="array" ref="F165">IFERROR(INDEX(Milestones!$E:$E, MATCH($B165, Milestones!$B:$B, 0)), "")</f>
        <v/>
      </c>
      <c r="I165" s="11" t="n"/>
      <c r="J165" s="20" t="n"/>
      <c r="K165" s="11" t="n"/>
      <c r="L165" s="11">
        <f t="array" ref="L165">IF($K165="","", IFERROR(IFS($K165="Low", INDEX('Lookups - Complexity'!$C:$C, MATCH($B165, 'Lookups - Complexity'!$B:$B,0)), $K165="Medium", INDEX('Lookups - Complexity'!$D:$D, MATCH($B165, 'Lookups - Complexity'!$B:$B,0)), $K165="High", INDEX('Lookups - Complexity'!$E:$E, MATCH($B165, 'Lookups - Complexity'!$B:$B,0))), ""))</f>
        <v/>
      </c>
      <c r="M165" s="11">
        <f>IF($I165="FTE", Assumptions!$B$3, "")</f>
        <v/>
      </c>
      <c r="N165" s="11">
        <f t="array" ref="N165">IFERROR(INDEX(Milestones!$F:$F, MATCH($B165, Milestones!$B:$B, 0)), "")</f>
        <v/>
      </c>
      <c r="O165" s="11">
        <f t="array" ref="O165">IFERROR(INDEX(Milestones!$G:$G, MATCH($B165, Milestones!$B:$B, 0)), "")</f>
        <v/>
      </c>
      <c r="P165" s="11">
        <f t="array" ref="P165">IFERROR(INDEX('Lookups - Rates'!$D:$D, MATCH($G165&amp;"|"&amp;$H165, 'Lookups - Rates'!$Z:$Z, 0)), "")</f>
        <v/>
      </c>
      <c r="Q165" s="11">
        <f t="array" ref="Q165">IFERROR(INDEX('Lookups - Rates'!$E:$E, MATCH($G165&amp;"|"&amp;$H165, 'Lookups - Rates'!$Z:$Z, 0)), "")</f>
        <v/>
      </c>
      <c r="R165" s="11">
        <f>LET(ev,$J165, ch,$L165, hr,$P165, dr,$Q165, hpday,Assumptions!$B$2, hpw,Assumptions!$B$3, w,$M165, hrs, IF($I165="Hours", ev, IF($I165="Days", ev*IF(dr&gt;0, dr/hr, hpday), IF($I165="FTE", ev*hpw*w, ch))), IF(hrs="", "", hrs*hr))</f>
        <v/>
      </c>
      <c r="S165" s="13" t="n"/>
      <c r="T165" s="11">
        <f t="array" ref="T165">XLOOKUP(Scenario_Selected, INDEX(Scenario_Table,0,1), INDEX(Scenario_Table,0,2))</f>
        <v/>
      </c>
      <c r="U165" s="11">
        <f t="array" ref="U165">XLOOKUP(Scenario_Selected, INDEX(Scenario_Table,0,1), INDEX(Scenario_Table,0,3))</f>
        <v/>
      </c>
      <c r="V165" s="11">
        <f t="array" ref="V165">XLOOKUP(Scenario_Selected, INDEX(Scenario_Table,0,1), INDEX(Scenario_Table,0,4))</f>
        <v/>
      </c>
      <c r="W165" s="11">
        <f t="array" ref="W165">LET(ev,$J165, ch,$L165, et,$I165, dr,$Q165, hpday,Assumptions!$B$2, hpw,Assumptions!$B$3, w,$M165,hm,INDIRECT("R[0]C[0]",FALSE),hrs, IF(et="Hours", ev, IF(et="Days", ev*IF(dr&gt;0, dr/$P165, hpday), IF(et="FTE", ev*hpw*w, ch))), IF(hrs="", "", hrs*hm))</f>
        <v/>
      </c>
      <c r="X165" s="11">
        <f>IF($P165="","", $P165*INDIRECT("R[0]C[-3]",FALSE))</f>
        <v/>
      </c>
      <c r="Y165" s="11">
        <f>IF(INDIRECT("R[0]C[-1]",FALSE)="","", INDIRECT("R[0]C[-2]",FALSE)*INDIRECT("R[0]C[-1]",FALSE)*(1+INDIRECT("R[0]C[-3]",FALSE)))</f>
        <v/>
      </c>
      <c r="Z165" s="13" t="n"/>
    </row>
    <row r="166" ht="15.75" customHeight="1" s="74">
      <c r="A166" s="11" t="n">
        <v>166</v>
      </c>
      <c r="C166" s="11">
        <f t="array" ref="C166">IFERROR(INDEX(Milestones!$A:$A, MATCH($B166, Milestones!$B:$B, 0)), "")</f>
        <v/>
      </c>
      <c r="D166" s="11">
        <f t="array" ref="D166">IFERROR(INDEX(Milestones!$C:$C, MATCH($B166, Milestones!$B:$B, 0)), "")</f>
        <v/>
      </c>
      <c r="F166" s="11">
        <f t="array" ref="F166">IFERROR(INDEX(Milestones!$E:$E, MATCH($B166, Milestones!$B:$B, 0)), "")</f>
        <v/>
      </c>
      <c r="I166" s="11" t="n"/>
      <c r="J166" s="20" t="n"/>
      <c r="K166" s="11" t="n"/>
      <c r="L166" s="11">
        <f t="array" ref="L166">IF($K166="","", IFERROR(IFS($K166="Low", INDEX('Lookups - Complexity'!$C:$C, MATCH($B166, 'Lookups - Complexity'!$B:$B,0)), $K166="Medium", INDEX('Lookups - Complexity'!$D:$D, MATCH($B166, 'Lookups - Complexity'!$B:$B,0)), $K166="High", INDEX('Lookups - Complexity'!$E:$E, MATCH($B166, 'Lookups - Complexity'!$B:$B,0))), ""))</f>
        <v/>
      </c>
      <c r="M166" s="11">
        <f>IF($I166="FTE", Assumptions!$B$3, "")</f>
        <v/>
      </c>
      <c r="N166" s="11">
        <f t="array" ref="N166">IFERROR(INDEX(Milestones!$F:$F, MATCH($B166, Milestones!$B:$B, 0)), "")</f>
        <v/>
      </c>
      <c r="O166" s="11">
        <f t="array" ref="O166">IFERROR(INDEX(Milestones!$G:$G, MATCH($B166, Milestones!$B:$B, 0)), "")</f>
        <v/>
      </c>
      <c r="P166" s="11">
        <f t="array" ref="P166">IFERROR(INDEX('Lookups - Rates'!$D:$D, MATCH($G166&amp;"|"&amp;$H166, 'Lookups - Rates'!$Z:$Z, 0)), "")</f>
        <v/>
      </c>
      <c r="Q166" s="11">
        <f t="array" ref="Q166">IFERROR(INDEX('Lookups - Rates'!$E:$E, MATCH($G166&amp;"|"&amp;$H166, 'Lookups - Rates'!$Z:$Z, 0)), "")</f>
        <v/>
      </c>
      <c r="R166" s="11">
        <f>LET(ev,$J166, ch,$L166, hr,$P166, dr,$Q166, hpday,Assumptions!$B$2, hpw,Assumptions!$B$3, w,$M166, hrs, IF($I166="Hours", ev, IF($I166="Days", ev*IF(dr&gt;0, dr/hr, hpday), IF($I166="FTE", ev*hpw*w, ch))), IF(hrs="", "", hrs*hr))</f>
        <v/>
      </c>
      <c r="S166" s="13" t="n"/>
      <c r="T166" s="11">
        <f t="array" ref="T166">XLOOKUP(Scenario_Selected, INDEX(Scenario_Table,0,1), INDEX(Scenario_Table,0,2))</f>
        <v/>
      </c>
      <c r="U166" s="11">
        <f t="array" ref="U166">XLOOKUP(Scenario_Selected, INDEX(Scenario_Table,0,1), INDEX(Scenario_Table,0,3))</f>
        <v/>
      </c>
      <c r="V166" s="11">
        <f t="array" ref="V166">XLOOKUP(Scenario_Selected, INDEX(Scenario_Table,0,1), INDEX(Scenario_Table,0,4))</f>
        <v/>
      </c>
      <c r="W166" s="11">
        <f t="array" ref="W166">LET(ev,$J166, ch,$L166, et,$I166, dr,$Q166, hpday,Assumptions!$B$2, hpw,Assumptions!$B$3, w,$M166,hm,INDIRECT("R[0]C[0]",FALSE),hrs, IF(et="Hours", ev, IF(et="Days", ev*IF(dr&gt;0, dr/$P166, hpday), IF(et="FTE", ev*hpw*w, ch))), IF(hrs="", "", hrs*hm))</f>
        <v/>
      </c>
      <c r="X166" s="11">
        <f>IF($P166="","", $P166*INDIRECT("R[0]C[-3]",FALSE))</f>
        <v/>
      </c>
      <c r="Y166" s="11">
        <f>IF(INDIRECT("R[0]C[-1]",FALSE)="","", INDIRECT("R[0]C[-2]",FALSE)*INDIRECT("R[0]C[-1]",FALSE)*(1+INDIRECT("R[0]C[-3]",FALSE)))</f>
        <v/>
      </c>
      <c r="Z166" s="13" t="n"/>
    </row>
    <row r="167" ht="15.75" customHeight="1" s="74">
      <c r="A167" s="11" t="n">
        <v>167</v>
      </c>
      <c r="C167" s="11">
        <f t="array" ref="C167">IFERROR(INDEX(Milestones!$A:$A, MATCH($B167, Milestones!$B:$B, 0)), "")</f>
        <v/>
      </c>
      <c r="D167" s="11">
        <f t="array" ref="D167">IFERROR(INDEX(Milestones!$C:$C, MATCH($B167, Milestones!$B:$B, 0)), "")</f>
        <v/>
      </c>
      <c r="F167" s="11">
        <f t="array" ref="F167">IFERROR(INDEX(Milestones!$E:$E, MATCH($B167, Milestones!$B:$B, 0)), "")</f>
        <v/>
      </c>
      <c r="I167" s="11" t="n"/>
      <c r="J167" s="20" t="n"/>
      <c r="K167" s="11" t="n"/>
      <c r="L167" s="11">
        <f t="array" ref="L167">IF($K167="","", IFERROR(IFS($K167="Low", INDEX('Lookups - Complexity'!$C:$C, MATCH($B167, 'Lookups - Complexity'!$B:$B,0)), $K167="Medium", INDEX('Lookups - Complexity'!$D:$D, MATCH($B167, 'Lookups - Complexity'!$B:$B,0)), $K167="High", INDEX('Lookups - Complexity'!$E:$E, MATCH($B167, 'Lookups - Complexity'!$B:$B,0))), ""))</f>
        <v/>
      </c>
      <c r="M167" s="11">
        <f>IF($I167="FTE", Assumptions!$B$3, "")</f>
        <v/>
      </c>
      <c r="N167" s="11">
        <f t="array" ref="N167">IFERROR(INDEX(Milestones!$F:$F, MATCH($B167, Milestones!$B:$B, 0)), "")</f>
        <v/>
      </c>
      <c r="O167" s="11">
        <f t="array" ref="O167">IFERROR(INDEX(Milestones!$G:$G, MATCH($B167, Milestones!$B:$B, 0)), "")</f>
        <v/>
      </c>
      <c r="P167" s="11">
        <f t="array" ref="P167">IFERROR(INDEX('Lookups - Rates'!$D:$D, MATCH($G167&amp;"|"&amp;$H167, 'Lookups - Rates'!$Z:$Z, 0)), "")</f>
        <v/>
      </c>
      <c r="Q167" s="11">
        <f t="array" ref="Q167">IFERROR(INDEX('Lookups - Rates'!$E:$E, MATCH($G167&amp;"|"&amp;$H167, 'Lookups - Rates'!$Z:$Z, 0)), "")</f>
        <v/>
      </c>
      <c r="R167" s="11">
        <f>LET(ev,$J167, ch,$L167, hr,$P167, dr,$Q167, hpday,Assumptions!$B$2, hpw,Assumptions!$B$3, w,$M167, hrs, IF($I167="Hours", ev, IF($I167="Days", ev*IF(dr&gt;0, dr/hr, hpday), IF($I167="FTE", ev*hpw*w, ch))), IF(hrs="", "", hrs*hr))</f>
        <v/>
      </c>
      <c r="S167" s="13" t="n"/>
      <c r="T167" s="11">
        <f t="array" ref="T167">XLOOKUP(Scenario_Selected, INDEX(Scenario_Table,0,1), INDEX(Scenario_Table,0,2))</f>
        <v/>
      </c>
      <c r="U167" s="11">
        <f t="array" ref="U167">XLOOKUP(Scenario_Selected, INDEX(Scenario_Table,0,1), INDEX(Scenario_Table,0,3))</f>
        <v/>
      </c>
      <c r="V167" s="11">
        <f t="array" ref="V167">XLOOKUP(Scenario_Selected, INDEX(Scenario_Table,0,1), INDEX(Scenario_Table,0,4))</f>
        <v/>
      </c>
      <c r="W167" s="11">
        <f t="array" ref="W167">LET(ev,$J167, ch,$L167, et,$I167, dr,$Q167, hpday,Assumptions!$B$2, hpw,Assumptions!$B$3, w,$M167,hm,INDIRECT("R[0]C[0]",FALSE),hrs, IF(et="Hours", ev, IF(et="Days", ev*IF(dr&gt;0, dr/$P167, hpday), IF(et="FTE", ev*hpw*w, ch))), IF(hrs="", "", hrs*hm))</f>
        <v/>
      </c>
      <c r="X167" s="11">
        <f>IF($P167="","", $P167*INDIRECT("R[0]C[-3]",FALSE))</f>
        <v/>
      </c>
      <c r="Y167" s="11">
        <f>IF(INDIRECT("R[0]C[-1]",FALSE)="","", INDIRECT("R[0]C[-2]",FALSE)*INDIRECT("R[0]C[-1]",FALSE)*(1+INDIRECT("R[0]C[-3]",FALSE)))</f>
        <v/>
      </c>
      <c r="Z167" s="13" t="n"/>
    </row>
    <row r="168" ht="15.75" customHeight="1" s="74">
      <c r="A168" s="11" t="n">
        <v>168</v>
      </c>
      <c r="C168" s="11">
        <f t="array" ref="C168">IFERROR(INDEX(Milestones!$A:$A, MATCH($B168, Milestones!$B:$B, 0)), "")</f>
        <v/>
      </c>
      <c r="D168" s="11">
        <f t="array" ref="D168">IFERROR(INDEX(Milestones!$C:$C, MATCH($B168, Milestones!$B:$B, 0)), "")</f>
        <v/>
      </c>
      <c r="F168" s="11">
        <f t="array" ref="F168">IFERROR(INDEX(Milestones!$E:$E, MATCH($B168, Milestones!$B:$B, 0)), "")</f>
        <v/>
      </c>
      <c r="I168" s="11" t="n"/>
      <c r="J168" s="20" t="n"/>
      <c r="K168" s="11" t="n"/>
      <c r="L168" s="11">
        <f t="array" ref="L168">IF($K168="","", IFERROR(IFS($K168="Low", INDEX('Lookups - Complexity'!$C:$C, MATCH($B168, 'Lookups - Complexity'!$B:$B,0)), $K168="Medium", INDEX('Lookups - Complexity'!$D:$D, MATCH($B168, 'Lookups - Complexity'!$B:$B,0)), $K168="High", INDEX('Lookups - Complexity'!$E:$E, MATCH($B168, 'Lookups - Complexity'!$B:$B,0))), ""))</f>
        <v/>
      </c>
      <c r="M168" s="11">
        <f>IF($I168="FTE", Assumptions!$B$3, "")</f>
        <v/>
      </c>
      <c r="N168" s="11">
        <f t="array" ref="N168">IFERROR(INDEX(Milestones!$F:$F, MATCH($B168, Milestones!$B:$B, 0)), "")</f>
        <v/>
      </c>
      <c r="O168" s="11">
        <f t="array" ref="O168">IFERROR(INDEX(Milestones!$G:$G, MATCH($B168, Milestones!$B:$B, 0)), "")</f>
        <v/>
      </c>
      <c r="P168" s="11">
        <f t="array" ref="P168">IFERROR(INDEX('Lookups - Rates'!$D:$D, MATCH($G168&amp;"|"&amp;$H168, 'Lookups - Rates'!$Z:$Z, 0)), "")</f>
        <v/>
      </c>
      <c r="Q168" s="11">
        <f t="array" ref="Q168">IFERROR(INDEX('Lookups - Rates'!$E:$E, MATCH($G168&amp;"|"&amp;$H168, 'Lookups - Rates'!$Z:$Z, 0)), "")</f>
        <v/>
      </c>
      <c r="R168" s="11">
        <f>LET(ev,$J168, ch,$L168, hr,$P168, dr,$Q168, hpday,Assumptions!$B$2, hpw,Assumptions!$B$3, w,$M168, hrs, IF($I168="Hours", ev, IF($I168="Days", ev*IF(dr&gt;0, dr/hr, hpday), IF($I168="FTE", ev*hpw*w, ch))), IF(hrs="", "", hrs*hr))</f>
        <v/>
      </c>
      <c r="S168" s="13" t="n"/>
      <c r="T168" s="11">
        <f t="array" ref="T168">XLOOKUP(Scenario_Selected, INDEX(Scenario_Table,0,1), INDEX(Scenario_Table,0,2))</f>
        <v/>
      </c>
      <c r="U168" s="11">
        <f t="array" ref="U168">XLOOKUP(Scenario_Selected, INDEX(Scenario_Table,0,1), INDEX(Scenario_Table,0,3))</f>
        <v/>
      </c>
      <c r="V168" s="11">
        <f t="array" ref="V168">XLOOKUP(Scenario_Selected, INDEX(Scenario_Table,0,1), INDEX(Scenario_Table,0,4))</f>
        <v/>
      </c>
      <c r="W168" s="11">
        <f t="array" ref="W168">LET(ev,$J168, ch,$L168, et,$I168, dr,$Q168, hpday,Assumptions!$B$2, hpw,Assumptions!$B$3, w,$M168,hm,INDIRECT("R[0]C[0]",FALSE),hrs, IF(et="Hours", ev, IF(et="Days", ev*IF(dr&gt;0, dr/$P168, hpday), IF(et="FTE", ev*hpw*w, ch))), IF(hrs="", "", hrs*hm))</f>
        <v/>
      </c>
      <c r="X168" s="11">
        <f>IF($P168="","", $P168*INDIRECT("R[0]C[-3]",FALSE))</f>
        <v/>
      </c>
      <c r="Y168" s="11">
        <f>IF(INDIRECT("R[0]C[-1]",FALSE)="","", INDIRECT("R[0]C[-2]",FALSE)*INDIRECT("R[0]C[-1]",FALSE)*(1+INDIRECT("R[0]C[-3]",FALSE)))</f>
        <v/>
      </c>
      <c r="Z168" s="13" t="n"/>
    </row>
    <row r="169" ht="15.75" customHeight="1" s="74">
      <c r="A169" s="11" t="n">
        <v>169</v>
      </c>
      <c r="C169" s="11">
        <f t="array" ref="C169">IFERROR(INDEX(Milestones!$A:$A, MATCH($B169, Milestones!$B:$B, 0)), "")</f>
        <v/>
      </c>
      <c r="D169" s="11">
        <f t="array" ref="D169">IFERROR(INDEX(Milestones!$C:$C, MATCH($B169, Milestones!$B:$B, 0)), "")</f>
        <v/>
      </c>
      <c r="F169" s="11">
        <f t="array" ref="F169">IFERROR(INDEX(Milestones!$E:$E, MATCH($B169, Milestones!$B:$B, 0)), "")</f>
        <v/>
      </c>
      <c r="I169" s="11" t="n"/>
      <c r="J169" s="20" t="n"/>
      <c r="K169" s="11" t="n"/>
      <c r="L169" s="11">
        <f t="array" ref="L169">IF($K169="","", IFERROR(IFS($K169="Low", INDEX('Lookups - Complexity'!$C:$C, MATCH($B169, 'Lookups - Complexity'!$B:$B,0)), $K169="Medium", INDEX('Lookups - Complexity'!$D:$D, MATCH($B169, 'Lookups - Complexity'!$B:$B,0)), $K169="High", INDEX('Lookups - Complexity'!$E:$E, MATCH($B169, 'Lookups - Complexity'!$B:$B,0))), ""))</f>
        <v/>
      </c>
      <c r="M169" s="11">
        <f>IF($I169="FTE", Assumptions!$B$3, "")</f>
        <v/>
      </c>
      <c r="N169" s="11">
        <f t="array" ref="N169">IFERROR(INDEX(Milestones!$F:$F, MATCH($B169, Milestones!$B:$B, 0)), "")</f>
        <v/>
      </c>
      <c r="O169" s="11">
        <f t="array" ref="O169">IFERROR(INDEX(Milestones!$G:$G, MATCH($B169, Milestones!$B:$B, 0)), "")</f>
        <v/>
      </c>
      <c r="P169" s="11">
        <f t="array" ref="P169">IFERROR(INDEX('Lookups - Rates'!$D:$D, MATCH($G169&amp;"|"&amp;$H169, 'Lookups - Rates'!$Z:$Z, 0)), "")</f>
        <v/>
      </c>
      <c r="Q169" s="11">
        <f t="array" ref="Q169">IFERROR(INDEX('Lookups - Rates'!$E:$E, MATCH($G169&amp;"|"&amp;$H169, 'Lookups - Rates'!$Z:$Z, 0)), "")</f>
        <v/>
      </c>
      <c r="R169" s="11">
        <f>LET(ev,$J169, ch,$L169, hr,$P169, dr,$Q169, hpday,Assumptions!$B$2, hpw,Assumptions!$B$3, w,$M169, hrs, IF($I169="Hours", ev, IF($I169="Days", ev*IF(dr&gt;0, dr/hr, hpday), IF($I169="FTE", ev*hpw*w, ch))), IF(hrs="", "", hrs*hr))</f>
        <v/>
      </c>
      <c r="S169" s="13" t="n"/>
      <c r="T169" s="11">
        <f t="array" ref="T169">XLOOKUP(Scenario_Selected, INDEX(Scenario_Table,0,1), INDEX(Scenario_Table,0,2))</f>
        <v/>
      </c>
      <c r="U169" s="11">
        <f t="array" ref="U169">XLOOKUP(Scenario_Selected, INDEX(Scenario_Table,0,1), INDEX(Scenario_Table,0,3))</f>
        <v/>
      </c>
      <c r="V169" s="11">
        <f t="array" ref="V169">XLOOKUP(Scenario_Selected, INDEX(Scenario_Table,0,1), INDEX(Scenario_Table,0,4))</f>
        <v/>
      </c>
      <c r="W169" s="11">
        <f t="array" ref="W169">LET(ev,$J169, ch,$L169, et,$I169, dr,$Q169, hpday,Assumptions!$B$2, hpw,Assumptions!$B$3, w,$M169,hm,INDIRECT("R[0]C[0]",FALSE),hrs, IF(et="Hours", ev, IF(et="Days", ev*IF(dr&gt;0, dr/$P169, hpday), IF(et="FTE", ev*hpw*w, ch))), IF(hrs="", "", hrs*hm))</f>
        <v/>
      </c>
      <c r="X169" s="11">
        <f>IF($P169="","", $P169*INDIRECT("R[0]C[-3]",FALSE))</f>
        <v/>
      </c>
      <c r="Y169" s="11">
        <f>IF(INDIRECT("R[0]C[-1]",FALSE)="","", INDIRECT("R[0]C[-2]",FALSE)*INDIRECT("R[0]C[-1]",FALSE)*(1+INDIRECT("R[0]C[-3]",FALSE)))</f>
        <v/>
      </c>
      <c r="Z169" s="13" t="n"/>
    </row>
    <row r="170" ht="15.75" customHeight="1" s="74">
      <c r="A170" s="11" t="n">
        <v>170</v>
      </c>
      <c r="C170" s="11">
        <f t="array" ref="C170">IFERROR(INDEX(Milestones!$A:$A, MATCH($B170, Milestones!$B:$B, 0)), "")</f>
        <v/>
      </c>
      <c r="D170" s="11">
        <f t="array" ref="D170">IFERROR(INDEX(Milestones!$C:$C, MATCH($B170, Milestones!$B:$B, 0)), "")</f>
        <v/>
      </c>
      <c r="F170" s="11">
        <f t="array" ref="F170">IFERROR(INDEX(Milestones!$E:$E, MATCH($B170, Milestones!$B:$B, 0)), "")</f>
        <v/>
      </c>
      <c r="I170" s="11" t="n"/>
      <c r="J170" s="20" t="n"/>
      <c r="K170" s="11" t="n"/>
      <c r="L170" s="11">
        <f t="array" ref="L170">IF($K170="","", IFERROR(IFS($K170="Low", INDEX('Lookups - Complexity'!$C:$C, MATCH($B170, 'Lookups - Complexity'!$B:$B,0)), $K170="Medium", INDEX('Lookups - Complexity'!$D:$D, MATCH($B170, 'Lookups - Complexity'!$B:$B,0)), $K170="High", INDEX('Lookups - Complexity'!$E:$E, MATCH($B170, 'Lookups - Complexity'!$B:$B,0))), ""))</f>
        <v/>
      </c>
      <c r="M170" s="11">
        <f>IF($I170="FTE", Assumptions!$B$3, "")</f>
        <v/>
      </c>
      <c r="N170" s="11">
        <f t="array" ref="N170">IFERROR(INDEX(Milestones!$F:$F, MATCH($B170, Milestones!$B:$B, 0)), "")</f>
        <v/>
      </c>
      <c r="O170" s="11">
        <f t="array" ref="O170">IFERROR(INDEX(Milestones!$G:$G, MATCH($B170, Milestones!$B:$B, 0)), "")</f>
        <v/>
      </c>
      <c r="P170" s="11">
        <f t="array" ref="P170">IFERROR(INDEX('Lookups - Rates'!$D:$D, MATCH($G170&amp;"|"&amp;$H170, 'Lookups - Rates'!$Z:$Z, 0)), "")</f>
        <v/>
      </c>
      <c r="Q170" s="11">
        <f t="array" ref="Q170">IFERROR(INDEX('Lookups - Rates'!$E:$E, MATCH($G170&amp;"|"&amp;$H170, 'Lookups - Rates'!$Z:$Z, 0)), "")</f>
        <v/>
      </c>
      <c r="R170" s="11">
        <f>LET(ev,$J170, ch,$L170, hr,$P170, dr,$Q170, hpday,Assumptions!$B$2, hpw,Assumptions!$B$3, w,$M170, hrs, IF($I170="Hours", ev, IF($I170="Days", ev*IF(dr&gt;0, dr/hr, hpday), IF($I170="FTE", ev*hpw*w, ch))), IF(hrs="", "", hrs*hr))</f>
        <v/>
      </c>
      <c r="S170" s="13" t="n"/>
      <c r="T170" s="11">
        <f t="array" ref="T170">XLOOKUP(Scenario_Selected, INDEX(Scenario_Table,0,1), INDEX(Scenario_Table,0,2))</f>
        <v/>
      </c>
      <c r="U170" s="11">
        <f t="array" ref="U170">XLOOKUP(Scenario_Selected, INDEX(Scenario_Table,0,1), INDEX(Scenario_Table,0,3))</f>
        <v/>
      </c>
      <c r="V170" s="11">
        <f t="array" ref="V170">XLOOKUP(Scenario_Selected, INDEX(Scenario_Table,0,1), INDEX(Scenario_Table,0,4))</f>
        <v/>
      </c>
      <c r="W170" s="11">
        <f t="array" ref="W170">LET(ev,$J170, ch,$L170, et,$I170, dr,$Q170, hpday,Assumptions!$B$2, hpw,Assumptions!$B$3, w,$M170,hm,INDIRECT("R[0]C[0]",FALSE),hrs, IF(et="Hours", ev, IF(et="Days", ev*IF(dr&gt;0, dr/$P170, hpday), IF(et="FTE", ev*hpw*w, ch))), IF(hrs="", "", hrs*hm))</f>
        <v/>
      </c>
      <c r="X170" s="11">
        <f>IF($P170="","", $P170*INDIRECT("R[0]C[-3]",FALSE))</f>
        <v/>
      </c>
      <c r="Y170" s="11">
        <f>IF(INDIRECT("R[0]C[-1]",FALSE)="","", INDIRECT("R[0]C[-2]",FALSE)*INDIRECT("R[0]C[-1]",FALSE)*(1+INDIRECT("R[0]C[-3]",FALSE)))</f>
        <v/>
      </c>
      <c r="Z170" s="13" t="n"/>
    </row>
    <row r="171" ht="15.75" customHeight="1" s="74">
      <c r="A171" s="11" t="n">
        <v>171</v>
      </c>
      <c r="C171" s="11">
        <f t="array" ref="C171">IFERROR(INDEX(Milestones!$A:$A, MATCH($B171, Milestones!$B:$B, 0)), "")</f>
        <v/>
      </c>
      <c r="D171" s="11">
        <f t="array" ref="D171">IFERROR(INDEX(Milestones!$C:$C, MATCH($B171, Milestones!$B:$B, 0)), "")</f>
        <v/>
      </c>
      <c r="F171" s="11">
        <f t="array" ref="F171">IFERROR(INDEX(Milestones!$E:$E, MATCH($B171, Milestones!$B:$B, 0)), "")</f>
        <v/>
      </c>
      <c r="I171" s="11" t="n"/>
      <c r="J171" s="20" t="n"/>
      <c r="K171" s="11" t="n"/>
      <c r="L171" s="11">
        <f t="array" ref="L171">IF($K171="","", IFERROR(IFS($K171="Low", INDEX('Lookups - Complexity'!$C:$C, MATCH($B171, 'Lookups - Complexity'!$B:$B,0)), $K171="Medium", INDEX('Lookups - Complexity'!$D:$D, MATCH($B171, 'Lookups - Complexity'!$B:$B,0)), $K171="High", INDEX('Lookups - Complexity'!$E:$E, MATCH($B171, 'Lookups - Complexity'!$B:$B,0))), ""))</f>
        <v/>
      </c>
      <c r="M171" s="11">
        <f>IF($I171="FTE", Assumptions!$B$3, "")</f>
        <v/>
      </c>
      <c r="N171" s="11">
        <f t="array" ref="N171">IFERROR(INDEX(Milestones!$F:$F, MATCH($B171, Milestones!$B:$B, 0)), "")</f>
        <v/>
      </c>
      <c r="O171" s="11">
        <f t="array" ref="O171">IFERROR(INDEX(Milestones!$G:$G, MATCH($B171, Milestones!$B:$B, 0)), "")</f>
        <v/>
      </c>
      <c r="P171" s="11">
        <f t="array" ref="P171">IFERROR(INDEX('Lookups - Rates'!$D:$D, MATCH($G171&amp;"|"&amp;$H171, 'Lookups - Rates'!$Z:$Z, 0)), "")</f>
        <v/>
      </c>
      <c r="Q171" s="11">
        <f t="array" ref="Q171">IFERROR(INDEX('Lookups - Rates'!$E:$E, MATCH($G171&amp;"|"&amp;$H171, 'Lookups - Rates'!$Z:$Z, 0)), "")</f>
        <v/>
      </c>
      <c r="R171" s="11">
        <f>LET(ev,$J171, ch,$L171, hr,$P171, dr,$Q171, hpday,Assumptions!$B$2, hpw,Assumptions!$B$3, w,$M171, hrs, IF($I171="Hours", ev, IF($I171="Days", ev*IF(dr&gt;0, dr/hr, hpday), IF($I171="FTE", ev*hpw*w, ch))), IF(hrs="", "", hrs*hr))</f>
        <v/>
      </c>
      <c r="S171" s="13" t="n"/>
      <c r="T171" s="11">
        <f t="array" ref="T171">XLOOKUP(Scenario_Selected, INDEX(Scenario_Table,0,1), INDEX(Scenario_Table,0,2))</f>
        <v/>
      </c>
      <c r="U171" s="11">
        <f t="array" ref="U171">XLOOKUP(Scenario_Selected, INDEX(Scenario_Table,0,1), INDEX(Scenario_Table,0,3))</f>
        <v/>
      </c>
      <c r="V171" s="11">
        <f t="array" ref="V171">XLOOKUP(Scenario_Selected, INDEX(Scenario_Table,0,1), INDEX(Scenario_Table,0,4))</f>
        <v/>
      </c>
      <c r="W171" s="11">
        <f t="array" ref="W171">LET(ev,$J171, ch,$L171, et,$I171, dr,$Q171, hpday,Assumptions!$B$2, hpw,Assumptions!$B$3, w,$M171,hm,INDIRECT("R[0]C[0]",FALSE),hrs, IF(et="Hours", ev, IF(et="Days", ev*IF(dr&gt;0, dr/$P171, hpday), IF(et="FTE", ev*hpw*w, ch))), IF(hrs="", "", hrs*hm))</f>
        <v/>
      </c>
      <c r="X171" s="11">
        <f>IF($P171="","", $P171*INDIRECT("R[0]C[-3]",FALSE))</f>
        <v/>
      </c>
      <c r="Y171" s="11">
        <f>IF(INDIRECT("R[0]C[-1]",FALSE)="","", INDIRECT("R[0]C[-2]",FALSE)*INDIRECT("R[0]C[-1]",FALSE)*(1+INDIRECT("R[0]C[-3]",FALSE)))</f>
        <v/>
      </c>
      <c r="Z171" s="13" t="n"/>
    </row>
    <row r="172" ht="15.75" customHeight="1" s="74">
      <c r="A172" s="11" t="n">
        <v>172</v>
      </c>
      <c r="C172" s="11">
        <f t="array" ref="C172">IFERROR(INDEX(Milestones!$A:$A, MATCH($B172, Milestones!$B:$B, 0)), "")</f>
        <v/>
      </c>
      <c r="D172" s="11">
        <f t="array" ref="D172">IFERROR(INDEX(Milestones!$C:$C, MATCH($B172, Milestones!$B:$B, 0)), "")</f>
        <v/>
      </c>
      <c r="F172" s="11">
        <f t="array" ref="F172">IFERROR(INDEX(Milestones!$E:$E, MATCH($B172, Milestones!$B:$B, 0)), "")</f>
        <v/>
      </c>
      <c r="I172" s="11" t="n"/>
      <c r="J172" s="20" t="n"/>
      <c r="K172" s="11" t="n"/>
      <c r="L172" s="11">
        <f t="array" ref="L172">IF($K172="","", IFERROR(IFS($K172="Low", INDEX('Lookups - Complexity'!$C:$C, MATCH($B172, 'Lookups - Complexity'!$B:$B,0)), $K172="Medium", INDEX('Lookups - Complexity'!$D:$D, MATCH($B172, 'Lookups - Complexity'!$B:$B,0)), $K172="High", INDEX('Lookups - Complexity'!$E:$E, MATCH($B172, 'Lookups - Complexity'!$B:$B,0))), ""))</f>
        <v/>
      </c>
      <c r="M172" s="11">
        <f>IF($I172="FTE", Assumptions!$B$3, "")</f>
        <v/>
      </c>
      <c r="N172" s="11">
        <f t="array" ref="N172">IFERROR(INDEX(Milestones!$F:$F, MATCH($B172, Milestones!$B:$B, 0)), "")</f>
        <v/>
      </c>
      <c r="O172" s="11">
        <f t="array" ref="O172">IFERROR(INDEX(Milestones!$G:$G, MATCH($B172, Milestones!$B:$B, 0)), "")</f>
        <v/>
      </c>
      <c r="P172" s="11">
        <f t="array" ref="P172">IFERROR(INDEX('Lookups - Rates'!$D:$D, MATCH($G172&amp;"|"&amp;$H172, 'Lookups - Rates'!$Z:$Z, 0)), "")</f>
        <v/>
      </c>
      <c r="Q172" s="11">
        <f t="array" ref="Q172">IFERROR(INDEX('Lookups - Rates'!$E:$E, MATCH($G172&amp;"|"&amp;$H172, 'Lookups - Rates'!$Z:$Z, 0)), "")</f>
        <v/>
      </c>
      <c r="R172" s="11">
        <f>LET(ev,$J172, ch,$L172, hr,$P172, dr,$Q172, hpday,Assumptions!$B$2, hpw,Assumptions!$B$3, w,$M172, hrs, IF($I172="Hours", ev, IF($I172="Days", ev*IF(dr&gt;0, dr/hr, hpday), IF($I172="FTE", ev*hpw*w, ch))), IF(hrs="", "", hrs*hr))</f>
        <v/>
      </c>
      <c r="S172" s="13" t="n"/>
      <c r="T172" s="11">
        <f t="array" ref="T172">XLOOKUP(Scenario_Selected, INDEX(Scenario_Table,0,1), INDEX(Scenario_Table,0,2))</f>
        <v/>
      </c>
      <c r="U172" s="11">
        <f t="array" ref="U172">XLOOKUP(Scenario_Selected, INDEX(Scenario_Table,0,1), INDEX(Scenario_Table,0,3))</f>
        <v/>
      </c>
      <c r="V172" s="11">
        <f t="array" ref="V172">XLOOKUP(Scenario_Selected, INDEX(Scenario_Table,0,1), INDEX(Scenario_Table,0,4))</f>
        <v/>
      </c>
      <c r="W172" s="11">
        <f t="array" ref="W172">LET(ev,$J172, ch,$L172, et,$I172, dr,$Q172, hpday,Assumptions!$B$2, hpw,Assumptions!$B$3, w,$M172,hm,INDIRECT("R[0]C[0]",FALSE),hrs, IF(et="Hours", ev, IF(et="Days", ev*IF(dr&gt;0, dr/$P172, hpday), IF(et="FTE", ev*hpw*w, ch))), IF(hrs="", "", hrs*hm))</f>
        <v/>
      </c>
      <c r="X172" s="11">
        <f>IF($P172="","", $P172*INDIRECT("R[0]C[-3]",FALSE))</f>
        <v/>
      </c>
      <c r="Y172" s="11">
        <f>IF(INDIRECT("R[0]C[-1]",FALSE)="","", INDIRECT("R[0]C[-2]",FALSE)*INDIRECT("R[0]C[-1]",FALSE)*(1+INDIRECT("R[0]C[-3]",FALSE)))</f>
        <v/>
      </c>
      <c r="Z172" s="13" t="n"/>
    </row>
    <row r="173" ht="15.75" customHeight="1" s="74">
      <c r="A173" s="11" t="n">
        <v>173</v>
      </c>
      <c r="C173" s="11">
        <f t="array" ref="C173">IFERROR(INDEX(Milestones!$A:$A, MATCH($B173, Milestones!$B:$B, 0)), "")</f>
        <v/>
      </c>
      <c r="D173" s="11">
        <f t="array" ref="D173">IFERROR(INDEX(Milestones!$C:$C, MATCH($B173, Milestones!$B:$B, 0)), "")</f>
        <v/>
      </c>
      <c r="F173" s="11">
        <f t="array" ref="F173">IFERROR(INDEX(Milestones!$E:$E, MATCH($B173, Milestones!$B:$B, 0)), "")</f>
        <v/>
      </c>
      <c r="I173" s="11" t="n"/>
      <c r="J173" s="20" t="n"/>
      <c r="K173" s="11" t="n"/>
      <c r="L173" s="11">
        <f t="array" ref="L173">IF($K173="","", IFERROR(IFS($K173="Low", INDEX('Lookups - Complexity'!$C:$C, MATCH($B173, 'Lookups - Complexity'!$B:$B,0)), $K173="Medium", INDEX('Lookups - Complexity'!$D:$D, MATCH($B173, 'Lookups - Complexity'!$B:$B,0)), $K173="High", INDEX('Lookups - Complexity'!$E:$E, MATCH($B173, 'Lookups - Complexity'!$B:$B,0))), ""))</f>
        <v/>
      </c>
      <c r="M173" s="11">
        <f>IF($I173="FTE", Assumptions!$B$3, "")</f>
        <v/>
      </c>
      <c r="N173" s="11">
        <f t="array" ref="N173">IFERROR(INDEX(Milestones!$F:$F, MATCH($B173, Milestones!$B:$B, 0)), "")</f>
        <v/>
      </c>
      <c r="O173" s="11">
        <f t="array" ref="O173">IFERROR(INDEX(Milestones!$G:$G, MATCH($B173, Milestones!$B:$B, 0)), "")</f>
        <v/>
      </c>
      <c r="P173" s="11">
        <f t="array" ref="P173">IFERROR(INDEX('Lookups - Rates'!$D:$D, MATCH($G173&amp;"|"&amp;$H173, 'Lookups - Rates'!$Z:$Z, 0)), "")</f>
        <v/>
      </c>
      <c r="Q173" s="11">
        <f t="array" ref="Q173">IFERROR(INDEX('Lookups - Rates'!$E:$E, MATCH($G173&amp;"|"&amp;$H173, 'Lookups - Rates'!$Z:$Z, 0)), "")</f>
        <v/>
      </c>
      <c r="R173" s="11">
        <f>LET(ev,$J173, ch,$L173, hr,$P173, dr,$Q173, hpday,Assumptions!$B$2, hpw,Assumptions!$B$3, w,$M173, hrs, IF($I173="Hours", ev, IF($I173="Days", ev*IF(dr&gt;0, dr/hr, hpday), IF($I173="FTE", ev*hpw*w, ch))), IF(hrs="", "", hrs*hr))</f>
        <v/>
      </c>
      <c r="S173" s="13" t="n"/>
      <c r="T173" s="11">
        <f t="array" ref="T173">XLOOKUP(Scenario_Selected, INDEX(Scenario_Table,0,1), INDEX(Scenario_Table,0,2))</f>
        <v/>
      </c>
      <c r="U173" s="11">
        <f t="array" ref="U173">XLOOKUP(Scenario_Selected, INDEX(Scenario_Table,0,1), INDEX(Scenario_Table,0,3))</f>
        <v/>
      </c>
      <c r="V173" s="11">
        <f t="array" ref="V173">XLOOKUP(Scenario_Selected, INDEX(Scenario_Table,0,1), INDEX(Scenario_Table,0,4))</f>
        <v/>
      </c>
      <c r="W173" s="11">
        <f t="array" ref="W173">LET(ev,$J173, ch,$L173, et,$I173, dr,$Q173, hpday,Assumptions!$B$2, hpw,Assumptions!$B$3, w,$M173,hm,INDIRECT("R[0]C[0]",FALSE),hrs, IF(et="Hours", ev, IF(et="Days", ev*IF(dr&gt;0, dr/$P173, hpday), IF(et="FTE", ev*hpw*w, ch))), IF(hrs="", "", hrs*hm))</f>
        <v/>
      </c>
      <c r="X173" s="11">
        <f>IF($P173="","", $P173*INDIRECT("R[0]C[-3]",FALSE))</f>
        <v/>
      </c>
      <c r="Y173" s="11">
        <f>IF(INDIRECT("R[0]C[-1]",FALSE)="","", INDIRECT("R[0]C[-2]",FALSE)*INDIRECT("R[0]C[-1]",FALSE)*(1+INDIRECT("R[0]C[-3]",FALSE)))</f>
        <v/>
      </c>
      <c r="Z173" s="13" t="n"/>
    </row>
    <row r="174" ht="15.75" customHeight="1" s="74">
      <c r="A174" s="11" t="n">
        <v>174</v>
      </c>
      <c r="C174" s="11">
        <f t="array" ref="C174">IFERROR(INDEX(Milestones!$A:$A, MATCH($B174, Milestones!$B:$B, 0)), "")</f>
        <v/>
      </c>
      <c r="D174" s="11">
        <f t="array" ref="D174">IFERROR(INDEX(Milestones!$C:$C, MATCH($B174, Milestones!$B:$B, 0)), "")</f>
        <v/>
      </c>
      <c r="F174" s="11">
        <f t="array" ref="F174">IFERROR(INDEX(Milestones!$E:$E, MATCH($B174, Milestones!$B:$B, 0)), "")</f>
        <v/>
      </c>
      <c r="I174" s="11" t="n"/>
      <c r="J174" s="20" t="n"/>
      <c r="K174" s="11" t="n"/>
      <c r="L174" s="11">
        <f t="array" ref="L174">IF($K174="","", IFERROR(IFS($K174="Low", INDEX('Lookups - Complexity'!$C:$C, MATCH($B174, 'Lookups - Complexity'!$B:$B,0)), $K174="Medium", INDEX('Lookups - Complexity'!$D:$D, MATCH($B174, 'Lookups - Complexity'!$B:$B,0)), $K174="High", INDEX('Lookups - Complexity'!$E:$E, MATCH($B174, 'Lookups - Complexity'!$B:$B,0))), ""))</f>
        <v/>
      </c>
      <c r="M174" s="11">
        <f>IF($I174="FTE", Assumptions!$B$3, "")</f>
        <v/>
      </c>
      <c r="N174" s="11">
        <f t="array" ref="N174">IFERROR(INDEX(Milestones!$F:$F, MATCH($B174, Milestones!$B:$B, 0)), "")</f>
        <v/>
      </c>
      <c r="O174" s="11">
        <f t="array" ref="O174">IFERROR(INDEX(Milestones!$G:$G, MATCH($B174, Milestones!$B:$B, 0)), "")</f>
        <v/>
      </c>
      <c r="P174" s="11">
        <f t="array" ref="P174">IFERROR(INDEX('Lookups - Rates'!$D:$D, MATCH($G174&amp;"|"&amp;$H174, 'Lookups - Rates'!$Z:$Z, 0)), "")</f>
        <v/>
      </c>
      <c r="Q174" s="11">
        <f t="array" ref="Q174">IFERROR(INDEX('Lookups - Rates'!$E:$E, MATCH($G174&amp;"|"&amp;$H174, 'Lookups - Rates'!$Z:$Z, 0)), "")</f>
        <v/>
      </c>
      <c r="R174" s="11">
        <f>LET(ev,$J174, ch,$L174, hr,$P174, dr,$Q174, hpday,Assumptions!$B$2, hpw,Assumptions!$B$3, w,$M174, hrs, IF($I174="Hours", ev, IF($I174="Days", ev*IF(dr&gt;0, dr/hr, hpday), IF($I174="FTE", ev*hpw*w, ch))), IF(hrs="", "", hrs*hr))</f>
        <v/>
      </c>
      <c r="S174" s="13" t="n"/>
      <c r="T174" s="11">
        <f t="array" ref="T174">XLOOKUP(Scenario_Selected, INDEX(Scenario_Table,0,1), INDEX(Scenario_Table,0,2))</f>
        <v/>
      </c>
      <c r="U174" s="11">
        <f t="array" ref="U174">XLOOKUP(Scenario_Selected, INDEX(Scenario_Table,0,1), INDEX(Scenario_Table,0,3))</f>
        <v/>
      </c>
      <c r="V174" s="11">
        <f t="array" ref="V174">XLOOKUP(Scenario_Selected, INDEX(Scenario_Table,0,1), INDEX(Scenario_Table,0,4))</f>
        <v/>
      </c>
      <c r="W174" s="11">
        <f t="array" ref="W174">LET(ev,$J174, ch,$L174, et,$I174, dr,$Q174, hpday,Assumptions!$B$2, hpw,Assumptions!$B$3, w,$M174,hm,INDIRECT("R[0]C[0]",FALSE),hrs, IF(et="Hours", ev, IF(et="Days", ev*IF(dr&gt;0, dr/$P174, hpday), IF(et="FTE", ev*hpw*w, ch))), IF(hrs="", "", hrs*hm))</f>
        <v/>
      </c>
      <c r="X174" s="11">
        <f>IF($P174="","", $P174*INDIRECT("R[0]C[-3]",FALSE))</f>
        <v/>
      </c>
      <c r="Y174" s="11">
        <f>IF(INDIRECT("R[0]C[-1]",FALSE)="","", INDIRECT("R[0]C[-2]",FALSE)*INDIRECT("R[0]C[-1]",FALSE)*(1+INDIRECT("R[0]C[-3]",FALSE)))</f>
        <v/>
      </c>
      <c r="Z174" s="13" t="n"/>
    </row>
    <row r="175" ht="15.75" customHeight="1" s="74">
      <c r="A175" s="11" t="n">
        <v>175</v>
      </c>
      <c r="C175" s="11">
        <f t="array" ref="C175">IFERROR(INDEX(Milestones!$A:$A, MATCH($B175, Milestones!$B:$B, 0)), "")</f>
        <v/>
      </c>
      <c r="D175" s="11">
        <f t="array" ref="D175">IFERROR(INDEX(Milestones!$C:$C, MATCH($B175, Milestones!$B:$B, 0)), "")</f>
        <v/>
      </c>
      <c r="F175" s="11">
        <f t="array" ref="F175">IFERROR(INDEX(Milestones!$E:$E, MATCH($B175, Milestones!$B:$B, 0)), "")</f>
        <v/>
      </c>
      <c r="I175" s="11" t="n"/>
      <c r="J175" s="20" t="n"/>
      <c r="K175" s="11" t="n"/>
      <c r="L175" s="11">
        <f t="array" ref="L175">IF($K175="","", IFERROR(IFS($K175="Low", INDEX('Lookups - Complexity'!$C:$C, MATCH($B175, 'Lookups - Complexity'!$B:$B,0)), $K175="Medium", INDEX('Lookups - Complexity'!$D:$D, MATCH($B175, 'Lookups - Complexity'!$B:$B,0)), $K175="High", INDEX('Lookups - Complexity'!$E:$E, MATCH($B175, 'Lookups - Complexity'!$B:$B,0))), ""))</f>
        <v/>
      </c>
      <c r="M175" s="11">
        <f>IF($I175="FTE", Assumptions!$B$3, "")</f>
        <v/>
      </c>
      <c r="N175" s="11">
        <f t="array" ref="N175">IFERROR(INDEX(Milestones!$F:$F, MATCH($B175, Milestones!$B:$B, 0)), "")</f>
        <v/>
      </c>
      <c r="O175" s="11">
        <f t="array" ref="O175">IFERROR(INDEX(Milestones!$G:$G, MATCH($B175, Milestones!$B:$B, 0)), "")</f>
        <v/>
      </c>
      <c r="P175" s="11">
        <f t="array" ref="P175">IFERROR(INDEX('Lookups - Rates'!$D:$D, MATCH($G175&amp;"|"&amp;$H175, 'Lookups - Rates'!$Z:$Z, 0)), "")</f>
        <v/>
      </c>
      <c r="Q175" s="11">
        <f t="array" ref="Q175">IFERROR(INDEX('Lookups - Rates'!$E:$E, MATCH($G175&amp;"|"&amp;$H175, 'Lookups - Rates'!$Z:$Z, 0)), "")</f>
        <v/>
      </c>
      <c r="R175" s="11">
        <f>LET(ev,$J175, ch,$L175, hr,$P175, dr,$Q175, hpday,Assumptions!$B$2, hpw,Assumptions!$B$3, w,$M175, hrs, IF($I175="Hours", ev, IF($I175="Days", ev*IF(dr&gt;0, dr/hr, hpday), IF($I175="FTE", ev*hpw*w, ch))), IF(hrs="", "", hrs*hr))</f>
        <v/>
      </c>
      <c r="S175" s="13" t="n"/>
      <c r="T175" s="11">
        <f t="array" ref="T175">XLOOKUP(Scenario_Selected, INDEX(Scenario_Table,0,1), INDEX(Scenario_Table,0,2))</f>
        <v/>
      </c>
      <c r="U175" s="11">
        <f t="array" ref="U175">XLOOKUP(Scenario_Selected, INDEX(Scenario_Table,0,1), INDEX(Scenario_Table,0,3))</f>
        <v/>
      </c>
      <c r="V175" s="11">
        <f t="array" ref="V175">XLOOKUP(Scenario_Selected, INDEX(Scenario_Table,0,1), INDEX(Scenario_Table,0,4))</f>
        <v/>
      </c>
      <c r="W175" s="11">
        <f t="array" ref="W175">LET(ev,$J175, ch,$L175, et,$I175, dr,$Q175, hpday,Assumptions!$B$2, hpw,Assumptions!$B$3, w,$M175,hm,INDIRECT("R[0]C[0]",FALSE),hrs, IF(et="Hours", ev, IF(et="Days", ev*IF(dr&gt;0, dr/$P175, hpday), IF(et="FTE", ev*hpw*w, ch))), IF(hrs="", "", hrs*hm))</f>
        <v/>
      </c>
      <c r="X175" s="11">
        <f>IF($P175="","", $P175*INDIRECT("R[0]C[-3]",FALSE))</f>
        <v/>
      </c>
      <c r="Y175" s="11">
        <f>IF(INDIRECT("R[0]C[-1]",FALSE)="","", INDIRECT("R[0]C[-2]",FALSE)*INDIRECT("R[0]C[-1]",FALSE)*(1+INDIRECT("R[0]C[-3]",FALSE)))</f>
        <v/>
      </c>
      <c r="Z175" s="13" t="n"/>
    </row>
    <row r="176" ht="15.75" customHeight="1" s="74">
      <c r="A176" s="11" t="n">
        <v>176</v>
      </c>
      <c r="C176" s="11">
        <f t="array" ref="C176">IFERROR(INDEX(Milestones!$A:$A, MATCH($B176, Milestones!$B:$B, 0)), "")</f>
        <v/>
      </c>
      <c r="D176" s="11">
        <f t="array" ref="D176">IFERROR(INDEX(Milestones!$C:$C, MATCH($B176, Milestones!$B:$B, 0)), "")</f>
        <v/>
      </c>
      <c r="F176" s="11">
        <f t="array" ref="F176">IFERROR(INDEX(Milestones!$E:$E, MATCH($B176, Milestones!$B:$B, 0)), "")</f>
        <v/>
      </c>
      <c r="I176" s="11" t="n"/>
      <c r="J176" s="20" t="n"/>
      <c r="K176" s="11" t="n"/>
      <c r="L176" s="11">
        <f t="array" ref="L176">IF($K176="","", IFERROR(IFS($K176="Low", INDEX('Lookups - Complexity'!$C:$C, MATCH($B176, 'Lookups - Complexity'!$B:$B,0)), $K176="Medium", INDEX('Lookups - Complexity'!$D:$D, MATCH($B176, 'Lookups - Complexity'!$B:$B,0)), $K176="High", INDEX('Lookups - Complexity'!$E:$E, MATCH($B176, 'Lookups - Complexity'!$B:$B,0))), ""))</f>
        <v/>
      </c>
      <c r="M176" s="11">
        <f>IF($I176="FTE", Assumptions!$B$3, "")</f>
        <v/>
      </c>
      <c r="N176" s="11">
        <f t="array" ref="N176">IFERROR(INDEX(Milestones!$F:$F, MATCH($B176, Milestones!$B:$B, 0)), "")</f>
        <v/>
      </c>
      <c r="O176" s="11">
        <f t="array" ref="O176">IFERROR(INDEX(Milestones!$G:$G, MATCH($B176, Milestones!$B:$B, 0)), "")</f>
        <v/>
      </c>
      <c r="P176" s="11">
        <f t="array" ref="P176">IFERROR(INDEX('Lookups - Rates'!$D:$D, MATCH($G176&amp;"|"&amp;$H176, 'Lookups - Rates'!$Z:$Z, 0)), "")</f>
        <v/>
      </c>
      <c r="Q176" s="11">
        <f t="array" ref="Q176">IFERROR(INDEX('Lookups - Rates'!$E:$E, MATCH($G176&amp;"|"&amp;$H176, 'Lookups - Rates'!$Z:$Z, 0)), "")</f>
        <v/>
      </c>
      <c r="R176" s="11">
        <f>LET(ev,$J176, ch,$L176, hr,$P176, dr,$Q176, hpday,Assumptions!$B$2, hpw,Assumptions!$B$3, w,$M176, hrs, IF($I176="Hours", ev, IF($I176="Days", ev*IF(dr&gt;0, dr/hr, hpday), IF($I176="FTE", ev*hpw*w, ch))), IF(hrs="", "", hrs*hr))</f>
        <v/>
      </c>
      <c r="S176" s="13" t="n"/>
      <c r="T176" s="11">
        <f t="array" ref="T176">XLOOKUP(Scenario_Selected, INDEX(Scenario_Table,0,1), INDEX(Scenario_Table,0,2))</f>
        <v/>
      </c>
      <c r="U176" s="11">
        <f t="array" ref="U176">XLOOKUP(Scenario_Selected, INDEX(Scenario_Table,0,1), INDEX(Scenario_Table,0,3))</f>
        <v/>
      </c>
      <c r="V176" s="11">
        <f t="array" ref="V176">XLOOKUP(Scenario_Selected, INDEX(Scenario_Table,0,1), INDEX(Scenario_Table,0,4))</f>
        <v/>
      </c>
      <c r="W176" s="11">
        <f t="array" ref="W176">LET(ev,$J176, ch,$L176, et,$I176, dr,$Q176, hpday,Assumptions!$B$2, hpw,Assumptions!$B$3, w,$M176,hm,INDIRECT("R[0]C[0]",FALSE),hrs, IF(et="Hours", ev, IF(et="Days", ev*IF(dr&gt;0, dr/$P176, hpday), IF(et="FTE", ev*hpw*w, ch))), IF(hrs="", "", hrs*hm))</f>
        <v/>
      </c>
      <c r="X176" s="11">
        <f>IF($P176="","", $P176*INDIRECT("R[0]C[-3]",FALSE))</f>
        <v/>
      </c>
      <c r="Y176" s="11">
        <f>IF(INDIRECT("R[0]C[-1]",FALSE)="","", INDIRECT("R[0]C[-2]",FALSE)*INDIRECT("R[0]C[-1]",FALSE)*(1+INDIRECT("R[0]C[-3]",FALSE)))</f>
        <v/>
      </c>
      <c r="Z176" s="13" t="n"/>
    </row>
    <row r="177" ht="15.75" customHeight="1" s="74">
      <c r="A177" s="11" t="n">
        <v>177</v>
      </c>
      <c r="C177" s="11">
        <f t="array" ref="C177">IFERROR(INDEX(Milestones!$A:$A, MATCH($B177, Milestones!$B:$B, 0)), "")</f>
        <v/>
      </c>
      <c r="D177" s="11">
        <f t="array" ref="D177">IFERROR(INDEX(Milestones!$C:$C, MATCH($B177, Milestones!$B:$B, 0)), "")</f>
        <v/>
      </c>
      <c r="F177" s="11">
        <f t="array" ref="F177">IFERROR(INDEX(Milestones!$E:$E, MATCH($B177, Milestones!$B:$B, 0)), "")</f>
        <v/>
      </c>
      <c r="I177" s="11" t="n"/>
      <c r="J177" s="20" t="n"/>
      <c r="K177" s="11" t="n"/>
      <c r="L177" s="11">
        <f t="array" ref="L177">IF($K177="","", IFERROR(IFS($K177="Low", INDEX('Lookups - Complexity'!$C:$C, MATCH($B177, 'Lookups - Complexity'!$B:$B,0)), $K177="Medium", INDEX('Lookups - Complexity'!$D:$D, MATCH($B177, 'Lookups - Complexity'!$B:$B,0)), $K177="High", INDEX('Lookups - Complexity'!$E:$E, MATCH($B177, 'Lookups - Complexity'!$B:$B,0))), ""))</f>
        <v/>
      </c>
      <c r="M177" s="11">
        <f>IF($I177="FTE", Assumptions!$B$3, "")</f>
        <v/>
      </c>
      <c r="N177" s="11">
        <f t="array" ref="N177">IFERROR(INDEX(Milestones!$F:$F, MATCH($B177, Milestones!$B:$B, 0)), "")</f>
        <v/>
      </c>
      <c r="O177" s="11">
        <f t="array" ref="O177">IFERROR(INDEX(Milestones!$G:$G, MATCH($B177, Milestones!$B:$B, 0)), "")</f>
        <v/>
      </c>
      <c r="P177" s="11">
        <f t="array" ref="P177">IFERROR(INDEX('Lookups - Rates'!$D:$D, MATCH($G177&amp;"|"&amp;$H177, 'Lookups - Rates'!$Z:$Z, 0)), "")</f>
        <v/>
      </c>
      <c r="Q177" s="11">
        <f t="array" ref="Q177">IFERROR(INDEX('Lookups - Rates'!$E:$E, MATCH($G177&amp;"|"&amp;$H177, 'Lookups - Rates'!$Z:$Z, 0)), "")</f>
        <v/>
      </c>
      <c r="R177" s="11">
        <f>LET(ev,$J177, ch,$L177, hr,$P177, dr,$Q177, hpday,Assumptions!$B$2, hpw,Assumptions!$B$3, w,$M177, hrs, IF($I177="Hours", ev, IF($I177="Days", ev*IF(dr&gt;0, dr/hr, hpday), IF($I177="FTE", ev*hpw*w, ch))), IF(hrs="", "", hrs*hr))</f>
        <v/>
      </c>
      <c r="S177" s="13" t="n"/>
      <c r="T177" s="11">
        <f t="array" ref="T177">XLOOKUP(Scenario_Selected, INDEX(Scenario_Table,0,1), INDEX(Scenario_Table,0,2))</f>
        <v/>
      </c>
      <c r="U177" s="11">
        <f t="array" ref="U177">XLOOKUP(Scenario_Selected, INDEX(Scenario_Table,0,1), INDEX(Scenario_Table,0,3))</f>
        <v/>
      </c>
      <c r="V177" s="11">
        <f t="array" ref="V177">XLOOKUP(Scenario_Selected, INDEX(Scenario_Table,0,1), INDEX(Scenario_Table,0,4))</f>
        <v/>
      </c>
      <c r="W177" s="11">
        <f t="array" ref="W177">LET(ev,$J177, ch,$L177, et,$I177, dr,$Q177, hpday,Assumptions!$B$2, hpw,Assumptions!$B$3, w,$M177,hm,INDIRECT("R[0]C[0]",FALSE),hrs, IF(et="Hours", ev, IF(et="Days", ev*IF(dr&gt;0, dr/$P177, hpday), IF(et="FTE", ev*hpw*w, ch))), IF(hrs="", "", hrs*hm))</f>
        <v/>
      </c>
      <c r="X177" s="11">
        <f>IF($P177="","", $P177*INDIRECT("R[0]C[-3]",FALSE))</f>
        <v/>
      </c>
      <c r="Y177" s="11">
        <f>IF(INDIRECT("R[0]C[-1]",FALSE)="","", INDIRECT("R[0]C[-2]",FALSE)*INDIRECT("R[0]C[-1]",FALSE)*(1+INDIRECT("R[0]C[-3]",FALSE)))</f>
        <v/>
      </c>
      <c r="Z177" s="13" t="n"/>
    </row>
    <row r="178" ht="15.75" customHeight="1" s="74">
      <c r="A178" s="11" t="n">
        <v>178</v>
      </c>
      <c r="C178" s="11">
        <f t="array" ref="C178">IFERROR(INDEX(Milestones!$A:$A, MATCH($B178, Milestones!$B:$B, 0)), "")</f>
        <v/>
      </c>
      <c r="D178" s="11">
        <f t="array" ref="D178">IFERROR(INDEX(Milestones!$C:$C, MATCH($B178, Milestones!$B:$B, 0)), "")</f>
        <v/>
      </c>
      <c r="F178" s="11">
        <f t="array" ref="F178">IFERROR(INDEX(Milestones!$E:$E, MATCH($B178, Milestones!$B:$B, 0)), "")</f>
        <v/>
      </c>
      <c r="I178" s="11" t="n"/>
      <c r="J178" s="20" t="n"/>
      <c r="K178" s="11" t="n"/>
      <c r="L178" s="11">
        <f t="array" ref="L178">IF($K178="","", IFERROR(IFS($K178="Low", INDEX('Lookups - Complexity'!$C:$C, MATCH($B178, 'Lookups - Complexity'!$B:$B,0)), $K178="Medium", INDEX('Lookups - Complexity'!$D:$D, MATCH($B178, 'Lookups - Complexity'!$B:$B,0)), $K178="High", INDEX('Lookups - Complexity'!$E:$E, MATCH($B178, 'Lookups - Complexity'!$B:$B,0))), ""))</f>
        <v/>
      </c>
      <c r="M178" s="11">
        <f>IF($I178="FTE", Assumptions!$B$3, "")</f>
        <v/>
      </c>
      <c r="N178" s="11">
        <f t="array" ref="N178">IFERROR(INDEX(Milestones!$F:$F, MATCH($B178, Milestones!$B:$B, 0)), "")</f>
        <v/>
      </c>
      <c r="O178" s="11">
        <f t="array" ref="O178">IFERROR(INDEX(Milestones!$G:$G, MATCH($B178, Milestones!$B:$B, 0)), "")</f>
        <v/>
      </c>
      <c r="P178" s="11">
        <f t="array" ref="P178">IFERROR(INDEX('Lookups - Rates'!$D:$D, MATCH($G178&amp;"|"&amp;$H178, 'Lookups - Rates'!$Z:$Z, 0)), "")</f>
        <v/>
      </c>
      <c r="Q178" s="11">
        <f t="array" ref="Q178">IFERROR(INDEX('Lookups - Rates'!$E:$E, MATCH($G178&amp;"|"&amp;$H178, 'Lookups - Rates'!$Z:$Z, 0)), "")</f>
        <v/>
      </c>
      <c r="R178" s="11">
        <f>LET(ev,$J178, ch,$L178, hr,$P178, dr,$Q178, hpday,Assumptions!$B$2, hpw,Assumptions!$B$3, w,$M178, hrs, IF($I178="Hours", ev, IF($I178="Days", ev*IF(dr&gt;0, dr/hr, hpday), IF($I178="FTE", ev*hpw*w, ch))), IF(hrs="", "", hrs*hr))</f>
        <v/>
      </c>
      <c r="S178" s="13" t="n"/>
      <c r="T178" s="11">
        <f t="array" ref="T178">XLOOKUP(Scenario_Selected, INDEX(Scenario_Table,0,1), INDEX(Scenario_Table,0,2))</f>
        <v/>
      </c>
      <c r="U178" s="11">
        <f t="array" ref="U178">XLOOKUP(Scenario_Selected, INDEX(Scenario_Table,0,1), INDEX(Scenario_Table,0,3))</f>
        <v/>
      </c>
      <c r="V178" s="11">
        <f t="array" ref="V178">XLOOKUP(Scenario_Selected, INDEX(Scenario_Table,0,1), INDEX(Scenario_Table,0,4))</f>
        <v/>
      </c>
      <c r="W178" s="11">
        <f t="array" ref="W178">LET(ev,$J178, ch,$L178, et,$I178, dr,$Q178, hpday,Assumptions!$B$2, hpw,Assumptions!$B$3, w,$M178,hm,INDIRECT("R[0]C[0]",FALSE),hrs, IF(et="Hours", ev, IF(et="Days", ev*IF(dr&gt;0, dr/$P178, hpday), IF(et="FTE", ev*hpw*w, ch))), IF(hrs="", "", hrs*hm))</f>
        <v/>
      </c>
      <c r="X178" s="11">
        <f>IF($P178="","", $P178*INDIRECT("R[0]C[-3]",FALSE))</f>
        <v/>
      </c>
      <c r="Y178" s="11">
        <f>IF(INDIRECT("R[0]C[-1]",FALSE)="","", INDIRECT("R[0]C[-2]",FALSE)*INDIRECT("R[0]C[-1]",FALSE)*(1+INDIRECT("R[0]C[-3]",FALSE)))</f>
        <v/>
      </c>
      <c r="Z178" s="13" t="n"/>
    </row>
    <row r="179" ht="15.75" customHeight="1" s="74">
      <c r="A179" s="11" t="n">
        <v>179</v>
      </c>
      <c r="C179" s="11">
        <f t="array" ref="C179">IFERROR(INDEX(Milestones!$A:$A, MATCH($B179, Milestones!$B:$B, 0)), "")</f>
        <v/>
      </c>
      <c r="D179" s="11">
        <f t="array" ref="D179">IFERROR(INDEX(Milestones!$C:$C, MATCH($B179, Milestones!$B:$B, 0)), "")</f>
        <v/>
      </c>
      <c r="F179" s="11">
        <f t="array" ref="F179">IFERROR(INDEX(Milestones!$E:$E, MATCH($B179, Milestones!$B:$B, 0)), "")</f>
        <v/>
      </c>
      <c r="I179" s="11" t="n"/>
      <c r="J179" s="20" t="n"/>
      <c r="K179" s="11" t="n"/>
      <c r="L179" s="11">
        <f t="array" ref="L179">IF($K179="","", IFERROR(IFS($K179="Low", INDEX('Lookups - Complexity'!$C:$C, MATCH($B179, 'Lookups - Complexity'!$B:$B,0)), $K179="Medium", INDEX('Lookups - Complexity'!$D:$D, MATCH($B179, 'Lookups - Complexity'!$B:$B,0)), $K179="High", INDEX('Lookups - Complexity'!$E:$E, MATCH($B179, 'Lookups - Complexity'!$B:$B,0))), ""))</f>
        <v/>
      </c>
      <c r="M179" s="11">
        <f>IF($I179="FTE", Assumptions!$B$3, "")</f>
        <v/>
      </c>
      <c r="N179" s="11">
        <f t="array" ref="N179">IFERROR(INDEX(Milestones!$F:$F, MATCH($B179, Milestones!$B:$B, 0)), "")</f>
        <v/>
      </c>
      <c r="O179" s="11">
        <f t="array" ref="O179">IFERROR(INDEX(Milestones!$G:$G, MATCH($B179, Milestones!$B:$B, 0)), "")</f>
        <v/>
      </c>
      <c r="P179" s="11">
        <f t="array" ref="P179">IFERROR(INDEX('Lookups - Rates'!$D:$D, MATCH($G179&amp;"|"&amp;$H179, 'Lookups - Rates'!$Z:$Z, 0)), "")</f>
        <v/>
      </c>
      <c r="Q179" s="11">
        <f t="array" ref="Q179">IFERROR(INDEX('Lookups - Rates'!$E:$E, MATCH($G179&amp;"|"&amp;$H179, 'Lookups - Rates'!$Z:$Z, 0)), "")</f>
        <v/>
      </c>
      <c r="R179" s="11">
        <f>LET(ev,$J179, ch,$L179, hr,$P179, dr,$Q179, hpday,Assumptions!$B$2, hpw,Assumptions!$B$3, w,$M179, hrs, IF($I179="Hours", ev, IF($I179="Days", ev*IF(dr&gt;0, dr/hr, hpday), IF($I179="FTE", ev*hpw*w, ch))), IF(hrs="", "", hrs*hr))</f>
        <v/>
      </c>
      <c r="S179" s="13" t="n"/>
      <c r="T179" s="11">
        <f t="array" ref="T179">XLOOKUP(Scenario_Selected, INDEX(Scenario_Table,0,1), INDEX(Scenario_Table,0,2))</f>
        <v/>
      </c>
      <c r="U179" s="11">
        <f t="array" ref="U179">XLOOKUP(Scenario_Selected, INDEX(Scenario_Table,0,1), INDEX(Scenario_Table,0,3))</f>
        <v/>
      </c>
      <c r="V179" s="11">
        <f t="array" ref="V179">XLOOKUP(Scenario_Selected, INDEX(Scenario_Table,0,1), INDEX(Scenario_Table,0,4))</f>
        <v/>
      </c>
      <c r="W179" s="11">
        <f t="array" ref="W179">LET(ev,$J179, ch,$L179, et,$I179, dr,$Q179, hpday,Assumptions!$B$2, hpw,Assumptions!$B$3, w,$M179,hm,INDIRECT("R[0]C[0]",FALSE),hrs, IF(et="Hours", ev, IF(et="Days", ev*IF(dr&gt;0, dr/$P179, hpday), IF(et="FTE", ev*hpw*w, ch))), IF(hrs="", "", hrs*hm))</f>
        <v/>
      </c>
      <c r="X179" s="11">
        <f>IF($P179="","", $P179*INDIRECT("R[0]C[-3]",FALSE))</f>
        <v/>
      </c>
      <c r="Y179" s="11">
        <f>IF(INDIRECT("R[0]C[-1]",FALSE)="","", INDIRECT("R[0]C[-2]",FALSE)*INDIRECT("R[0]C[-1]",FALSE)*(1+INDIRECT("R[0]C[-3]",FALSE)))</f>
        <v/>
      </c>
      <c r="Z179" s="13" t="n"/>
    </row>
    <row r="180" ht="15.75" customHeight="1" s="74">
      <c r="A180" s="11" t="n">
        <v>180</v>
      </c>
      <c r="C180" s="11">
        <f t="array" ref="C180">IFERROR(INDEX(Milestones!$A:$A, MATCH($B180, Milestones!$B:$B, 0)), "")</f>
        <v/>
      </c>
      <c r="D180" s="11">
        <f t="array" ref="D180">IFERROR(INDEX(Milestones!$C:$C, MATCH($B180, Milestones!$B:$B, 0)), "")</f>
        <v/>
      </c>
      <c r="F180" s="11">
        <f t="array" ref="F180">IFERROR(INDEX(Milestones!$E:$E, MATCH($B180, Milestones!$B:$B, 0)), "")</f>
        <v/>
      </c>
      <c r="I180" s="11" t="n"/>
      <c r="J180" s="20" t="n"/>
      <c r="K180" s="11" t="n"/>
      <c r="L180" s="11">
        <f t="array" ref="L180">IF($K180="","", IFERROR(IFS($K180="Low", INDEX('Lookups - Complexity'!$C:$C, MATCH($B180, 'Lookups - Complexity'!$B:$B,0)), $K180="Medium", INDEX('Lookups - Complexity'!$D:$D, MATCH($B180, 'Lookups - Complexity'!$B:$B,0)), $K180="High", INDEX('Lookups - Complexity'!$E:$E, MATCH($B180, 'Lookups - Complexity'!$B:$B,0))), ""))</f>
        <v/>
      </c>
      <c r="M180" s="11">
        <f>IF($I180="FTE", Assumptions!$B$3, "")</f>
        <v/>
      </c>
      <c r="N180" s="11">
        <f t="array" ref="N180">IFERROR(INDEX(Milestones!$F:$F, MATCH($B180, Milestones!$B:$B, 0)), "")</f>
        <v/>
      </c>
      <c r="O180" s="11">
        <f t="array" ref="O180">IFERROR(INDEX(Milestones!$G:$G, MATCH($B180, Milestones!$B:$B, 0)), "")</f>
        <v/>
      </c>
      <c r="P180" s="11">
        <f t="array" ref="P180">IFERROR(INDEX('Lookups - Rates'!$D:$D, MATCH($G180&amp;"|"&amp;$H180, 'Lookups - Rates'!$Z:$Z, 0)), "")</f>
        <v/>
      </c>
      <c r="Q180" s="11">
        <f t="array" ref="Q180">IFERROR(INDEX('Lookups - Rates'!$E:$E, MATCH($G180&amp;"|"&amp;$H180, 'Lookups - Rates'!$Z:$Z, 0)), "")</f>
        <v/>
      </c>
      <c r="R180" s="11">
        <f>LET(ev,$J180, ch,$L180, hr,$P180, dr,$Q180, hpday,Assumptions!$B$2, hpw,Assumptions!$B$3, w,$M180, hrs, IF($I180="Hours", ev, IF($I180="Days", ev*IF(dr&gt;0, dr/hr, hpday), IF($I180="FTE", ev*hpw*w, ch))), IF(hrs="", "", hrs*hr))</f>
        <v/>
      </c>
      <c r="S180" s="13" t="n"/>
      <c r="T180" s="11">
        <f t="array" ref="T180">XLOOKUP(Scenario_Selected, INDEX(Scenario_Table,0,1), INDEX(Scenario_Table,0,2))</f>
        <v/>
      </c>
      <c r="U180" s="11">
        <f t="array" ref="U180">XLOOKUP(Scenario_Selected, INDEX(Scenario_Table,0,1), INDEX(Scenario_Table,0,3))</f>
        <v/>
      </c>
      <c r="V180" s="11">
        <f t="array" ref="V180">XLOOKUP(Scenario_Selected, INDEX(Scenario_Table,0,1), INDEX(Scenario_Table,0,4))</f>
        <v/>
      </c>
      <c r="W180" s="11">
        <f t="array" ref="W180">LET(ev,$J180, ch,$L180, et,$I180, dr,$Q180, hpday,Assumptions!$B$2, hpw,Assumptions!$B$3, w,$M180,hm,INDIRECT("R[0]C[0]",FALSE),hrs, IF(et="Hours", ev, IF(et="Days", ev*IF(dr&gt;0, dr/$P180, hpday), IF(et="FTE", ev*hpw*w, ch))), IF(hrs="", "", hrs*hm))</f>
        <v/>
      </c>
      <c r="X180" s="11">
        <f>IF($P180="","", $P180*INDIRECT("R[0]C[-3]",FALSE))</f>
        <v/>
      </c>
      <c r="Y180" s="11">
        <f>IF(INDIRECT("R[0]C[-1]",FALSE)="","", INDIRECT("R[0]C[-2]",FALSE)*INDIRECT("R[0]C[-1]",FALSE)*(1+INDIRECT("R[0]C[-3]",FALSE)))</f>
        <v/>
      </c>
      <c r="Z180" s="13" t="n"/>
    </row>
    <row r="181" ht="15.75" customHeight="1" s="74">
      <c r="A181" s="11" t="n">
        <v>181</v>
      </c>
      <c r="C181" s="11">
        <f t="array" ref="C181">IFERROR(INDEX(Milestones!$A:$A, MATCH($B181, Milestones!$B:$B, 0)), "")</f>
        <v/>
      </c>
      <c r="D181" s="11">
        <f t="array" ref="D181">IFERROR(INDEX(Milestones!$C:$C, MATCH($B181, Milestones!$B:$B, 0)), "")</f>
        <v/>
      </c>
      <c r="F181" s="11">
        <f t="array" ref="F181">IFERROR(INDEX(Milestones!$E:$E, MATCH($B181, Milestones!$B:$B, 0)), "")</f>
        <v/>
      </c>
      <c r="I181" s="11" t="n"/>
      <c r="J181" s="20" t="n"/>
      <c r="K181" s="11" t="n"/>
      <c r="L181" s="11">
        <f t="array" ref="L181">IF($K181="","", IFERROR(IFS($K181="Low", INDEX('Lookups - Complexity'!$C:$C, MATCH($B181, 'Lookups - Complexity'!$B:$B,0)), $K181="Medium", INDEX('Lookups - Complexity'!$D:$D, MATCH($B181, 'Lookups - Complexity'!$B:$B,0)), $K181="High", INDEX('Lookups - Complexity'!$E:$E, MATCH($B181, 'Lookups - Complexity'!$B:$B,0))), ""))</f>
        <v/>
      </c>
      <c r="M181" s="11">
        <f>IF($I181="FTE", Assumptions!$B$3, "")</f>
        <v/>
      </c>
      <c r="N181" s="11">
        <f t="array" ref="N181">IFERROR(INDEX(Milestones!$F:$F, MATCH($B181, Milestones!$B:$B, 0)), "")</f>
        <v/>
      </c>
      <c r="O181" s="11">
        <f t="array" ref="O181">IFERROR(INDEX(Milestones!$G:$G, MATCH($B181, Milestones!$B:$B, 0)), "")</f>
        <v/>
      </c>
      <c r="P181" s="11">
        <f t="array" ref="P181">IFERROR(INDEX('Lookups - Rates'!$D:$D, MATCH($G181&amp;"|"&amp;$H181, 'Lookups - Rates'!$Z:$Z, 0)), "")</f>
        <v/>
      </c>
      <c r="Q181" s="11">
        <f t="array" ref="Q181">IFERROR(INDEX('Lookups - Rates'!$E:$E, MATCH($G181&amp;"|"&amp;$H181, 'Lookups - Rates'!$Z:$Z, 0)), "")</f>
        <v/>
      </c>
      <c r="R181" s="11">
        <f>LET(ev,$J181, ch,$L181, hr,$P181, dr,$Q181, hpday,Assumptions!$B$2, hpw,Assumptions!$B$3, w,$M181, hrs, IF($I181="Hours", ev, IF($I181="Days", ev*IF(dr&gt;0, dr/hr, hpday), IF($I181="FTE", ev*hpw*w, ch))), IF(hrs="", "", hrs*hr))</f>
        <v/>
      </c>
      <c r="S181" s="13" t="n"/>
      <c r="T181" s="11">
        <f t="array" ref="T181">XLOOKUP(Scenario_Selected, INDEX(Scenario_Table,0,1), INDEX(Scenario_Table,0,2))</f>
        <v/>
      </c>
      <c r="U181" s="11">
        <f t="array" ref="U181">XLOOKUP(Scenario_Selected, INDEX(Scenario_Table,0,1), INDEX(Scenario_Table,0,3))</f>
        <v/>
      </c>
      <c r="V181" s="11">
        <f t="array" ref="V181">XLOOKUP(Scenario_Selected, INDEX(Scenario_Table,0,1), INDEX(Scenario_Table,0,4))</f>
        <v/>
      </c>
      <c r="W181" s="11">
        <f t="array" ref="W181">LET(ev,$J181, ch,$L181, et,$I181, dr,$Q181, hpday,Assumptions!$B$2, hpw,Assumptions!$B$3, w,$M181,hm,INDIRECT("R[0]C[0]",FALSE),hrs, IF(et="Hours", ev, IF(et="Days", ev*IF(dr&gt;0, dr/$P181, hpday), IF(et="FTE", ev*hpw*w, ch))), IF(hrs="", "", hrs*hm))</f>
        <v/>
      </c>
      <c r="X181" s="11">
        <f>IF($P181="","", $P181*INDIRECT("R[0]C[-3]",FALSE))</f>
        <v/>
      </c>
      <c r="Y181" s="11">
        <f>IF(INDIRECT("R[0]C[-1]",FALSE)="","", INDIRECT("R[0]C[-2]",FALSE)*INDIRECT("R[0]C[-1]",FALSE)*(1+INDIRECT("R[0]C[-3]",FALSE)))</f>
        <v/>
      </c>
      <c r="Z181" s="13" t="n"/>
    </row>
    <row r="182" ht="15.75" customHeight="1" s="74">
      <c r="A182" s="11" t="n">
        <v>182</v>
      </c>
      <c r="C182" s="11">
        <f t="array" ref="C182">IFERROR(INDEX(Milestones!$A:$A, MATCH($B182, Milestones!$B:$B, 0)), "")</f>
        <v/>
      </c>
      <c r="D182" s="11">
        <f t="array" ref="D182">IFERROR(INDEX(Milestones!$C:$C, MATCH($B182, Milestones!$B:$B, 0)), "")</f>
        <v/>
      </c>
      <c r="F182" s="11">
        <f t="array" ref="F182">IFERROR(INDEX(Milestones!$E:$E, MATCH($B182, Milestones!$B:$B, 0)), "")</f>
        <v/>
      </c>
      <c r="I182" s="11" t="n"/>
      <c r="J182" s="20" t="n"/>
      <c r="K182" s="11" t="n"/>
      <c r="L182" s="11">
        <f t="array" ref="L182">IF($K182="","", IFERROR(IFS($K182="Low", INDEX('Lookups - Complexity'!$C:$C, MATCH($B182, 'Lookups - Complexity'!$B:$B,0)), $K182="Medium", INDEX('Lookups - Complexity'!$D:$D, MATCH($B182, 'Lookups - Complexity'!$B:$B,0)), $K182="High", INDEX('Lookups - Complexity'!$E:$E, MATCH($B182, 'Lookups - Complexity'!$B:$B,0))), ""))</f>
        <v/>
      </c>
      <c r="M182" s="11">
        <f>IF($I182="FTE", Assumptions!$B$3, "")</f>
        <v/>
      </c>
      <c r="N182" s="11">
        <f t="array" ref="N182">IFERROR(INDEX(Milestones!$F:$F, MATCH($B182, Milestones!$B:$B, 0)), "")</f>
        <v/>
      </c>
      <c r="O182" s="11">
        <f t="array" ref="O182">IFERROR(INDEX(Milestones!$G:$G, MATCH($B182, Milestones!$B:$B, 0)), "")</f>
        <v/>
      </c>
      <c r="P182" s="11">
        <f t="array" ref="P182">IFERROR(INDEX('Lookups - Rates'!$D:$D, MATCH($G182&amp;"|"&amp;$H182, 'Lookups - Rates'!$Z:$Z, 0)), "")</f>
        <v/>
      </c>
      <c r="Q182" s="11">
        <f t="array" ref="Q182">IFERROR(INDEX('Lookups - Rates'!$E:$E, MATCH($G182&amp;"|"&amp;$H182, 'Lookups - Rates'!$Z:$Z, 0)), "")</f>
        <v/>
      </c>
      <c r="R182" s="11">
        <f>LET(ev,$J182, ch,$L182, hr,$P182, dr,$Q182, hpday,Assumptions!$B$2, hpw,Assumptions!$B$3, w,$M182, hrs, IF($I182="Hours", ev, IF($I182="Days", ev*IF(dr&gt;0, dr/hr, hpday), IF($I182="FTE", ev*hpw*w, ch))), IF(hrs="", "", hrs*hr))</f>
        <v/>
      </c>
      <c r="S182" s="13" t="n"/>
      <c r="T182" s="11">
        <f t="array" ref="T182">XLOOKUP(Scenario_Selected, INDEX(Scenario_Table,0,1), INDEX(Scenario_Table,0,2))</f>
        <v/>
      </c>
      <c r="U182" s="11">
        <f t="array" ref="U182">XLOOKUP(Scenario_Selected, INDEX(Scenario_Table,0,1), INDEX(Scenario_Table,0,3))</f>
        <v/>
      </c>
      <c r="V182" s="11">
        <f t="array" ref="V182">XLOOKUP(Scenario_Selected, INDEX(Scenario_Table,0,1), INDEX(Scenario_Table,0,4))</f>
        <v/>
      </c>
      <c r="W182" s="11">
        <f t="array" ref="W182">LET(ev,$J182, ch,$L182, et,$I182, dr,$Q182, hpday,Assumptions!$B$2, hpw,Assumptions!$B$3, w,$M182,hm,INDIRECT("R[0]C[0]",FALSE),hrs, IF(et="Hours", ev, IF(et="Days", ev*IF(dr&gt;0, dr/$P182, hpday), IF(et="FTE", ev*hpw*w, ch))), IF(hrs="", "", hrs*hm))</f>
        <v/>
      </c>
      <c r="X182" s="11">
        <f>IF($P182="","", $P182*INDIRECT("R[0]C[-3]",FALSE))</f>
        <v/>
      </c>
      <c r="Y182" s="11">
        <f>IF(INDIRECT("R[0]C[-1]",FALSE)="","", INDIRECT("R[0]C[-2]",FALSE)*INDIRECT("R[0]C[-1]",FALSE)*(1+INDIRECT("R[0]C[-3]",FALSE)))</f>
        <v/>
      </c>
      <c r="Z182" s="13" t="n"/>
    </row>
    <row r="183" ht="15.75" customHeight="1" s="74">
      <c r="A183" s="11" t="n">
        <v>183</v>
      </c>
      <c r="C183" s="11">
        <f t="array" ref="C183">IFERROR(INDEX(Milestones!$A:$A, MATCH($B183, Milestones!$B:$B, 0)), "")</f>
        <v/>
      </c>
      <c r="D183" s="11">
        <f t="array" ref="D183">IFERROR(INDEX(Milestones!$C:$C, MATCH($B183, Milestones!$B:$B, 0)), "")</f>
        <v/>
      </c>
      <c r="F183" s="11">
        <f t="array" ref="F183">IFERROR(INDEX(Milestones!$E:$E, MATCH($B183, Milestones!$B:$B, 0)), "")</f>
        <v/>
      </c>
      <c r="I183" s="11" t="n"/>
      <c r="J183" s="20" t="n"/>
      <c r="K183" s="11" t="n"/>
      <c r="L183" s="11">
        <f t="array" ref="L183">IF($K183="","", IFERROR(IFS($K183="Low", INDEX('Lookups - Complexity'!$C:$C, MATCH($B183, 'Lookups - Complexity'!$B:$B,0)), $K183="Medium", INDEX('Lookups - Complexity'!$D:$D, MATCH($B183, 'Lookups - Complexity'!$B:$B,0)), $K183="High", INDEX('Lookups - Complexity'!$E:$E, MATCH($B183, 'Lookups - Complexity'!$B:$B,0))), ""))</f>
        <v/>
      </c>
      <c r="M183" s="11">
        <f>IF($I183="FTE", Assumptions!$B$3, "")</f>
        <v/>
      </c>
      <c r="N183" s="11">
        <f t="array" ref="N183">IFERROR(INDEX(Milestones!$F:$F, MATCH($B183, Milestones!$B:$B, 0)), "")</f>
        <v/>
      </c>
      <c r="O183" s="11">
        <f t="array" ref="O183">IFERROR(INDEX(Milestones!$G:$G, MATCH($B183, Milestones!$B:$B, 0)), "")</f>
        <v/>
      </c>
      <c r="P183" s="11">
        <f t="array" ref="P183">IFERROR(INDEX('Lookups - Rates'!$D:$D, MATCH($G183&amp;"|"&amp;$H183, 'Lookups - Rates'!$Z:$Z, 0)), "")</f>
        <v/>
      </c>
      <c r="Q183" s="11">
        <f t="array" ref="Q183">IFERROR(INDEX('Lookups - Rates'!$E:$E, MATCH($G183&amp;"|"&amp;$H183, 'Lookups - Rates'!$Z:$Z, 0)), "")</f>
        <v/>
      </c>
      <c r="R183" s="11">
        <f>LET(ev,$J183, ch,$L183, hr,$P183, dr,$Q183, hpday,Assumptions!$B$2, hpw,Assumptions!$B$3, w,$M183, hrs, IF($I183="Hours", ev, IF($I183="Days", ev*IF(dr&gt;0, dr/hr, hpday), IF($I183="FTE", ev*hpw*w, ch))), IF(hrs="", "", hrs*hr))</f>
        <v/>
      </c>
      <c r="S183" s="13" t="n"/>
      <c r="T183" s="11">
        <f t="array" ref="T183">XLOOKUP(Scenario_Selected, INDEX(Scenario_Table,0,1), INDEX(Scenario_Table,0,2))</f>
        <v/>
      </c>
      <c r="U183" s="11">
        <f t="array" ref="U183">XLOOKUP(Scenario_Selected, INDEX(Scenario_Table,0,1), INDEX(Scenario_Table,0,3))</f>
        <v/>
      </c>
      <c r="V183" s="11">
        <f t="array" ref="V183">XLOOKUP(Scenario_Selected, INDEX(Scenario_Table,0,1), INDEX(Scenario_Table,0,4))</f>
        <v/>
      </c>
      <c r="W183" s="11">
        <f t="array" ref="W183">LET(ev,$J183, ch,$L183, et,$I183, dr,$Q183, hpday,Assumptions!$B$2, hpw,Assumptions!$B$3, w,$M183,hm,INDIRECT("R[0]C[0]",FALSE),hrs, IF(et="Hours", ev, IF(et="Days", ev*IF(dr&gt;0, dr/$P183, hpday), IF(et="FTE", ev*hpw*w, ch))), IF(hrs="", "", hrs*hm))</f>
        <v/>
      </c>
      <c r="X183" s="11">
        <f>IF($P183="","", $P183*INDIRECT("R[0]C[-3]",FALSE))</f>
        <v/>
      </c>
      <c r="Y183" s="11">
        <f>IF(INDIRECT("R[0]C[-1]",FALSE)="","", INDIRECT("R[0]C[-2]",FALSE)*INDIRECT("R[0]C[-1]",FALSE)*(1+INDIRECT("R[0]C[-3]",FALSE)))</f>
        <v/>
      </c>
      <c r="Z183" s="13" t="n"/>
    </row>
    <row r="184" ht="15.75" customHeight="1" s="74">
      <c r="A184" s="11" t="n">
        <v>184</v>
      </c>
      <c r="C184" s="11">
        <f t="array" ref="C184">IFERROR(INDEX(Milestones!$A:$A, MATCH($B184, Milestones!$B:$B, 0)), "")</f>
        <v/>
      </c>
      <c r="D184" s="11">
        <f t="array" ref="D184">IFERROR(INDEX(Milestones!$C:$C, MATCH($B184, Milestones!$B:$B, 0)), "")</f>
        <v/>
      </c>
      <c r="F184" s="11">
        <f t="array" ref="F184">IFERROR(INDEX(Milestones!$E:$E, MATCH($B184, Milestones!$B:$B, 0)), "")</f>
        <v/>
      </c>
      <c r="I184" s="11" t="n"/>
      <c r="J184" s="20" t="n"/>
      <c r="K184" s="11" t="n"/>
      <c r="L184" s="11">
        <f t="array" ref="L184">IF($K184="","", IFERROR(IFS($K184="Low", INDEX('Lookups - Complexity'!$C:$C, MATCH($B184, 'Lookups - Complexity'!$B:$B,0)), $K184="Medium", INDEX('Lookups - Complexity'!$D:$D, MATCH($B184, 'Lookups - Complexity'!$B:$B,0)), $K184="High", INDEX('Lookups - Complexity'!$E:$E, MATCH($B184, 'Lookups - Complexity'!$B:$B,0))), ""))</f>
        <v/>
      </c>
      <c r="M184" s="11">
        <f>IF($I184="FTE", Assumptions!$B$3, "")</f>
        <v/>
      </c>
      <c r="N184" s="11">
        <f t="array" ref="N184">IFERROR(INDEX(Milestones!$F:$F, MATCH($B184, Milestones!$B:$B, 0)), "")</f>
        <v/>
      </c>
      <c r="O184" s="11">
        <f t="array" ref="O184">IFERROR(INDEX(Milestones!$G:$G, MATCH($B184, Milestones!$B:$B, 0)), "")</f>
        <v/>
      </c>
      <c r="P184" s="11">
        <f t="array" ref="P184">IFERROR(INDEX('Lookups - Rates'!$D:$D, MATCH($G184&amp;"|"&amp;$H184, 'Lookups - Rates'!$Z:$Z, 0)), "")</f>
        <v/>
      </c>
      <c r="Q184" s="11">
        <f t="array" ref="Q184">IFERROR(INDEX('Lookups - Rates'!$E:$E, MATCH($G184&amp;"|"&amp;$H184, 'Lookups - Rates'!$Z:$Z, 0)), "")</f>
        <v/>
      </c>
      <c r="R184" s="11">
        <f>LET(ev,$J184, ch,$L184, hr,$P184, dr,$Q184, hpday,Assumptions!$B$2, hpw,Assumptions!$B$3, w,$M184, hrs, IF($I184="Hours", ev, IF($I184="Days", ev*IF(dr&gt;0, dr/hr, hpday), IF($I184="FTE", ev*hpw*w, ch))), IF(hrs="", "", hrs*hr))</f>
        <v/>
      </c>
      <c r="S184" s="13" t="n"/>
      <c r="T184" s="11">
        <f t="array" ref="T184">XLOOKUP(Scenario_Selected, INDEX(Scenario_Table,0,1), INDEX(Scenario_Table,0,2))</f>
        <v/>
      </c>
      <c r="U184" s="11">
        <f t="array" ref="U184">XLOOKUP(Scenario_Selected, INDEX(Scenario_Table,0,1), INDEX(Scenario_Table,0,3))</f>
        <v/>
      </c>
      <c r="V184" s="11">
        <f t="array" ref="V184">XLOOKUP(Scenario_Selected, INDEX(Scenario_Table,0,1), INDEX(Scenario_Table,0,4))</f>
        <v/>
      </c>
      <c r="W184" s="11">
        <f t="array" ref="W184">LET(ev,$J184, ch,$L184, et,$I184, dr,$Q184, hpday,Assumptions!$B$2, hpw,Assumptions!$B$3, w,$M184,hm,INDIRECT("R[0]C[0]",FALSE),hrs, IF(et="Hours", ev, IF(et="Days", ev*IF(dr&gt;0, dr/$P184, hpday), IF(et="FTE", ev*hpw*w, ch))), IF(hrs="", "", hrs*hm))</f>
        <v/>
      </c>
      <c r="X184" s="11">
        <f>IF($P184="","", $P184*INDIRECT("R[0]C[-3]",FALSE))</f>
        <v/>
      </c>
      <c r="Y184" s="11">
        <f>IF(INDIRECT("R[0]C[-1]",FALSE)="","", INDIRECT("R[0]C[-2]",FALSE)*INDIRECT("R[0]C[-1]",FALSE)*(1+INDIRECT("R[0]C[-3]",FALSE)))</f>
        <v/>
      </c>
      <c r="Z184" s="13" t="n"/>
    </row>
    <row r="185" ht="15.75" customHeight="1" s="74">
      <c r="A185" s="11" t="n">
        <v>185</v>
      </c>
      <c r="C185" s="11">
        <f t="array" ref="C185">IFERROR(INDEX(Milestones!$A:$A, MATCH($B185, Milestones!$B:$B, 0)), "")</f>
        <v/>
      </c>
      <c r="D185" s="11">
        <f t="array" ref="D185">IFERROR(INDEX(Milestones!$C:$C, MATCH($B185, Milestones!$B:$B, 0)), "")</f>
        <v/>
      </c>
      <c r="F185" s="11">
        <f t="array" ref="F185">IFERROR(INDEX(Milestones!$E:$E, MATCH($B185, Milestones!$B:$B, 0)), "")</f>
        <v/>
      </c>
      <c r="I185" s="11" t="n"/>
      <c r="J185" s="20" t="n"/>
      <c r="K185" s="11" t="n"/>
      <c r="L185" s="11">
        <f t="array" ref="L185">IF($K185="","", IFERROR(IFS($K185="Low", INDEX('Lookups - Complexity'!$C:$C, MATCH($B185, 'Lookups - Complexity'!$B:$B,0)), $K185="Medium", INDEX('Lookups - Complexity'!$D:$D, MATCH($B185, 'Lookups - Complexity'!$B:$B,0)), $K185="High", INDEX('Lookups - Complexity'!$E:$E, MATCH($B185, 'Lookups - Complexity'!$B:$B,0))), ""))</f>
        <v/>
      </c>
      <c r="M185" s="11">
        <f>IF($I185="FTE", Assumptions!$B$3, "")</f>
        <v/>
      </c>
      <c r="N185" s="11">
        <f t="array" ref="N185">IFERROR(INDEX(Milestones!$F:$F, MATCH($B185, Milestones!$B:$B, 0)), "")</f>
        <v/>
      </c>
      <c r="O185" s="11">
        <f t="array" ref="O185">IFERROR(INDEX(Milestones!$G:$G, MATCH($B185, Milestones!$B:$B, 0)), "")</f>
        <v/>
      </c>
      <c r="P185" s="11">
        <f t="array" ref="P185">IFERROR(INDEX('Lookups - Rates'!$D:$D, MATCH($G185&amp;"|"&amp;$H185, 'Lookups - Rates'!$Z:$Z, 0)), "")</f>
        <v/>
      </c>
      <c r="Q185" s="11">
        <f t="array" ref="Q185">IFERROR(INDEX('Lookups - Rates'!$E:$E, MATCH($G185&amp;"|"&amp;$H185, 'Lookups - Rates'!$Z:$Z, 0)), "")</f>
        <v/>
      </c>
      <c r="R185" s="11">
        <f>LET(ev,$J185, ch,$L185, hr,$P185, dr,$Q185, hpday,Assumptions!$B$2, hpw,Assumptions!$B$3, w,$M185, hrs, IF($I185="Hours", ev, IF($I185="Days", ev*IF(dr&gt;0, dr/hr, hpday), IF($I185="FTE", ev*hpw*w, ch))), IF(hrs="", "", hrs*hr))</f>
        <v/>
      </c>
      <c r="S185" s="13" t="n"/>
      <c r="T185" s="11">
        <f t="array" ref="T185">XLOOKUP(Scenario_Selected, INDEX(Scenario_Table,0,1), INDEX(Scenario_Table,0,2))</f>
        <v/>
      </c>
      <c r="U185" s="11">
        <f t="array" ref="U185">XLOOKUP(Scenario_Selected, INDEX(Scenario_Table,0,1), INDEX(Scenario_Table,0,3))</f>
        <v/>
      </c>
      <c r="V185" s="11">
        <f t="array" ref="V185">XLOOKUP(Scenario_Selected, INDEX(Scenario_Table,0,1), INDEX(Scenario_Table,0,4))</f>
        <v/>
      </c>
      <c r="W185" s="11">
        <f t="array" ref="W185">LET(ev,$J185, ch,$L185, et,$I185, dr,$Q185, hpday,Assumptions!$B$2, hpw,Assumptions!$B$3, w,$M185,hm,INDIRECT("R[0]C[0]",FALSE),hrs, IF(et="Hours", ev, IF(et="Days", ev*IF(dr&gt;0, dr/$P185, hpday), IF(et="FTE", ev*hpw*w, ch))), IF(hrs="", "", hrs*hm))</f>
        <v/>
      </c>
      <c r="X185" s="11">
        <f>IF($P185="","", $P185*INDIRECT("R[0]C[-3]",FALSE))</f>
        <v/>
      </c>
      <c r="Y185" s="11">
        <f>IF(INDIRECT("R[0]C[-1]",FALSE)="","", INDIRECT("R[0]C[-2]",FALSE)*INDIRECT("R[0]C[-1]",FALSE)*(1+INDIRECT("R[0]C[-3]",FALSE)))</f>
        <v/>
      </c>
      <c r="Z185" s="13" t="n"/>
    </row>
    <row r="186" ht="15.75" customHeight="1" s="74">
      <c r="A186" s="11" t="n">
        <v>186</v>
      </c>
      <c r="C186" s="11">
        <f t="array" ref="C186">IFERROR(INDEX(Milestones!$A:$A, MATCH($B186, Milestones!$B:$B, 0)), "")</f>
        <v/>
      </c>
      <c r="D186" s="11">
        <f t="array" ref="D186">IFERROR(INDEX(Milestones!$C:$C, MATCH($B186, Milestones!$B:$B, 0)), "")</f>
        <v/>
      </c>
      <c r="F186" s="11">
        <f t="array" ref="F186">IFERROR(INDEX(Milestones!$E:$E, MATCH($B186, Milestones!$B:$B, 0)), "")</f>
        <v/>
      </c>
      <c r="I186" s="11" t="n"/>
      <c r="J186" s="20" t="n"/>
      <c r="K186" s="11" t="n"/>
      <c r="L186" s="11">
        <f t="array" ref="L186">IF($K186="","", IFERROR(IFS($K186="Low", INDEX('Lookups - Complexity'!$C:$C, MATCH($B186, 'Lookups - Complexity'!$B:$B,0)), $K186="Medium", INDEX('Lookups - Complexity'!$D:$D, MATCH($B186, 'Lookups - Complexity'!$B:$B,0)), $K186="High", INDEX('Lookups - Complexity'!$E:$E, MATCH($B186, 'Lookups - Complexity'!$B:$B,0))), ""))</f>
        <v/>
      </c>
      <c r="M186" s="11">
        <f>IF($I186="FTE", Assumptions!$B$3, "")</f>
        <v/>
      </c>
      <c r="N186" s="11">
        <f t="array" ref="N186">IFERROR(INDEX(Milestones!$F:$F, MATCH($B186, Milestones!$B:$B, 0)), "")</f>
        <v/>
      </c>
      <c r="O186" s="11">
        <f t="array" ref="O186">IFERROR(INDEX(Milestones!$G:$G, MATCH($B186, Milestones!$B:$B, 0)), "")</f>
        <v/>
      </c>
      <c r="P186" s="11">
        <f t="array" ref="P186">IFERROR(INDEX('Lookups - Rates'!$D:$D, MATCH($G186&amp;"|"&amp;$H186, 'Lookups - Rates'!$Z:$Z, 0)), "")</f>
        <v/>
      </c>
      <c r="Q186" s="11">
        <f t="array" ref="Q186">IFERROR(INDEX('Lookups - Rates'!$E:$E, MATCH($G186&amp;"|"&amp;$H186, 'Lookups - Rates'!$Z:$Z, 0)), "")</f>
        <v/>
      </c>
      <c r="R186" s="11">
        <f>LET(ev,$J186, ch,$L186, hr,$P186, dr,$Q186, hpday,Assumptions!$B$2, hpw,Assumptions!$B$3, w,$M186, hrs, IF($I186="Hours", ev, IF($I186="Days", ev*IF(dr&gt;0, dr/hr, hpday), IF($I186="FTE", ev*hpw*w, ch))), IF(hrs="", "", hrs*hr))</f>
        <v/>
      </c>
      <c r="S186" s="13" t="n"/>
      <c r="T186" s="11">
        <f t="array" ref="T186">XLOOKUP(Scenario_Selected, INDEX(Scenario_Table,0,1), INDEX(Scenario_Table,0,2))</f>
        <v/>
      </c>
      <c r="U186" s="11">
        <f t="array" ref="U186">XLOOKUP(Scenario_Selected, INDEX(Scenario_Table,0,1), INDEX(Scenario_Table,0,3))</f>
        <v/>
      </c>
      <c r="V186" s="11">
        <f t="array" ref="V186">XLOOKUP(Scenario_Selected, INDEX(Scenario_Table,0,1), INDEX(Scenario_Table,0,4))</f>
        <v/>
      </c>
      <c r="W186" s="11">
        <f t="array" ref="W186">LET(ev,$J186, ch,$L186, et,$I186, dr,$Q186, hpday,Assumptions!$B$2, hpw,Assumptions!$B$3, w,$M186,hm,INDIRECT("R[0]C[0]",FALSE),hrs, IF(et="Hours", ev, IF(et="Days", ev*IF(dr&gt;0, dr/$P186, hpday), IF(et="FTE", ev*hpw*w, ch))), IF(hrs="", "", hrs*hm))</f>
        <v/>
      </c>
      <c r="X186" s="11">
        <f>IF($P186="","", $P186*INDIRECT("R[0]C[-3]",FALSE))</f>
        <v/>
      </c>
      <c r="Y186" s="11">
        <f>IF(INDIRECT("R[0]C[-1]",FALSE)="","", INDIRECT("R[0]C[-2]",FALSE)*INDIRECT("R[0]C[-1]",FALSE)*(1+INDIRECT("R[0]C[-3]",FALSE)))</f>
        <v/>
      </c>
      <c r="Z186" s="13" t="n"/>
    </row>
    <row r="187" ht="15.75" customHeight="1" s="74">
      <c r="A187" s="11" t="n">
        <v>187</v>
      </c>
      <c r="C187" s="11">
        <f t="array" ref="C187">IFERROR(INDEX(Milestones!$A:$A, MATCH($B187, Milestones!$B:$B, 0)), "")</f>
        <v/>
      </c>
      <c r="D187" s="11">
        <f t="array" ref="D187">IFERROR(INDEX(Milestones!$C:$C, MATCH($B187, Milestones!$B:$B, 0)), "")</f>
        <v/>
      </c>
      <c r="F187" s="11">
        <f t="array" ref="F187">IFERROR(INDEX(Milestones!$E:$E, MATCH($B187, Milestones!$B:$B, 0)), "")</f>
        <v/>
      </c>
      <c r="I187" s="11" t="n"/>
      <c r="J187" s="20" t="n"/>
      <c r="K187" s="11" t="n"/>
      <c r="L187" s="11">
        <f t="array" ref="L187">IF($K187="","", IFERROR(IFS($K187="Low", INDEX('Lookups - Complexity'!$C:$C, MATCH($B187, 'Lookups - Complexity'!$B:$B,0)), $K187="Medium", INDEX('Lookups - Complexity'!$D:$D, MATCH($B187, 'Lookups - Complexity'!$B:$B,0)), $K187="High", INDEX('Lookups - Complexity'!$E:$E, MATCH($B187, 'Lookups - Complexity'!$B:$B,0))), ""))</f>
        <v/>
      </c>
      <c r="M187" s="11">
        <f>IF($I187="FTE", Assumptions!$B$3, "")</f>
        <v/>
      </c>
      <c r="N187" s="11">
        <f t="array" ref="N187">IFERROR(INDEX(Milestones!$F:$F, MATCH($B187, Milestones!$B:$B, 0)), "")</f>
        <v/>
      </c>
      <c r="O187" s="11">
        <f t="array" ref="O187">IFERROR(INDEX(Milestones!$G:$G, MATCH($B187, Milestones!$B:$B, 0)), "")</f>
        <v/>
      </c>
      <c r="P187" s="11">
        <f t="array" ref="P187">IFERROR(INDEX('Lookups - Rates'!$D:$D, MATCH($G187&amp;"|"&amp;$H187, 'Lookups - Rates'!$Z:$Z, 0)), "")</f>
        <v/>
      </c>
      <c r="Q187" s="11">
        <f t="array" ref="Q187">IFERROR(INDEX('Lookups - Rates'!$E:$E, MATCH($G187&amp;"|"&amp;$H187, 'Lookups - Rates'!$Z:$Z, 0)), "")</f>
        <v/>
      </c>
      <c r="R187" s="11">
        <f>LET(ev,$J187, ch,$L187, hr,$P187, dr,$Q187, hpday,Assumptions!$B$2, hpw,Assumptions!$B$3, w,$M187, hrs, IF($I187="Hours", ev, IF($I187="Days", ev*IF(dr&gt;0, dr/hr, hpday), IF($I187="FTE", ev*hpw*w, ch))), IF(hrs="", "", hrs*hr))</f>
        <v/>
      </c>
      <c r="S187" s="13" t="n"/>
      <c r="T187" s="11">
        <f t="array" ref="T187">XLOOKUP(Scenario_Selected, INDEX(Scenario_Table,0,1), INDEX(Scenario_Table,0,2))</f>
        <v/>
      </c>
      <c r="U187" s="11">
        <f t="array" ref="U187">XLOOKUP(Scenario_Selected, INDEX(Scenario_Table,0,1), INDEX(Scenario_Table,0,3))</f>
        <v/>
      </c>
      <c r="V187" s="11">
        <f t="array" ref="V187">XLOOKUP(Scenario_Selected, INDEX(Scenario_Table,0,1), INDEX(Scenario_Table,0,4))</f>
        <v/>
      </c>
      <c r="W187" s="11">
        <f t="array" ref="W187">LET(ev,$J187, ch,$L187, et,$I187, dr,$Q187, hpday,Assumptions!$B$2, hpw,Assumptions!$B$3, w,$M187,hm,INDIRECT("R[0]C[0]",FALSE),hrs, IF(et="Hours", ev, IF(et="Days", ev*IF(dr&gt;0, dr/$P187, hpday), IF(et="FTE", ev*hpw*w, ch))), IF(hrs="", "", hrs*hm))</f>
        <v/>
      </c>
      <c r="X187" s="11">
        <f>IF($P187="","", $P187*INDIRECT("R[0]C[-3]",FALSE))</f>
        <v/>
      </c>
      <c r="Y187" s="11">
        <f>IF(INDIRECT("R[0]C[-1]",FALSE)="","", INDIRECT("R[0]C[-2]",FALSE)*INDIRECT("R[0]C[-1]",FALSE)*(1+INDIRECT("R[0]C[-3]",FALSE)))</f>
        <v/>
      </c>
      <c r="Z187" s="13" t="n"/>
    </row>
    <row r="188" ht="15.75" customHeight="1" s="74">
      <c r="A188" s="11" t="n">
        <v>188</v>
      </c>
      <c r="C188" s="11">
        <f t="array" ref="C188">IFERROR(INDEX(Milestones!$A:$A, MATCH($B188, Milestones!$B:$B, 0)), "")</f>
        <v/>
      </c>
      <c r="D188" s="11">
        <f t="array" ref="D188">IFERROR(INDEX(Milestones!$C:$C, MATCH($B188, Milestones!$B:$B, 0)), "")</f>
        <v/>
      </c>
      <c r="F188" s="11">
        <f t="array" ref="F188">IFERROR(INDEX(Milestones!$E:$E, MATCH($B188, Milestones!$B:$B, 0)), "")</f>
        <v/>
      </c>
      <c r="I188" s="11" t="n"/>
      <c r="J188" s="20" t="n"/>
      <c r="K188" s="11" t="n"/>
      <c r="L188" s="11">
        <f t="array" ref="L188">IF($K188="","", IFERROR(IFS($K188="Low", INDEX('Lookups - Complexity'!$C:$C, MATCH($B188, 'Lookups - Complexity'!$B:$B,0)), $K188="Medium", INDEX('Lookups - Complexity'!$D:$D, MATCH($B188, 'Lookups - Complexity'!$B:$B,0)), $K188="High", INDEX('Lookups - Complexity'!$E:$E, MATCH($B188, 'Lookups - Complexity'!$B:$B,0))), ""))</f>
        <v/>
      </c>
      <c r="M188" s="11">
        <f>IF($I188="FTE", Assumptions!$B$3, "")</f>
        <v/>
      </c>
      <c r="N188" s="11">
        <f t="array" ref="N188">IFERROR(INDEX(Milestones!$F:$F, MATCH($B188, Milestones!$B:$B, 0)), "")</f>
        <v/>
      </c>
      <c r="O188" s="11">
        <f t="array" ref="O188">IFERROR(INDEX(Milestones!$G:$G, MATCH($B188, Milestones!$B:$B, 0)), "")</f>
        <v/>
      </c>
      <c r="P188" s="11">
        <f t="array" ref="P188">IFERROR(INDEX('Lookups - Rates'!$D:$D, MATCH($G188&amp;"|"&amp;$H188, 'Lookups - Rates'!$Z:$Z, 0)), "")</f>
        <v/>
      </c>
      <c r="Q188" s="11">
        <f t="array" ref="Q188">IFERROR(INDEX('Lookups - Rates'!$E:$E, MATCH($G188&amp;"|"&amp;$H188, 'Lookups - Rates'!$Z:$Z, 0)), "")</f>
        <v/>
      </c>
      <c r="R188" s="11">
        <f>LET(ev,$J188, ch,$L188, hr,$P188, dr,$Q188, hpday,Assumptions!$B$2, hpw,Assumptions!$B$3, w,$M188, hrs, IF($I188="Hours", ev, IF($I188="Days", ev*IF(dr&gt;0, dr/hr, hpday), IF($I188="FTE", ev*hpw*w, ch))), IF(hrs="", "", hrs*hr))</f>
        <v/>
      </c>
      <c r="S188" s="13" t="n"/>
      <c r="T188" s="11">
        <f t="array" ref="T188">XLOOKUP(Scenario_Selected, INDEX(Scenario_Table,0,1), INDEX(Scenario_Table,0,2))</f>
        <v/>
      </c>
      <c r="U188" s="11">
        <f t="array" ref="U188">XLOOKUP(Scenario_Selected, INDEX(Scenario_Table,0,1), INDEX(Scenario_Table,0,3))</f>
        <v/>
      </c>
      <c r="V188" s="11">
        <f t="array" ref="V188">XLOOKUP(Scenario_Selected, INDEX(Scenario_Table,0,1), INDEX(Scenario_Table,0,4))</f>
        <v/>
      </c>
      <c r="W188" s="11">
        <f t="array" ref="W188">LET(ev,$J188, ch,$L188, et,$I188, dr,$Q188, hpday,Assumptions!$B$2, hpw,Assumptions!$B$3, w,$M188,hm,INDIRECT("R[0]C[0]",FALSE),hrs, IF(et="Hours", ev, IF(et="Days", ev*IF(dr&gt;0, dr/$P188, hpday), IF(et="FTE", ev*hpw*w, ch))), IF(hrs="", "", hrs*hm))</f>
        <v/>
      </c>
      <c r="X188" s="11">
        <f>IF($P188="","", $P188*INDIRECT("R[0]C[-3]",FALSE))</f>
        <v/>
      </c>
      <c r="Y188" s="11">
        <f>IF(INDIRECT("R[0]C[-1]",FALSE)="","", INDIRECT("R[0]C[-2]",FALSE)*INDIRECT("R[0]C[-1]",FALSE)*(1+INDIRECT("R[0]C[-3]",FALSE)))</f>
        <v/>
      </c>
      <c r="Z188" s="13" t="n"/>
    </row>
    <row r="189" ht="15.75" customHeight="1" s="74">
      <c r="A189" s="11" t="n">
        <v>189</v>
      </c>
      <c r="C189" s="11">
        <f t="array" ref="C189">IFERROR(INDEX(Milestones!$A:$A, MATCH($B189, Milestones!$B:$B, 0)), "")</f>
        <v/>
      </c>
      <c r="D189" s="11">
        <f t="array" ref="D189">IFERROR(INDEX(Milestones!$C:$C, MATCH($B189, Milestones!$B:$B, 0)), "")</f>
        <v/>
      </c>
      <c r="F189" s="11">
        <f t="array" ref="F189">IFERROR(INDEX(Milestones!$E:$E, MATCH($B189, Milestones!$B:$B, 0)), "")</f>
        <v/>
      </c>
      <c r="I189" s="11" t="n"/>
      <c r="J189" s="20" t="n"/>
      <c r="K189" s="11" t="n"/>
      <c r="L189" s="11">
        <f t="array" ref="L189">IF($K189="","", IFERROR(IFS($K189="Low", INDEX('Lookups - Complexity'!$C:$C, MATCH($B189, 'Lookups - Complexity'!$B:$B,0)), $K189="Medium", INDEX('Lookups - Complexity'!$D:$D, MATCH($B189, 'Lookups - Complexity'!$B:$B,0)), $K189="High", INDEX('Lookups - Complexity'!$E:$E, MATCH($B189, 'Lookups - Complexity'!$B:$B,0))), ""))</f>
        <v/>
      </c>
      <c r="M189" s="11">
        <f>IF($I189="FTE", Assumptions!$B$3, "")</f>
        <v/>
      </c>
      <c r="N189" s="11">
        <f t="array" ref="N189">IFERROR(INDEX(Milestones!$F:$F, MATCH($B189, Milestones!$B:$B, 0)), "")</f>
        <v/>
      </c>
      <c r="O189" s="11">
        <f t="array" ref="O189">IFERROR(INDEX(Milestones!$G:$G, MATCH($B189, Milestones!$B:$B, 0)), "")</f>
        <v/>
      </c>
      <c r="P189" s="11">
        <f t="array" ref="P189">IFERROR(INDEX('Lookups - Rates'!$D:$D, MATCH($G189&amp;"|"&amp;$H189, 'Lookups - Rates'!$Z:$Z, 0)), "")</f>
        <v/>
      </c>
      <c r="Q189" s="11">
        <f t="array" ref="Q189">IFERROR(INDEX('Lookups - Rates'!$E:$E, MATCH($G189&amp;"|"&amp;$H189, 'Lookups - Rates'!$Z:$Z, 0)), "")</f>
        <v/>
      </c>
      <c r="R189" s="11">
        <f>LET(ev,$J189, ch,$L189, hr,$P189, dr,$Q189, hpday,Assumptions!$B$2, hpw,Assumptions!$B$3, w,$M189, hrs, IF($I189="Hours", ev, IF($I189="Days", ev*IF(dr&gt;0, dr/hr, hpday), IF($I189="FTE", ev*hpw*w, ch))), IF(hrs="", "", hrs*hr))</f>
        <v/>
      </c>
      <c r="S189" s="13" t="n"/>
      <c r="T189" s="11">
        <f t="array" ref="T189">XLOOKUP(Scenario_Selected, INDEX(Scenario_Table,0,1), INDEX(Scenario_Table,0,2))</f>
        <v/>
      </c>
      <c r="U189" s="11">
        <f t="array" ref="U189">XLOOKUP(Scenario_Selected, INDEX(Scenario_Table,0,1), INDEX(Scenario_Table,0,3))</f>
        <v/>
      </c>
      <c r="V189" s="11">
        <f t="array" ref="V189">XLOOKUP(Scenario_Selected, INDEX(Scenario_Table,0,1), INDEX(Scenario_Table,0,4))</f>
        <v/>
      </c>
      <c r="W189" s="11">
        <f t="array" ref="W189">LET(ev,$J189, ch,$L189, et,$I189, dr,$Q189, hpday,Assumptions!$B$2, hpw,Assumptions!$B$3, w,$M189,hm,INDIRECT("R[0]C[0]",FALSE),hrs, IF(et="Hours", ev, IF(et="Days", ev*IF(dr&gt;0, dr/$P189, hpday), IF(et="FTE", ev*hpw*w, ch))), IF(hrs="", "", hrs*hm))</f>
        <v/>
      </c>
      <c r="X189" s="11">
        <f>IF($P189="","", $P189*INDIRECT("R[0]C[-3]",FALSE))</f>
        <v/>
      </c>
      <c r="Y189" s="11">
        <f>IF(INDIRECT("R[0]C[-1]",FALSE)="","", INDIRECT("R[0]C[-2]",FALSE)*INDIRECT("R[0]C[-1]",FALSE)*(1+INDIRECT("R[0]C[-3]",FALSE)))</f>
        <v/>
      </c>
      <c r="Z189" s="13" t="n"/>
    </row>
    <row r="190" ht="15.75" customHeight="1" s="74">
      <c r="A190" s="11" t="n">
        <v>190</v>
      </c>
      <c r="C190" s="11">
        <f t="array" ref="C190">IFERROR(INDEX(Milestones!$A:$A, MATCH($B190, Milestones!$B:$B, 0)), "")</f>
        <v/>
      </c>
      <c r="D190" s="11">
        <f t="array" ref="D190">IFERROR(INDEX(Milestones!$C:$C, MATCH($B190, Milestones!$B:$B, 0)), "")</f>
        <v/>
      </c>
      <c r="F190" s="11">
        <f t="array" ref="F190">IFERROR(INDEX(Milestones!$E:$E, MATCH($B190, Milestones!$B:$B, 0)), "")</f>
        <v/>
      </c>
      <c r="I190" s="11" t="n"/>
      <c r="J190" s="20" t="n"/>
      <c r="K190" s="11" t="n"/>
      <c r="L190" s="11">
        <f t="array" ref="L190">IF($K190="","", IFERROR(IFS($K190="Low", INDEX('Lookups - Complexity'!$C:$C, MATCH($B190, 'Lookups - Complexity'!$B:$B,0)), $K190="Medium", INDEX('Lookups - Complexity'!$D:$D, MATCH($B190, 'Lookups - Complexity'!$B:$B,0)), $K190="High", INDEX('Lookups - Complexity'!$E:$E, MATCH($B190, 'Lookups - Complexity'!$B:$B,0))), ""))</f>
        <v/>
      </c>
      <c r="M190" s="11">
        <f>IF($I190="FTE", Assumptions!$B$3, "")</f>
        <v/>
      </c>
      <c r="N190" s="11">
        <f t="array" ref="N190">IFERROR(INDEX(Milestones!$F:$F, MATCH($B190, Milestones!$B:$B, 0)), "")</f>
        <v/>
      </c>
      <c r="O190" s="11">
        <f t="array" ref="O190">IFERROR(INDEX(Milestones!$G:$G, MATCH($B190, Milestones!$B:$B, 0)), "")</f>
        <v/>
      </c>
      <c r="P190" s="11">
        <f t="array" ref="P190">IFERROR(INDEX('Lookups - Rates'!$D:$D, MATCH($G190&amp;"|"&amp;$H190, 'Lookups - Rates'!$Z:$Z, 0)), "")</f>
        <v/>
      </c>
      <c r="Q190" s="11">
        <f t="array" ref="Q190">IFERROR(INDEX('Lookups - Rates'!$E:$E, MATCH($G190&amp;"|"&amp;$H190, 'Lookups - Rates'!$Z:$Z, 0)), "")</f>
        <v/>
      </c>
      <c r="R190" s="11">
        <f>LET(ev,$J190, ch,$L190, hr,$P190, dr,$Q190, hpday,Assumptions!$B$2, hpw,Assumptions!$B$3, w,$M190, hrs, IF($I190="Hours", ev, IF($I190="Days", ev*IF(dr&gt;0, dr/hr, hpday), IF($I190="FTE", ev*hpw*w, ch))), IF(hrs="", "", hrs*hr))</f>
        <v/>
      </c>
      <c r="S190" s="13" t="n"/>
      <c r="T190" s="11">
        <f t="array" ref="T190">XLOOKUP(Scenario_Selected, INDEX(Scenario_Table,0,1), INDEX(Scenario_Table,0,2))</f>
        <v/>
      </c>
      <c r="U190" s="11">
        <f t="array" ref="U190">XLOOKUP(Scenario_Selected, INDEX(Scenario_Table,0,1), INDEX(Scenario_Table,0,3))</f>
        <v/>
      </c>
      <c r="V190" s="11">
        <f t="array" ref="V190">XLOOKUP(Scenario_Selected, INDEX(Scenario_Table,0,1), INDEX(Scenario_Table,0,4))</f>
        <v/>
      </c>
      <c r="W190" s="11">
        <f t="array" ref="W190">LET(ev,$J190, ch,$L190, et,$I190, dr,$Q190, hpday,Assumptions!$B$2, hpw,Assumptions!$B$3, w,$M190,hm,INDIRECT("R[0]C[0]",FALSE),hrs, IF(et="Hours", ev, IF(et="Days", ev*IF(dr&gt;0, dr/$P190, hpday), IF(et="FTE", ev*hpw*w, ch))), IF(hrs="", "", hrs*hm))</f>
        <v/>
      </c>
      <c r="X190" s="11">
        <f>IF($P190="","", $P190*INDIRECT("R[0]C[-3]",FALSE))</f>
        <v/>
      </c>
      <c r="Y190" s="11">
        <f>IF(INDIRECT("R[0]C[-1]",FALSE)="","", INDIRECT("R[0]C[-2]",FALSE)*INDIRECT("R[0]C[-1]",FALSE)*(1+INDIRECT("R[0]C[-3]",FALSE)))</f>
        <v/>
      </c>
      <c r="Z190" s="13" t="n"/>
    </row>
    <row r="191" ht="15.75" customHeight="1" s="74">
      <c r="A191" s="11" t="n">
        <v>191</v>
      </c>
      <c r="C191" s="11">
        <f t="array" ref="C191">IFERROR(INDEX(Milestones!$A:$A, MATCH($B191, Milestones!$B:$B, 0)), "")</f>
        <v/>
      </c>
      <c r="D191" s="11">
        <f t="array" ref="D191">IFERROR(INDEX(Milestones!$C:$C, MATCH($B191, Milestones!$B:$B, 0)), "")</f>
        <v/>
      </c>
      <c r="F191" s="11">
        <f t="array" ref="F191">IFERROR(INDEX(Milestones!$E:$E, MATCH($B191, Milestones!$B:$B, 0)), "")</f>
        <v/>
      </c>
      <c r="I191" s="11" t="n"/>
      <c r="J191" s="20" t="n"/>
      <c r="K191" s="11" t="n"/>
      <c r="L191" s="11">
        <f t="array" ref="L191">IF($K191="","", IFERROR(IFS($K191="Low", INDEX('Lookups - Complexity'!$C:$C, MATCH($B191, 'Lookups - Complexity'!$B:$B,0)), $K191="Medium", INDEX('Lookups - Complexity'!$D:$D, MATCH($B191, 'Lookups - Complexity'!$B:$B,0)), $K191="High", INDEX('Lookups - Complexity'!$E:$E, MATCH($B191, 'Lookups - Complexity'!$B:$B,0))), ""))</f>
        <v/>
      </c>
      <c r="M191" s="11">
        <f>IF($I191="FTE", Assumptions!$B$3, "")</f>
        <v/>
      </c>
      <c r="N191" s="11">
        <f t="array" ref="N191">IFERROR(INDEX(Milestones!$F:$F, MATCH($B191, Milestones!$B:$B, 0)), "")</f>
        <v/>
      </c>
      <c r="O191" s="11">
        <f t="array" ref="O191">IFERROR(INDEX(Milestones!$G:$G, MATCH($B191, Milestones!$B:$B, 0)), "")</f>
        <v/>
      </c>
      <c r="P191" s="11">
        <f t="array" ref="P191">IFERROR(INDEX('Lookups - Rates'!$D:$D, MATCH($G191&amp;"|"&amp;$H191, 'Lookups - Rates'!$Z:$Z, 0)), "")</f>
        <v/>
      </c>
      <c r="Q191" s="11">
        <f t="array" ref="Q191">IFERROR(INDEX('Lookups - Rates'!$E:$E, MATCH($G191&amp;"|"&amp;$H191, 'Lookups - Rates'!$Z:$Z, 0)), "")</f>
        <v/>
      </c>
      <c r="R191" s="11">
        <f>LET(ev,$J191, ch,$L191, hr,$P191, dr,$Q191, hpday,Assumptions!$B$2, hpw,Assumptions!$B$3, w,$M191, hrs, IF($I191="Hours", ev, IF($I191="Days", ev*IF(dr&gt;0, dr/hr, hpday), IF($I191="FTE", ev*hpw*w, ch))), IF(hrs="", "", hrs*hr))</f>
        <v/>
      </c>
      <c r="S191" s="13" t="n"/>
      <c r="T191" s="11">
        <f t="array" ref="T191">XLOOKUP(Scenario_Selected, INDEX(Scenario_Table,0,1), INDEX(Scenario_Table,0,2))</f>
        <v/>
      </c>
      <c r="U191" s="11">
        <f t="array" ref="U191">XLOOKUP(Scenario_Selected, INDEX(Scenario_Table,0,1), INDEX(Scenario_Table,0,3))</f>
        <v/>
      </c>
      <c r="V191" s="11">
        <f t="array" ref="V191">XLOOKUP(Scenario_Selected, INDEX(Scenario_Table,0,1), INDEX(Scenario_Table,0,4))</f>
        <v/>
      </c>
      <c r="W191" s="11">
        <f t="array" ref="W191">LET(ev,$J191, ch,$L191, et,$I191, dr,$Q191, hpday,Assumptions!$B$2, hpw,Assumptions!$B$3, w,$M191,hm,INDIRECT("R[0]C[0]",FALSE),hrs, IF(et="Hours", ev, IF(et="Days", ev*IF(dr&gt;0, dr/$P191, hpday), IF(et="FTE", ev*hpw*w, ch))), IF(hrs="", "", hrs*hm))</f>
        <v/>
      </c>
      <c r="X191" s="11">
        <f>IF($P191="","", $P191*INDIRECT("R[0]C[-3]",FALSE))</f>
        <v/>
      </c>
      <c r="Y191" s="11">
        <f>IF(INDIRECT("R[0]C[-1]",FALSE)="","", INDIRECT("R[0]C[-2]",FALSE)*INDIRECT("R[0]C[-1]",FALSE)*(1+INDIRECT("R[0]C[-3]",FALSE)))</f>
        <v/>
      </c>
      <c r="Z191" s="13" t="n"/>
    </row>
    <row r="192" ht="15.75" customHeight="1" s="74">
      <c r="A192" s="11" t="n">
        <v>192</v>
      </c>
      <c r="C192" s="11">
        <f t="array" ref="C192">IFERROR(INDEX(Milestones!$A:$A, MATCH($B192, Milestones!$B:$B, 0)), "")</f>
        <v/>
      </c>
      <c r="D192" s="11">
        <f t="array" ref="D192">IFERROR(INDEX(Milestones!$C:$C, MATCH($B192, Milestones!$B:$B, 0)), "")</f>
        <v/>
      </c>
      <c r="F192" s="11">
        <f t="array" ref="F192">IFERROR(INDEX(Milestones!$E:$E, MATCH($B192, Milestones!$B:$B, 0)), "")</f>
        <v/>
      </c>
      <c r="I192" s="11" t="n"/>
      <c r="J192" s="20" t="n"/>
      <c r="K192" s="11" t="n"/>
      <c r="L192" s="11">
        <f t="array" ref="L192">IF($K192="","", IFERROR(IFS($K192="Low", INDEX('Lookups - Complexity'!$C:$C, MATCH($B192, 'Lookups - Complexity'!$B:$B,0)), $K192="Medium", INDEX('Lookups - Complexity'!$D:$D, MATCH($B192, 'Lookups - Complexity'!$B:$B,0)), $K192="High", INDEX('Lookups - Complexity'!$E:$E, MATCH($B192, 'Lookups - Complexity'!$B:$B,0))), ""))</f>
        <v/>
      </c>
      <c r="M192" s="11">
        <f>IF($I192="FTE", Assumptions!$B$3, "")</f>
        <v/>
      </c>
      <c r="N192" s="11">
        <f t="array" ref="N192">IFERROR(INDEX(Milestones!$F:$F, MATCH($B192, Milestones!$B:$B, 0)), "")</f>
        <v/>
      </c>
      <c r="O192" s="11">
        <f t="array" ref="O192">IFERROR(INDEX(Milestones!$G:$G, MATCH($B192, Milestones!$B:$B, 0)), "")</f>
        <v/>
      </c>
      <c r="P192" s="11">
        <f t="array" ref="P192">IFERROR(INDEX('Lookups - Rates'!$D:$D, MATCH($G192&amp;"|"&amp;$H192, 'Lookups - Rates'!$Z:$Z, 0)), "")</f>
        <v/>
      </c>
      <c r="Q192" s="11">
        <f t="array" ref="Q192">IFERROR(INDEX('Lookups - Rates'!$E:$E, MATCH($G192&amp;"|"&amp;$H192, 'Lookups - Rates'!$Z:$Z, 0)), "")</f>
        <v/>
      </c>
      <c r="R192" s="11">
        <f>LET(ev,$J192, ch,$L192, hr,$P192, dr,$Q192, hpday,Assumptions!$B$2, hpw,Assumptions!$B$3, w,$M192, hrs, IF($I192="Hours", ev, IF($I192="Days", ev*IF(dr&gt;0, dr/hr, hpday), IF($I192="FTE", ev*hpw*w, ch))), IF(hrs="", "", hrs*hr))</f>
        <v/>
      </c>
      <c r="S192" s="13" t="n"/>
      <c r="T192" s="11">
        <f t="array" ref="T192">XLOOKUP(Scenario_Selected, INDEX(Scenario_Table,0,1), INDEX(Scenario_Table,0,2))</f>
        <v/>
      </c>
      <c r="U192" s="11">
        <f t="array" ref="U192">XLOOKUP(Scenario_Selected, INDEX(Scenario_Table,0,1), INDEX(Scenario_Table,0,3))</f>
        <v/>
      </c>
      <c r="V192" s="11">
        <f t="array" ref="V192">XLOOKUP(Scenario_Selected, INDEX(Scenario_Table,0,1), INDEX(Scenario_Table,0,4))</f>
        <v/>
      </c>
      <c r="W192" s="11">
        <f t="array" ref="W192">LET(ev,$J192, ch,$L192, et,$I192, dr,$Q192, hpday,Assumptions!$B$2, hpw,Assumptions!$B$3, w,$M192,hm,INDIRECT("R[0]C[0]",FALSE),hrs, IF(et="Hours", ev, IF(et="Days", ev*IF(dr&gt;0, dr/$P192, hpday), IF(et="FTE", ev*hpw*w, ch))), IF(hrs="", "", hrs*hm))</f>
        <v/>
      </c>
      <c r="X192" s="11">
        <f>IF($P192="","", $P192*INDIRECT("R[0]C[-3]",FALSE))</f>
        <v/>
      </c>
      <c r="Y192" s="11">
        <f>IF(INDIRECT("R[0]C[-1]",FALSE)="","", INDIRECT("R[0]C[-2]",FALSE)*INDIRECT("R[0]C[-1]",FALSE)*(1+INDIRECT("R[0]C[-3]",FALSE)))</f>
        <v/>
      </c>
      <c r="Z192" s="13" t="n"/>
    </row>
    <row r="193" ht="15.75" customHeight="1" s="74">
      <c r="A193" s="11" t="n">
        <v>193</v>
      </c>
      <c r="C193" s="11">
        <f t="array" ref="C193">IFERROR(INDEX(Milestones!$A:$A, MATCH($B193, Milestones!$B:$B, 0)), "")</f>
        <v/>
      </c>
      <c r="D193" s="11">
        <f t="array" ref="D193">IFERROR(INDEX(Milestones!$C:$C, MATCH($B193, Milestones!$B:$B, 0)), "")</f>
        <v/>
      </c>
      <c r="F193" s="11">
        <f t="array" ref="F193">IFERROR(INDEX(Milestones!$E:$E, MATCH($B193, Milestones!$B:$B, 0)), "")</f>
        <v/>
      </c>
      <c r="I193" s="11" t="n"/>
      <c r="J193" s="20" t="n"/>
      <c r="K193" s="11" t="n"/>
      <c r="L193" s="11">
        <f t="array" ref="L193">IF($K193="","", IFERROR(IFS($K193="Low", INDEX('Lookups - Complexity'!$C:$C, MATCH($B193, 'Lookups - Complexity'!$B:$B,0)), $K193="Medium", INDEX('Lookups - Complexity'!$D:$D, MATCH($B193, 'Lookups - Complexity'!$B:$B,0)), $K193="High", INDEX('Lookups - Complexity'!$E:$E, MATCH($B193, 'Lookups - Complexity'!$B:$B,0))), ""))</f>
        <v/>
      </c>
      <c r="M193" s="11">
        <f>IF($I193="FTE", Assumptions!$B$3, "")</f>
        <v/>
      </c>
      <c r="N193" s="11">
        <f t="array" ref="N193">IFERROR(INDEX(Milestones!$F:$F, MATCH($B193, Milestones!$B:$B, 0)), "")</f>
        <v/>
      </c>
      <c r="O193" s="11">
        <f t="array" ref="O193">IFERROR(INDEX(Milestones!$G:$G, MATCH($B193, Milestones!$B:$B, 0)), "")</f>
        <v/>
      </c>
      <c r="P193" s="11">
        <f t="array" ref="P193">IFERROR(INDEX('Lookups - Rates'!$D:$D, MATCH($G193&amp;"|"&amp;$H193, 'Lookups - Rates'!$Z:$Z, 0)), "")</f>
        <v/>
      </c>
      <c r="Q193" s="11">
        <f t="array" ref="Q193">IFERROR(INDEX('Lookups - Rates'!$E:$E, MATCH($G193&amp;"|"&amp;$H193, 'Lookups - Rates'!$Z:$Z, 0)), "")</f>
        <v/>
      </c>
      <c r="R193" s="11">
        <f>LET(ev,$J193, ch,$L193, hr,$P193, dr,$Q193, hpday,Assumptions!$B$2, hpw,Assumptions!$B$3, w,$M193, hrs, IF($I193="Hours", ev, IF($I193="Days", ev*IF(dr&gt;0, dr/hr, hpday), IF($I193="FTE", ev*hpw*w, ch))), IF(hrs="", "", hrs*hr))</f>
        <v/>
      </c>
      <c r="S193" s="13" t="n"/>
      <c r="T193" s="11">
        <f t="array" ref="T193">XLOOKUP(Scenario_Selected, INDEX(Scenario_Table,0,1), INDEX(Scenario_Table,0,2))</f>
        <v/>
      </c>
      <c r="U193" s="11">
        <f t="array" ref="U193">XLOOKUP(Scenario_Selected, INDEX(Scenario_Table,0,1), INDEX(Scenario_Table,0,3))</f>
        <v/>
      </c>
      <c r="V193" s="11">
        <f t="array" ref="V193">XLOOKUP(Scenario_Selected, INDEX(Scenario_Table,0,1), INDEX(Scenario_Table,0,4))</f>
        <v/>
      </c>
      <c r="W193" s="11">
        <f t="array" ref="W193">LET(ev,$J193, ch,$L193, et,$I193, dr,$Q193, hpday,Assumptions!$B$2, hpw,Assumptions!$B$3, w,$M193,hm,INDIRECT("R[0]C[0]",FALSE),hrs, IF(et="Hours", ev, IF(et="Days", ev*IF(dr&gt;0, dr/$P193, hpday), IF(et="FTE", ev*hpw*w, ch))), IF(hrs="", "", hrs*hm))</f>
        <v/>
      </c>
      <c r="X193" s="11">
        <f>IF($P193="","", $P193*INDIRECT("R[0]C[-3]",FALSE))</f>
        <v/>
      </c>
      <c r="Y193" s="11">
        <f>IF(INDIRECT("R[0]C[-1]",FALSE)="","", INDIRECT("R[0]C[-2]",FALSE)*INDIRECT("R[0]C[-1]",FALSE)*(1+INDIRECT("R[0]C[-3]",FALSE)))</f>
        <v/>
      </c>
      <c r="Z193" s="13" t="n"/>
    </row>
    <row r="194" ht="15.75" customHeight="1" s="74">
      <c r="A194" s="11" t="n">
        <v>194</v>
      </c>
      <c r="C194" s="11">
        <f t="array" ref="C194">IFERROR(INDEX(Milestones!$A:$A, MATCH($B194, Milestones!$B:$B, 0)), "")</f>
        <v/>
      </c>
      <c r="D194" s="11">
        <f t="array" ref="D194">IFERROR(INDEX(Milestones!$C:$C, MATCH($B194, Milestones!$B:$B, 0)), "")</f>
        <v/>
      </c>
      <c r="F194" s="11">
        <f t="array" ref="F194">IFERROR(INDEX(Milestones!$E:$E, MATCH($B194, Milestones!$B:$B, 0)), "")</f>
        <v/>
      </c>
      <c r="I194" s="11" t="n"/>
      <c r="J194" s="20" t="n"/>
      <c r="K194" s="11" t="n"/>
      <c r="L194" s="11">
        <f t="array" ref="L194">IF($K194="","", IFERROR(IFS($K194="Low", INDEX('Lookups - Complexity'!$C:$C, MATCH($B194, 'Lookups - Complexity'!$B:$B,0)), $K194="Medium", INDEX('Lookups - Complexity'!$D:$D, MATCH($B194, 'Lookups - Complexity'!$B:$B,0)), $K194="High", INDEX('Lookups - Complexity'!$E:$E, MATCH($B194, 'Lookups - Complexity'!$B:$B,0))), ""))</f>
        <v/>
      </c>
      <c r="M194" s="11">
        <f>IF($I194="FTE", Assumptions!$B$3, "")</f>
        <v/>
      </c>
      <c r="N194" s="11">
        <f t="array" ref="N194">IFERROR(INDEX(Milestones!$F:$F, MATCH($B194, Milestones!$B:$B, 0)), "")</f>
        <v/>
      </c>
      <c r="O194" s="11">
        <f t="array" ref="O194">IFERROR(INDEX(Milestones!$G:$G, MATCH($B194, Milestones!$B:$B, 0)), "")</f>
        <v/>
      </c>
      <c r="P194" s="11">
        <f t="array" ref="P194">IFERROR(INDEX('Lookups - Rates'!$D:$D, MATCH($G194&amp;"|"&amp;$H194, 'Lookups - Rates'!$Z:$Z, 0)), "")</f>
        <v/>
      </c>
      <c r="Q194" s="11">
        <f t="array" ref="Q194">IFERROR(INDEX('Lookups - Rates'!$E:$E, MATCH($G194&amp;"|"&amp;$H194, 'Lookups - Rates'!$Z:$Z, 0)), "")</f>
        <v/>
      </c>
      <c r="R194" s="11">
        <f>LET(ev,$J194, ch,$L194, hr,$P194, dr,$Q194, hpday,Assumptions!$B$2, hpw,Assumptions!$B$3, w,$M194, hrs, IF($I194="Hours", ev, IF($I194="Days", ev*IF(dr&gt;0, dr/hr, hpday), IF($I194="FTE", ev*hpw*w, ch))), IF(hrs="", "", hrs*hr))</f>
        <v/>
      </c>
      <c r="S194" s="13" t="n"/>
      <c r="T194" s="11">
        <f t="array" ref="T194">XLOOKUP(Scenario_Selected, INDEX(Scenario_Table,0,1), INDEX(Scenario_Table,0,2))</f>
        <v/>
      </c>
      <c r="U194" s="11">
        <f t="array" ref="U194">XLOOKUP(Scenario_Selected, INDEX(Scenario_Table,0,1), INDEX(Scenario_Table,0,3))</f>
        <v/>
      </c>
      <c r="V194" s="11">
        <f t="array" ref="V194">XLOOKUP(Scenario_Selected, INDEX(Scenario_Table,0,1), INDEX(Scenario_Table,0,4))</f>
        <v/>
      </c>
      <c r="W194" s="11">
        <f t="array" ref="W194">LET(ev,$J194, ch,$L194, et,$I194, dr,$Q194, hpday,Assumptions!$B$2, hpw,Assumptions!$B$3, w,$M194,hm,INDIRECT("R[0]C[0]",FALSE),hrs, IF(et="Hours", ev, IF(et="Days", ev*IF(dr&gt;0, dr/$P194, hpday), IF(et="FTE", ev*hpw*w, ch))), IF(hrs="", "", hrs*hm))</f>
        <v/>
      </c>
      <c r="X194" s="11">
        <f>IF($P194="","", $P194*INDIRECT("R[0]C[-3]",FALSE))</f>
        <v/>
      </c>
      <c r="Y194" s="11">
        <f>IF(INDIRECT("R[0]C[-1]",FALSE)="","", INDIRECT("R[0]C[-2]",FALSE)*INDIRECT("R[0]C[-1]",FALSE)*(1+INDIRECT("R[0]C[-3]",FALSE)))</f>
        <v/>
      </c>
      <c r="Z194" s="13" t="n"/>
    </row>
    <row r="195" ht="15.75" customHeight="1" s="74">
      <c r="A195" s="11" t="n">
        <v>195</v>
      </c>
      <c r="C195" s="11">
        <f t="array" ref="C195">IFERROR(INDEX(Milestones!$A:$A, MATCH($B195, Milestones!$B:$B, 0)), "")</f>
        <v/>
      </c>
      <c r="D195" s="11">
        <f t="array" ref="D195">IFERROR(INDEX(Milestones!$C:$C, MATCH($B195, Milestones!$B:$B, 0)), "")</f>
        <v/>
      </c>
      <c r="F195" s="11">
        <f t="array" ref="F195">IFERROR(INDEX(Milestones!$E:$E, MATCH($B195, Milestones!$B:$B, 0)), "")</f>
        <v/>
      </c>
      <c r="I195" s="11" t="n"/>
      <c r="J195" s="20" t="n"/>
      <c r="K195" s="11" t="n"/>
      <c r="L195" s="11">
        <f t="array" ref="L195">IF($K195="","", IFERROR(IFS($K195="Low", INDEX('Lookups - Complexity'!$C:$C, MATCH($B195, 'Lookups - Complexity'!$B:$B,0)), $K195="Medium", INDEX('Lookups - Complexity'!$D:$D, MATCH($B195, 'Lookups - Complexity'!$B:$B,0)), $K195="High", INDEX('Lookups - Complexity'!$E:$E, MATCH($B195, 'Lookups - Complexity'!$B:$B,0))), ""))</f>
        <v/>
      </c>
      <c r="M195" s="11">
        <f>IF($I195="FTE", Assumptions!$B$3, "")</f>
        <v/>
      </c>
      <c r="N195" s="11">
        <f t="array" ref="N195">IFERROR(INDEX(Milestones!$F:$F, MATCH($B195, Milestones!$B:$B, 0)), "")</f>
        <v/>
      </c>
      <c r="O195" s="11">
        <f t="array" ref="O195">IFERROR(INDEX(Milestones!$G:$G, MATCH($B195, Milestones!$B:$B, 0)), "")</f>
        <v/>
      </c>
      <c r="P195" s="11">
        <f t="array" ref="P195">IFERROR(INDEX('Lookups - Rates'!$D:$D, MATCH($G195&amp;"|"&amp;$H195, 'Lookups - Rates'!$Z:$Z, 0)), "")</f>
        <v/>
      </c>
      <c r="Q195" s="11">
        <f t="array" ref="Q195">IFERROR(INDEX('Lookups - Rates'!$E:$E, MATCH($G195&amp;"|"&amp;$H195, 'Lookups - Rates'!$Z:$Z, 0)), "")</f>
        <v/>
      </c>
      <c r="R195" s="11">
        <f>LET(ev,$J195, ch,$L195, hr,$P195, dr,$Q195, hpday,Assumptions!$B$2, hpw,Assumptions!$B$3, w,$M195, hrs, IF($I195="Hours", ev, IF($I195="Days", ev*IF(dr&gt;0, dr/hr, hpday), IF($I195="FTE", ev*hpw*w, ch))), IF(hrs="", "", hrs*hr))</f>
        <v/>
      </c>
      <c r="S195" s="13" t="n"/>
      <c r="T195" s="11">
        <f t="array" ref="T195">XLOOKUP(Scenario_Selected, INDEX(Scenario_Table,0,1), INDEX(Scenario_Table,0,2))</f>
        <v/>
      </c>
      <c r="U195" s="11">
        <f t="array" ref="U195">XLOOKUP(Scenario_Selected, INDEX(Scenario_Table,0,1), INDEX(Scenario_Table,0,3))</f>
        <v/>
      </c>
      <c r="V195" s="11">
        <f t="array" ref="V195">XLOOKUP(Scenario_Selected, INDEX(Scenario_Table,0,1), INDEX(Scenario_Table,0,4))</f>
        <v/>
      </c>
      <c r="W195" s="11">
        <f t="array" ref="W195">LET(ev,$J195, ch,$L195, et,$I195, dr,$Q195, hpday,Assumptions!$B$2, hpw,Assumptions!$B$3, w,$M195,hm,INDIRECT("R[0]C[0]",FALSE),hrs, IF(et="Hours", ev, IF(et="Days", ev*IF(dr&gt;0, dr/$P195, hpday), IF(et="FTE", ev*hpw*w, ch))), IF(hrs="", "", hrs*hm))</f>
        <v/>
      </c>
      <c r="X195" s="11">
        <f>IF($P195="","", $P195*INDIRECT("R[0]C[-3]",FALSE))</f>
        <v/>
      </c>
      <c r="Y195" s="11">
        <f>IF(INDIRECT("R[0]C[-1]",FALSE)="","", INDIRECT("R[0]C[-2]",FALSE)*INDIRECT("R[0]C[-1]",FALSE)*(1+INDIRECT("R[0]C[-3]",FALSE)))</f>
        <v/>
      </c>
      <c r="Z195" s="13" t="n"/>
    </row>
    <row r="196" ht="15.75" customHeight="1" s="74">
      <c r="A196" s="11" t="n">
        <v>196</v>
      </c>
      <c r="C196" s="11">
        <f t="array" ref="C196">IFERROR(INDEX(Milestones!$A:$A, MATCH($B196, Milestones!$B:$B, 0)), "")</f>
        <v/>
      </c>
      <c r="D196" s="11">
        <f t="array" ref="D196">IFERROR(INDEX(Milestones!$C:$C, MATCH($B196, Milestones!$B:$B, 0)), "")</f>
        <v/>
      </c>
      <c r="F196" s="11">
        <f t="array" ref="F196">IFERROR(INDEX(Milestones!$E:$E, MATCH($B196, Milestones!$B:$B, 0)), "")</f>
        <v/>
      </c>
      <c r="I196" s="11" t="n"/>
      <c r="J196" s="20" t="n"/>
      <c r="K196" s="11" t="n"/>
      <c r="L196" s="11">
        <f t="array" ref="L196">IF($K196="","", IFERROR(IFS($K196="Low", INDEX('Lookups - Complexity'!$C:$C, MATCH($B196, 'Lookups - Complexity'!$B:$B,0)), $K196="Medium", INDEX('Lookups - Complexity'!$D:$D, MATCH($B196, 'Lookups - Complexity'!$B:$B,0)), $K196="High", INDEX('Lookups - Complexity'!$E:$E, MATCH($B196, 'Lookups - Complexity'!$B:$B,0))), ""))</f>
        <v/>
      </c>
      <c r="M196" s="11">
        <f>IF($I196="FTE", Assumptions!$B$3, "")</f>
        <v/>
      </c>
      <c r="N196" s="11">
        <f t="array" ref="N196">IFERROR(INDEX(Milestones!$F:$F, MATCH($B196, Milestones!$B:$B, 0)), "")</f>
        <v/>
      </c>
      <c r="O196" s="11">
        <f t="array" ref="O196">IFERROR(INDEX(Milestones!$G:$G, MATCH($B196, Milestones!$B:$B, 0)), "")</f>
        <v/>
      </c>
      <c r="P196" s="11">
        <f t="array" ref="P196">IFERROR(INDEX('Lookups - Rates'!$D:$D, MATCH($G196&amp;"|"&amp;$H196, 'Lookups - Rates'!$Z:$Z, 0)), "")</f>
        <v/>
      </c>
      <c r="Q196" s="11">
        <f t="array" ref="Q196">IFERROR(INDEX('Lookups - Rates'!$E:$E, MATCH($G196&amp;"|"&amp;$H196, 'Lookups - Rates'!$Z:$Z, 0)), "")</f>
        <v/>
      </c>
      <c r="R196" s="11">
        <f>LET(ev,$J196, ch,$L196, hr,$P196, dr,$Q196, hpday,Assumptions!$B$2, hpw,Assumptions!$B$3, w,$M196, hrs, IF($I196="Hours", ev, IF($I196="Days", ev*IF(dr&gt;0, dr/hr, hpday), IF($I196="FTE", ev*hpw*w, ch))), IF(hrs="", "", hrs*hr))</f>
        <v/>
      </c>
      <c r="S196" s="13" t="n"/>
      <c r="T196" s="11">
        <f t="array" ref="T196">XLOOKUP(Scenario_Selected, INDEX(Scenario_Table,0,1), INDEX(Scenario_Table,0,2))</f>
        <v/>
      </c>
      <c r="U196" s="11">
        <f t="array" ref="U196">XLOOKUP(Scenario_Selected, INDEX(Scenario_Table,0,1), INDEX(Scenario_Table,0,3))</f>
        <v/>
      </c>
      <c r="V196" s="11">
        <f t="array" ref="V196">XLOOKUP(Scenario_Selected, INDEX(Scenario_Table,0,1), INDEX(Scenario_Table,0,4))</f>
        <v/>
      </c>
      <c r="W196" s="11">
        <f t="array" ref="W196">LET(ev,$J196, ch,$L196, et,$I196, dr,$Q196, hpday,Assumptions!$B$2, hpw,Assumptions!$B$3, w,$M196,hm,INDIRECT("R[0]C[0]",FALSE),hrs, IF(et="Hours", ev, IF(et="Days", ev*IF(dr&gt;0, dr/$P196, hpday), IF(et="FTE", ev*hpw*w, ch))), IF(hrs="", "", hrs*hm))</f>
        <v/>
      </c>
      <c r="X196" s="11">
        <f>IF($P196="","", $P196*INDIRECT("R[0]C[-3]",FALSE))</f>
        <v/>
      </c>
      <c r="Y196" s="11">
        <f>IF(INDIRECT("R[0]C[-1]",FALSE)="","", INDIRECT("R[0]C[-2]",FALSE)*INDIRECT("R[0]C[-1]",FALSE)*(1+INDIRECT("R[0]C[-3]",FALSE)))</f>
        <v/>
      </c>
      <c r="Z196" s="13" t="n"/>
    </row>
    <row r="197" ht="15.75" customHeight="1" s="74">
      <c r="A197" s="11" t="n">
        <v>197</v>
      </c>
      <c r="C197" s="11">
        <f t="array" ref="C197">IFERROR(INDEX(Milestones!$A:$A, MATCH($B197, Milestones!$B:$B, 0)), "")</f>
        <v/>
      </c>
      <c r="D197" s="11">
        <f t="array" ref="D197">IFERROR(INDEX(Milestones!$C:$C, MATCH($B197, Milestones!$B:$B, 0)), "")</f>
        <v/>
      </c>
      <c r="F197" s="11">
        <f t="array" ref="F197">IFERROR(INDEX(Milestones!$E:$E, MATCH($B197, Milestones!$B:$B, 0)), "")</f>
        <v/>
      </c>
      <c r="I197" s="11" t="n"/>
      <c r="J197" s="20" t="n"/>
      <c r="K197" s="11" t="n"/>
      <c r="L197" s="11">
        <f t="array" ref="L197">IF($K197="","", IFERROR(IFS($K197="Low", INDEX('Lookups - Complexity'!$C:$C, MATCH($B197, 'Lookups - Complexity'!$B:$B,0)), $K197="Medium", INDEX('Lookups - Complexity'!$D:$D, MATCH($B197, 'Lookups - Complexity'!$B:$B,0)), $K197="High", INDEX('Lookups - Complexity'!$E:$E, MATCH($B197, 'Lookups - Complexity'!$B:$B,0))), ""))</f>
        <v/>
      </c>
      <c r="M197" s="11">
        <f>IF($I197="FTE", Assumptions!$B$3, "")</f>
        <v/>
      </c>
      <c r="N197" s="11">
        <f t="array" ref="N197">IFERROR(INDEX(Milestones!$F:$F, MATCH($B197, Milestones!$B:$B, 0)), "")</f>
        <v/>
      </c>
      <c r="O197" s="11">
        <f t="array" ref="O197">IFERROR(INDEX(Milestones!$G:$G, MATCH($B197, Milestones!$B:$B, 0)), "")</f>
        <v/>
      </c>
      <c r="P197" s="11">
        <f t="array" ref="P197">IFERROR(INDEX('Lookups - Rates'!$D:$D, MATCH($G197&amp;"|"&amp;$H197, 'Lookups - Rates'!$Z:$Z, 0)), "")</f>
        <v/>
      </c>
      <c r="Q197" s="11">
        <f t="array" ref="Q197">IFERROR(INDEX('Lookups - Rates'!$E:$E, MATCH($G197&amp;"|"&amp;$H197, 'Lookups - Rates'!$Z:$Z, 0)), "")</f>
        <v/>
      </c>
      <c r="R197" s="11">
        <f>LET(ev,$J197, ch,$L197, hr,$P197, dr,$Q197, hpday,Assumptions!$B$2, hpw,Assumptions!$B$3, w,$M197, hrs, IF($I197="Hours", ev, IF($I197="Days", ev*IF(dr&gt;0, dr/hr, hpday), IF($I197="FTE", ev*hpw*w, ch))), IF(hrs="", "", hrs*hr))</f>
        <v/>
      </c>
      <c r="S197" s="13" t="n"/>
      <c r="T197" s="11">
        <f t="array" ref="T197">XLOOKUP(Scenario_Selected, INDEX(Scenario_Table,0,1), INDEX(Scenario_Table,0,2))</f>
        <v/>
      </c>
      <c r="U197" s="11">
        <f t="array" ref="U197">XLOOKUP(Scenario_Selected, INDEX(Scenario_Table,0,1), INDEX(Scenario_Table,0,3))</f>
        <v/>
      </c>
      <c r="V197" s="11">
        <f t="array" ref="V197">XLOOKUP(Scenario_Selected, INDEX(Scenario_Table,0,1), INDEX(Scenario_Table,0,4))</f>
        <v/>
      </c>
      <c r="W197" s="11">
        <f t="array" ref="W197">LET(ev,$J197, ch,$L197, et,$I197, dr,$Q197, hpday,Assumptions!$B$2, hpw,Assumptions!$B$3, w,$M197,hm,INDIRECT("R[0]C[0]",FALSE),hrs, IF(et="Hours", ev, IF(et="Days", ev*IF(dr&gt;0, dr/$P197, hpday), IF(et="FTE", ev*hpw*w, ch))), IF(hrs="", "", hrs*hm))</f>
        <v/>
      </c>
      <c r="X197" s="11">
        <f>IF($P197="","", $P197*INDIRECT("R[0]C[-3]",FALSE))</f>
        <v/>
      </c>
      <c r="Y197" s="11">
        <f>IF(INDIRECT("R[0]C[-1]",FALSE)="","", INDIRECT("R[0]C[-2]",FALSE)*INDIRECT("R[0]C[-1]",FALSE)*(1+INDIRECT("R[0]C[-3]",FALSE)))</f>
        <v/>
      </c>
      <c r="Z197" s="13" t="n"/>
    </row>
    <row r="198" ht="15.75" customHeight="1" s="74">
      <c r="A198" s="11" t="n">
        <v>198</v>
      </c>
      <c r="C198" s="11">
        <f t="array" ref="C198">IFERROR(INDEX(Milestones!$A:$A, MATCH($B198, Milestones!$B:$B, 0)), "")</f>
        <v/>
      </c>
      <c r="D198" s="11">
        <f t="array" ref="D198">IFERROR(INDEX(Milestones!$C:$C, MATCH($B198, Milestones!$B:$B, 0)), "")</f>
        <v/>
      </c>
      <c r="F198" s="11">
        <f t="array" ref="F198">IFERROR(INDEX(Milestones!$E:$E, MATCH($B198, Milestones!$B:$B, 0)), "")</f>
        <v/>
      </c>
      <c r="I198" s="11" t="n"/>
      <c r="J198" s="20" t="n"/>
      <c r="K198" s="11" t="n"/>
      <c r="L198" s="11">
        <f t="array" ref="L198">IF($K198="","", IFERROR(IFS($K198="Low", INDEX('Lookups - Complexity'!$C:$C, MATCH($B198, 'Lookups - Complexity'!$B:$B,0)), $K198="Medium", INDEX('Lookups - Complexity'!$D:$D, MATCH($B198, 'Lookups - Complexity'!$B:$B,0)), $K198="High", INDEX('Lookups - Complexity'!$E:$E, MATCH($B198, 'Lookups - Complexity'!$B:$B,0))), ""))</f>
        <v/>
      </c>
      <c r="M198" s="11">
        <f>IF($I198="FTE", Assumptions!$B$3, "")</f>
        <v/>
      </c>
      <c r="N198" s="11">
        <f t="array" ref="N198">IFERROR(INDEX(Milestones!$F:$F, MATCH($B198, Milestones!$B:$B, 0)), "")</f>
        <v/>
      </c>
      <c r="O198" s="11">
        <f t="array" ref="O198">IFERROR(INDEX(Milestones!$G:$G, MATCH($B198, Milestones!$B:$B, 0)), "")</f>
        <v/>
      </c>
      <c r="P198" s="11">
        <f t="array" ref="P198">IFERROR(INDEX('Lookups - Rates'!$D:$D, MATCH($G198&amp;"|"&amp;$H198, 'Lookups - Rates'!$Z:$Z, 0)), "")</f>
        <v/>
      </c>
      <c r="Q198" s="11">
        <f t="array" ref="Q198">IFERROR(INDEX('Lookups - Rates'!$E:$E, MATCH($G198&amp;"|"&amp;$H198, 'Lookups - Rates'!$Z:$Z, 0)), "")</f>
        <v/>
      </c>
      <c r="R198" s="11">
        <f>LET(ev,$J198, ch,$L198, hr,$P198, dr,$Q198, hpday,Assumptions!$B$2, hpw,Assumptions!$B$3, w,$M198, hrs, IF($I198="Hours", ev, IF($I198="Days", ev*IF(dr&gt;0, dr/hr, hpday), IF($I198="FTE", ev*hpw*w, ch))), IF(hrs="", "", hrs*hr))</f>
        <v/>
      </c>
      <c r="S198" s="13" t="n"/>
      <c r="T198" s="11">
        <f t="array" ref="T198">XLOOKUP(Scenario_Selected, INDEX(Scenario_Table,0,1), INDEX(Scenario_Table,0,2))</f>
        <v/>
      </c>
      <c r="U198" s="11">
        <f t="array" ref="U198">XLOOKUP(Scenario_Selected, INDEX(Scenario_Table,0,1), INDEX(Scenario_Table,0,3))</f>
        <v/>
      </c>
      <c r="V198" s="11">
        <f t="array" ref="V198">XLOOKUP(Scenario_Selected, INDEX(Scenario_Table,0,1), INDEX(Scenario_Table,0,4))</f>
        <v/>
      </c>
      <c r="W198" s="11">
        <f t="array" ref="W198">LET(ev,$J198, ch,$L198, et,$I198, dr,$Q198, hpday,Assumptions!$B$2, hpw,Assumptions!$B$3, w,$M198,hm,INDIRECT("R[0]C[0]",FALSE),hrs, IF(et="Hours", ev, IF(et="Days", ev*IF(dr&gt;0, dr/$P198, hpday), IF(et="FTE", ev*hpw*w, ch))), IF(hrs="", "", hrs*hm))</f>
        <v/>
      </c>
      <c r="X198" s="11">
        <f>IF($P198="","", $P198*INDIRECT("R[0]C[-3]",FALSE))</f>
        <v/>
      </c>
      <c r="Y198" s="11">
        <f>IF(INDIRECT("R[0]C[-1]",FALSE)="","", INDIRECT("R[0]C[-2]",FALSE)*INDIRECT("R[0]C[-1]",FALSE)*(1+INDIRECT("R[0]C[-3]",FALSE)))</f>
        <v/>
      </c>
      <c r="Z198" s="13" t="n"/>
    </row>
    <row r="199" ht="15.75" customHeight="1" s="74">
      <c r="A199" s="11" t="n">
        <v>199</v>
      </c>
      <c r="C199" s="11">
        <f t="array" ref="C199">IFERROR(INDEX(Milestones!$A:$A, MATCH($B199, Milestones!$B:$B, 0)), "")</f>
        <v/>
      </c>
      <c r="D199" s="11">
        <f t="array" ref="D199">IFERROR(INDEX(Milestones!$C:$C, MATCH($B199, Milestones!$B:$B, 0)), "")</f>
        <v/>
      </c>
      <c r="F199" s="11">
        <f t="array" ref="F199">IFERROR(INDEX(Milestones!$E:$E, MATCH($B199, Milestones!$B:$B, 0)), "")</f>
        <v/>
      </c>
      <c r="I199" s="11" t="n"/>
      <c r="J199" s="20" t="n"/>
      <c r="K199" s="11" t="n"/>
      <c r="L199" s="11">
        <f t="array" ref="L199">IF($K199="","", IFERROR(IFS($K199="Low", INDEX('Lookups - Complexity'!$C:$C, MATCH($B199, 'Lookups - Complexity'!$B:$B,0)), $K199="Medium", INDEX('Lookups - Complexity'!$D:$D, MATCH($B199, 'Lookups - Complexity'!$B:$B,0)), $K199="High", INDEX('Lookups - Complexity'!$E:$E, MATCH($B199, 'Lookups - Complexity'!$B:$B,0))), ""))</f>
        <v/>
      </c>
      <c r="M199" s="11">
        <f>IF($I199="FTE", Assumptions!$B$3, "")</f>
        <v/>
      </c>
      <c r="N199" s="11">
        <f t="array" ref="N199">IFERROR(INDEX(Milestones!$F:$F, MATCH($B199, Milestones!$B:$B, 0)), "")</f>
        <v/>
      </c>
      <c r="O199" s="11">
        <f t="array" ref="O199">IFERROR(INDEX(Milestones!$G:$G, MATCH($B199, Milestones!$B:$B, 0)), "")</f>
        <v/>
      </c>
      <c r="P199" s="11">
        <f t="array" ref="P199">IFERROR(INDEX('Lookups - Rates'!$D:$D, MATCH($G199&amp;"|"&amp;$H199, 'Lookups - Rates'!$Z:$Z, 0)), "")</f>
        <v/>
      </c>
      <c r="Q199" s="11">
        <f t="array" ref="Q199">IFERROR(INDEX('Lookups - Rates'!$E:$E, MATCH($G199&amp;"|"&amp;$H199, 'Lookups - Rates'!$Z:$Z, 0)), "")</f>
        <v/>
      </c>
      <c r="R199" s="11">
        <f>LET(ev,$J199, ch,$L199, hr,$P199, dr,$Q199, hpday,Assumptions!$B$2, hpw,Assumptions!$B$3, w,$M199, hrs, IF($I199="Hours", ev, IF($I199="Days", ev*IF(dr&gt;0, dr/hr, hpday), IF($I199="FTE", ev*hpw*w, ch))), IF(hrs="", "", hrs*hr))</f>
        <v/>
      </c>
      <c r="S199" s="13" t="n"/>
      <c r="T199" s="11">
        <f t="array" ref="T199">XLOOKUP(Scenario_Selected, INDEX(Scenario_Table,0,1), INDEX(Scenario_Table,0,2))</f>
        <v/>
      </c>
      <c r="U199" s="11">
        <f t="array" ref="U199">XLOOKUP(Scenario_Selected, INDEX(Scenario_Table,0,1), INDEX(Scenario_Table,0,3))</f>
        <v/>
      </c>
      <c r="V199" s="11">
        <f t="array" ref="V199">XLOOKUP(Scenario_Selected, INDEX(Scenario_Table,0,1), INDEX(Scenario_Table,0,4))</f>
        <v/>
      </c>
      <c r="W199" s="11">
        <f t="array" ref="W199">LET(ev,$J199, ch,$L199, et,$I199, dr,$Q199, hpday,Assumptions!$B$2, hpw,Assumptions!$B$3, w,$M199,hm,INDIRECT("R[0]C[0]",FALSE),hrs, IF(et="Hours", ev, IF(et="Days", ev*IF(dr&gt;0, dr/$P199, hpday), IF(et="FTE", ev*hpw*w, ch))), IF(hrs="", "", hrs*hm))</f>
        <v/>
      </c>
      <c r="X199" s="11">
        <f>IF($P199="","", $P199*INDIRECT("R[0]C[-3]",FALSE))</f>
        <v/>
      </c>
      <c r="Y199" s="11">
        <f>IF(INDIRECT("R[0]C[-1]",FALSE)="","", INDIRECT("R[0]C[-2]",FALSE)*INDIRECT("R[0]C[-1]",FALSE)*(1+INDIRECT("R[0]C[-3]",FALSE)))</f>
        <v/>
      </c>
      <c r="Z199" s="13" t="n"/>
    </row>
    <row r="200" ht="15.75" customHeight="1" s="74">
      <c r="A200" s="11" t="n">
        <v>200</v>
      </c>
      <c r="C200" s="11">
        <f t="array" ref="C200">IFERROR(INDEX(Milestones!$A:$A, MATCH($B200, Milestones!$B:$B, 0)), "")</f>
        <v/>
      </c>
      <c r="D200" s="11">
        <f t="array" ref="D200">IFERROR(INDEX(Milestones!$C:$C, MATCH($B200, Milestones!$B:$B, 0)), "")</f>
        <v/>
      </c>
      <c r="F200" s="11">
        <f t="array" ref="F200">IFERROR(INDEX(Milestones!$E:$E, MATCH($B200, Milestones!$B:$B, 0)), "")</f>
        <v/>
      </c>
      <c r="I200" s="11" t="n"/>
      <c r="J200" s="20" t="n"/>
      <c r="K200" s="11" t="n"/>
      <c r="L200" s="11">
        <f t="array" ref="L200">IF($K200="","", IFERROR(IFS($K200="Low", INDEX('Lookups - Complexity'!$C:$C, MATCH($B200, 'Lookups - Complexity'!$B:$B,0)), $K200="Medium", INDEX('Lookups - Complexity'!$D:$D, MATCH($B200, 'Lookups - Complexity'!$B:$B,0)), $K200="High", INDEX('Lookups - Complexity'!$E:$E, MATCH($B200, 'Lookups - Complexity'!$B:$B,0))), ""))</f>
        <v/>
      </c>
      <c r="M200" s="11">
        <f>IF($I200="FTE", Assumptions!$B$3, "")</f>
        <v/>
      </c>
      <c r="N200" s="11">
        <f t="array" ref="N200">IFERROR(INDEX(Milestones!$F:$F, MATCH($B200, Milestones!$B:$B, 0)), "")</f>
        <v/>
      </c>
      <c r="O200" s="11">
        <f t="array" ref="O200">IFERROR(INDEX(Milestones!$G:$G, MATCH($B200, Milestones!$B:$B, 0)), "")</f>
        <v/>
      </c>
      <c r="P200" s="11">
        <f t="array" ref="P200">IFERROR(INDEX('Lookups - Rates'!$D:$D, MATCH($G200&amp;"|"&amp;$H200, 'Lookups - Rates'!$Z:$Z, 0)), "")</f>
        <v/>
      </c>
      <c r="Q200" s="11">
        <f t="array" ref="Q200">IFERROR(INDEX('Lookups - Rates'!$E:$E, MATCH($G200&amp;"|"&amp;$H200, 'Lookups - Rates'!$Z:$Z, 0)), "")</f>
        <v/>
      </c>
      <c r="R200" s="11">
        <f>LET(ev,$J200, ch,$L200, hr,$P200, dr,$Q200, hpday,Assumptions!$B$2, hpw,Assumptions!$B$3, w,$M200, hrs, IF($I200="Hours", ev, IF($I200="Days", ev*IF(dr&gt;0, dr/hr, hpday), IF($I200="FTE", ev*hpw*w, ch))), IF(hrs="", "", hrs*hr))</f>
        <v/>
      </c>
      <c r="S200" s="13" t="n"/>
      <c r="T200" s="11">
        <f t="array" ref="T200">XLOOKUP(Scenario_Selected, INDEX(Scenario_Table,0,1), INDEX(Scenario_Table,0,2))</f>
        <v/>
      </c>
      <c r="U200" s="11">
        <f t="array" ref="U200">XLOOKUP(Scenario_Selected, INDEX(Scenario_Table,0,1), INDEX(Scenario_Table,0,3))</f>
        <v/>
      </c>
      <c r="V200" s="11">
        <f t="array" ref="V200">XLOOKUP(Scenario_Selected, INDEX(Scenario_Table,0,1), INDEX(Scenario_Table,0,4))</f>
        <v/>
      </c>
      <c r="W200" s="11">
        <f t="array" ref="W200">LET(ev,$J200, ch,$L200, et,$I200, dr,$Q200, hpday,Assumptions!$B$2, hpw,Assumptions!$B$3, w,$M200,hm,INDIRECT("R[0]C[0]",FALSE),hrs, IF(et="Hours", ev, IF(et="Days", ev*IF(dr&gt;0, dr/$P200, hpday), IF(et="FTE", ev*hpw*w, ch))), IF(hrs="", "", hrs*hm))</f>
        <v/>
      </c>
      <c r="X200" s="11">
        <f>IF($P200="","", $P200*INDIRECT("R[0]C[-3]",FALSE))</f>
        <v/>
      </c>
      <c r="Y200" s="11">
        <f>IF(INDIRECT("R[0]C[-1]",FALSE)="","", INDIRECT("R[0]C[-2]",FALSE)*INDIRECT("R[0]C[-1]",FALSE)*(1+INDIRECT("R[0]C[-3]",FALSE)))</f>
        <v/>
      </c>
      <c r="Z200" s="13" t="n"/>
    </row>
    <row r="201" ht="15.75" customHeight="1" s="74">
      <c r="A201" s="11" t="n">
        <v>201</v>
      </c>
      <c r="C201" s="11">
        <f t="array" ref="C201">IFERROR(INDEX(Milestones!$A:$A, MATCH($B201, Milestones!$B:$B, 0)), "")</f>
        <v/>
      </c>
      <c r="D201" s="11">
        <f t="array" ref="D201">IFERROR(INDEX(Milestones!$C:$C, MATCH($B201, Milestones!$B:$B, 0)), "")</f>
        <v/>
      </c>
      <c r="F201" s="11">
        <f t="array" ref="F201">IFERROR(INDEX(Milestones!$E:$E, MATCH($B201, Milestones!$B:$B, 0)), "")</f>
        <v/>
      </c>
      <c r="I201" s="11" t="n"/>
      <c r="J201" s="20" t="n"/>
      <c r="K201" s="11" t="n"/>
      <c r="L201" s="11">
        <f t="array" ref="L201">IF($K201="","", IFERROR(IFS($K201="Low", INDEX('Lookups - Complexity'!$C:$C, MATCH($B201, 'Lookups - Complexity'!$B:$B,0)), $K201="Medium", INDEX('Lookups - Complexity'!$D:$D, MATCH($B201, 'Lookups - Complexity'!$B:$B,0)), $K201="High", INDEX('Lookups - Complexity'!$E:$E, MATCH($B201, 'Lookups - Complexity'!$B:$B,0))), ""))</f>
        <v/>
      </c>
      <c r="M201" s="11">
        <f>IF($I201="FTE", Assumptions!$B$3, "")</f>
        <v/>
      </c>
      <c r="N201" s="11">
        <f t="array" ref="N201">IFERROR(INDEX(Milestones!$F:$F, MATCH($B201, Milestones!$B:$B, 0)), "")</f>
        <v/>
      </c>
      <c r="O201" s="11">
        <f t="array" ref="O201">IFERROR(INDEX(Milestones!$G:$G, MATCH($B201, Milestones!$B:$B, 0)), "")</f>
        <v/>
      </c>
      <c r="P201" s="11">
        <f t="array" ref="P201">IFERROR(INDEX('Lookups - Rates'!$D:$D, MATCH($G201&amp;"|"&amp;$H201, 'Lookups - Rates'!$Z:$Z, 0)), "")</f>
        <v/>
      </c>
      <c r="Q201" s="11">
        <f t="array" ref="Q201">IFERROR(INDEX('Lookups - Rates'!$E:$E, MATCH($G201&amp;"|"&amp;$H201, 'Lookups - Rates'!$Z:$Z, 0)), "")</f>
        <v/>
      </c>
      <c r="R201" s="11">
        <f>LET(ev,$J201, ch,$L201, hr,$P201, dr,$Q201, hpday,Assumptions!$B$2, hpw,Assumptions!$B$3, w,$M201, hrs, IF($I201="Hours", ev, IF($I201="Days", ev*IF(dr&gt;0, dr/hr, hpday), IF($I201="FTE", ev*hpw*w, ch))), IF(hrs="", "", hrs*hr))</f>
        <v/>
      </c>
      <c r="S201" s="13" t="n"/>
      <c r="T201" s="11">
        <f t="array" ref="T201">XLOOKUP(Scenario_Selected, INDEX(Scenario_Table,0,1), INDEX(Scenario_Table,0,2))</f>
        <v/>
      </c>
      <c r="U201" s="11">
        <f t="array" ref="U201">XLOOKUP(Scenario_Selected, INDEX(Scenario_Table,0,1), INDEX(Scenario_Table,0,3))</f>
        <v/>
      </c>
      <c r="V201" s="11">
        <f t="array" ref="V201">XLOOKUP(Scenario_Selected, INDEX(Scenario_Table,0,1), INDEX(Scenario_Table,0,4))</f>
        <v/>
      </c>
      <c r="W201" s="11">
        <f t="array" ref="W201">LET(ev,$J201, ch,$L201, et,$I201, dr,$Q201, hpday,Assumptions!$B$2, hpw,Assumptions!$B$3, w,$M201,hm,INDIRECT("R[0]C[0]",FALSE),hrs, IF(et="Hours", ev, IF(et="Days", ev*IF(dr&gt;0, dr/$P201, hpday), IF(et="FTE", ev*hpw*w, ch))), IF(hrs="", "", hrs*hm))</f>
        <v/>
      </c>
      <c r="X201" s="11">
        <f>IF($P201="","", $P201*INDIRECT("R[0]C[-3]",FALSE))</f>
        <v/>
      </c>
      <c r="Y201" s="11">
        <f>IF(INDIRECT("R[0]C[-1]",FALSE)="","", INDIRECT("R[0]C[-2]",FALSE)*INDIRECT("R[0]C[-1]",FALSE)*(1+INDIRECT("R[0]C[-3]",FALSE)))</f>
        <v/>
      </c>
      <c r="Z201" s="13" t="n"/>
    </row>
    <row r="202" ht="15.75" customHeight="1" s="74">
      <c r="A202" s="11" t="n">
        <v>202</v>
      </c>
      <c r="C202" s="11">
        <f t="array" ref="C202">IFERROR(INDEX(Milestones!$A:$A, MATCH($B202, Milestones!$B:$B, 0)), "")</f>
        <v/>
      </c>
      <c r="D202" s="11">
        <f t="array" ref="D202">IFERROR(INDEX(Milestones!$C:$C, MATCH($B202, Milestones!$B:$B, 0)), "")</f>
        <v/>
      </c>
      <c r="F202" s="11">
        <f t="array" ref="F202">IFERROR(INDEX(Milestones!$E:$E, MATCH($B202, Milestones!$B:$B, 0)), "")</f>
        <v/>
      </c>
      <c r="I202" s="11" t="n"/>
      <c r="J202" s="20" t="n"/>
      <c r="K202" s="11" t="n"/>
      <c r="L202" s="11">
        <f t="array" ref="L202">IF($K202="","", IFERROR(IFS($K202="Low", INDEX('Lookups - Complexity'!$C:$C, MATCH($B202, 'Lookups - Complexity'!$B:$B,0)), $K202="Medium", INDEX('Lookups - Complexity'!$D:$D, MATCH($B202, 'Lookups - Complexity'!$B:$B,0)), $K202="High", INDEX('Lookups - Complexity'!$E:$E, MATCH($B202, 'Lookups - Complexity'!$B:$B,0))), ""))</f>
        <v/>
      </c>
      <c r="M202" s="11">
        <f>IF($I202="FTE", Assumptions!$B$3, "")</f>
        <v/>
      </c>
      <c r="N202" s="11">
        <f t="array" ref="N202">IFERROR(INDEX(Milestones!$F:$F, MATCH($B202, Milestones!$B:$B, 0)), "")</f>
        <v/>
      </c>
      <c r="O202" s="11">
        <f t="array" ref="O202">IFERROR(INDEX(Milestones!$G:$G, MATCH($B202, Milestones!$B:$B, 0)), "")</f>
        <v/>
      </c>
      <c r="P202" s="11">
        <f t="array" ref="P202">IFERROR(INDEX('Lookups - Rates'!$D:$D, MATCH($G202&amp;"|"&amp;$H202, 'Lookups - Rates'!$Z:$Z, 0)), "")</f>
        <v/>
      </c>
      <c r="Q202" s="11">
        <f t="array" ref="Q202">IFERROR(INDEX('Lookups - Rates'!$E:$E, MATCH($G202&amp;"|"&amp;$H202, 'Lookups - Rates'!$Z:$Z, 0)), "")</f>
        <v/>
      </c>
      <c r="R202" s="11">
        <f>LET(ev,$J202, ch,$L202, hr,$P202, dr,$Q202, hpday,Assumptions!$B$2, hpw,Assumptions!$B$3, w,$M202, hrs, IF($I202="Hours", ev, IF($I202="Days", ev*IF(dr&gt;0, dr/hr, hpday), IF($I202="FTE", ev*hpw*w, ch))), IF(hrs="", "", hrs*hr))</f>
        <v/>
      </c>
      <c r="S202" s="13" t="n"/>
      <c r="T202" s="11">
        <f t="array" ref="T202">XLOOKUP(Scenario_Selected, INDEX(Scenario_Table,0,1), INDEX(Scenario_Table,0,2))</f>
        <v/>
      </c>
      <c r="U202" s="11">
        <f t="array" ref="U202">XLOOKUP(Scenario_Selected, INDEX(Scenario_Table,0,1), INDEX(Scenario_Table,0,3))</f>
        <v/>
      </c>
      <c r="V202" s="11">
        <f t="array" ref="V202">XLOOKUP(Scenario_Selected, INDEX(Scenario_Table,0,1), INDEX(Scenario_Table,0,4))</f>
        <v/>
      </c>
      <c r="W202" s="11">
        <f t="array" ref="W202">LET(ev,$J202, ch,$L202, et,$I202, dr,$Q202, hpday,Assumptions!$B$2, hpw,Assumptions!$B$3, w,$M202,hm,INDIRECT("R[0]C[0]",FALSE),hrs, IF(et="Hours", ev, IF(et="Days", ev*IF(dr&gt;0, dr/$P202, hpday), IF(et="FTE", ev*hpw*w, ch))), IF(hrs="", "", hrs*hm))</f>
        <v/>
      </c>
      <c r="X202" s="11">
        <f>IF($P202="","", $P202*INDIRECT("R[0]C[-3]",FALSE))</f>
        <v/>
      </c>
      <c r="Y202" s="11">
        <f>IF(INDIRECT("R[0]C[-1]",FALSE)="","", INDIRECT("R[0]C[-2]",FALSE)*INDIRECT("R[0]C[-1]",FALSE)*(1+INDIRECT("R[0]C[-3]",FALSE)))</f>
        <v/>
      </c>
      <c r="Z202" s="13" t="n"/>
    </row>
    <row r="203" ht="15.75" customHeight="1" s="74">
      <c r="A203" s="11" t="n">
        <v>203</v>
      </c>
      <c r="C203" s="11">
        <f t="array" ref="C203">IFERROR(INDEX(Milestones!$A:$A, MATCH($B203, Milestones!$B:$B, 0)), "")</f>
        <v/>
      </c>
      <c r="D203" s="11">
        <f t="array" ref="D203">IFERROR(INDEX(Milestones!$C:$C, MATCH($B203, Milestones!$B:$B, 0)), "")</f>
        <v/>
      </c>
      <c r="F203" s="11">
        <f t="array" ref="F203">IFERROR(INDEX(Milestones!$E:$E, MATCH($B203, Milestones!$B:$B, 0)), "")</f>
        <v/>
      </c>
      <c r="I203" s="11" t="n"/>
      <c r="J203" s="20" t="n"/>
      <c r="K203" s="11" t="n"/>
      <c r="L203" s="11">
        <f t="array" ref="L203">IF($K203="","", IFERROR(IFS($K203="Low", INDEX('Lookups - Complexity'!$C:$C, MATCH($B203, 'Lookups - Complexity'!$B:$B,0)), $K203="Medium", INDEX('Lookups - Complexity'!$D:$D, MATCH($B203, 'Lookups - Complexity'!$B:$B,0)), $K203="High", INDEX('Lookups - Complexity'!$E:$E, MATCH($B203, 'Lookups - Complexity'!$B:$B,0))), ""))</f>
        <v/>
      </c>
      <c r="M203" s="11">
        <f>IF($I203="FTE", Assumptions!$B$3, "")</f>
        <v/>
      </c>
      <c r="N203" s="11">
        <f t="array" ref="N203">IFERROR(INDEX(Milestones!$F:$F, MATCH($B203, Milestones!$B:$B, 0)), "")</f>
        <v/>
      </c>
      <c r="O203" s="11">
        <f t="array" ref="O203">IFERROR(INDEX(Milestones!$G:$G, MATCH($B203, Milestones!$B:$B, 0)), "")</f>
        <v/>
      </c>
      <c r="P203" s="11">
        <f t="array" ref="P203">IFERROR(INDEX('Lookups - Rates'!$D:$D, MATCH($G203&amp;"|"&amp;$H203, 'Lookups - Rates'!$Z:$Z, 0)), "")</f>
        <v/>
      </c>
      <c r="Q203" s="11">
        <f t="array" ref="Q203">IFERROR(INDEX('Lookups - Rates'!$E:$E, MATCH($G203&amp;"|"&amp;$H203, 'Lookups - Rates'!$Z:$Z, 0)), "")</f>
        <v/>
      </c>
      <c r="R203" s="11">
        <f>LET(ev,$J203, ch,$L203, hr,$P203, dr,$Q203, hpday,Assumptions!$B$2, hpw,Assumptions!$B$3, w,$M203, hrs, IF($I203="Hours", ev, IF($I203="Days", ev*IF(dr&gt;0, dr/hr, hpday), IF($I203="FTE", ev*hpw*w, ch))), IF(hrs="", "", hrs*hr))</f>
        <v/>
      </c>
      <c r="S203" s="13" t="n"/>
      <c r="T203" s="11">
        <f t="array" ref="T203">XLOOKUP(Scenario_Selected, INDEX(Scenario_Table,0,1), INDEX(Scenario_Table,0,2))</f>
        <v/>
      </c>
      <c r="U203" s="11">
        <f t="array" ref="U203">XLOOKUP(Scenario_Selected, INDEX(Scenario_Table,0,1), INDEX(Scenario_Table,0,3))</f>
        <v/>
      </c>
      <c r="V203" s="11">
        <f t="array" ref="V203">XLOOKUP(Scenario_Selected, INDEX(Scenario_Table,0,1), INDEX(Scenario_Table,0,4))</f>
        <v/>
      </c>
      <c r="W203" s="11">
        <f t="array" ref="W203">LET(ev,$J203, ch,$L203, et,$I203, dr,$Q203, hpday,Assumptions!$B$2, hpw,Assumptions!$B$3, w,$M203,hm,INDIRECT("R[0]C[0]",FALSE),hrs, IF(et="Hours", ev, IF(et="Days", ev*IF(dr&gt;0, dr/$P203, hpday), IF(et="FTE", ev*hpw*w, ch))), IF(hrs="", "", hrs*hm))</f>
        <v/>
      </c>
      <c r="X203" s="11">
        <f>IF($P203="","", $P203*INDIRECT("R[0]C[-3]",FALSE))</f>
        <v/>
      </c>
      <c r="Y203" s="11">
        <f>IF(INDIRECT("R[0]C[-1]",FALSE)="","", INDIRECT("R[0]C[-2]",FALSE)*INDIRECT("R[0]C[-1]",FALSE)*(1+INDIRECT("R[0]C[-3]",FALSE)))</f>
        <v/>
      </c>
      <c r="Z203" s="13" t="n"/>
    </row>
    <row r="204" ht="15.75" customHeight="1" s="74">
      <c r="A204" s="11" t="n">
        <v>204</v>
      </c>
      <c r="C204" s="11">
        <f t="array" ref="C204">IFERROR(INDEX(Milestones!$A:$A, MATCH($B204, Milestones!$B:$B, 0)), "")</f>
        <v/>
      </c>
      <c r="D204" s="11">
        <f t="array" ref="D204">IFERROR(INDEX(Milestones!$C:$C, MATCH($B204, Milestones!$B:$B, 0)), "")</f>
        <v/>
      </c>
      <c r="F204" s="11">
        <f t="array" ref="F204">IFERROR(INDEX(Milestones!$E:$E, MATCH($B204, Milestones!$B:$B, 0)), "")</f>
        <v/>
      </c>
      <c r="I204" s="11" t="n"/>
      <c r="J204" s="20" t="n"/>
      <c r="K204" s="11" t="n"/>
      <c r="L204" s="11">
        <f t="array" ref="L204">IF($K204="","", IFERROR(IFS($K204="Low", INDEX('Lookups - Complexity'!$C:$C, MATCH($B204, 'Lookups - Complexity'!$B:$B,0)), $K204="Medium", INDEX('Lookups - Complexity'!$D:$D, MATCH($B204, 'Lookups - Complexity'!$B:$B,0)), $K204="High", INDEX('Lookups - Complexity'!$E:$E, MATCH($B204, 'Lookups - Complexity'!$B:$B,0))), ""))</f>
        <v/>
      </c>
      <c r="M204" s="11">
        <f>IF($I204="FTE", Assumptions!$B$3, "")</f>
        <v/>
      </c>
      <c r="N204" s="11">
        <f t="array" ref="N204">IFERROR(INDEX(Milestones!$F:$F, MATCH($B204, Milestones!$B:$B, 0)), "")</f>
        <v/>
      </c>
      <c r="O204" s="11">
        <f t="array" ref="O204">IFERROR(INDEX(Milestones!$G:$G, MATCH($B204, Milestones!$B:$B, 0)), "")</f>
        <v/>
      </c>
      <c r="P204" s="11">
        <f t="array" ref="P204">IFERROR(INDEX('Lookups - Rates'!$D:$D, MATCH($G204&amp;"|"&amp;$H204, 'Lookups - Rates'!$Z:$Z, 0)), "")</f>
        <v/>
      </c>
      <c r="Q204" s="11">
        <f t="array" ref="Q204">IFERROR(INDEX('Lookups - Rates'!$E:$E, MATCH($G204&amp;"|"&amp;$H204, 'Lookups - Rates'!$Z:$Z, 0)), "")</f>
        <v/>
      </c>
      <c r="R204" s="11">
        <f>LET(ev,$J204, ch,$L204, hr,$P204, dr,$Q204, hpday,Assumptions!$B$2, hpw,Assumptions!$B$3, w,$M204, hrs, IF($I204="Hours", ev, IF($I204="Days", ev*IF(dr&gt;0, dr/hr, hpday), IF($I204="FTE", ev*hpw*w, ch))), IF(hrs="", "", hrs*hr))</f>
        <v/>
      </c>
      <c r="S204" s="13" t="n"/>
      <c r="T204" s="11">
        <f t="array" ref="T204">XLOOKUP(Scenario_Selected, INDEX(Scenario_Table,0,1), INDEX(Scenario_Table,0,2))</f>
        <v/>
      </c>
      <c r="U204" s="11">
        <f t="array" ref="U204">XLOOKUP(Scenario_Selected, INDEX(Scenario_Table,0,1), INDEX(Scenario_Table,0,3))</f>
        <v/>
      </c>
      <c r="V204" s="11">
        <f t="array" ref="V204">XLOOKUP(Scenario_Selected, INDEX(Scenario_Table,0,1), INDEX(Scenario_Table,0,4))</f>
        <v/>
      </c>
      <c r="W204" s="11">
        <f t="array" ref="W204">LET(ev,$J204, ch,$L204, et,$I204, dr,$Q204, hpday,Assumptions!$B$2, hpw,Assumptions!$B$3, w,$M204,hm,INDIRECT("R[0]C[0]",FALSE),hrs, IF(et="Hours", ev, IF(et="Days", ev*IF(dr&gt;0, dr/$P204, hpday), IF(et="FTE", ev*hpw*w, ch))), IF(hrs="", "", hrs*hm))</f>
        <v/>
      </c>
      <c r="X204" s="11">
        <f>IF($P204="","", $P204*INDIRECT("R[0]C[-3]",FALSE))</f>
        <v/>
      </c>
      <c r="Y204" s="11">
        <f>IF(INDIRECT("R[0]C[-1]",FALSE)="","", INDIRECT("R[0]C[-2]",FALSE)*INDIRECT("R[0]C[-1]",FALSE)*(1+INDIRECT("R[0]C[-3]",FALSE)))</f>
        <v/>
      </c>
      <c r="Z204" s="13" t="n"/>
    </row>
    <row r="205" ht="15.75" customHeight="1" s="74">
      <c r="A205" s="11" t="n">
        <v>205</v>
      </c>
      <c r="C205" s="11">
        <f t="array" ref="C205">IFERROR(INDEX(Milestones!$A:$A, MATCH($B205, Milestones!$B:$B, 0)), "")</f>
        <v/>
      </c>
      <c r="D205" s="11">
        <f t="array" ref="D205">IFERROR(INDEX(Milestones!$C:$C, MATCH($B205, Milestones!$B:$B, 0)), "")</f>
        <v/>
      </c>
      <c r="F205" s="11">
        <f t="array" ref="F205">IFERROR(INDEX(Milestones!$E:$E, MATCH($B205, Milestones!$B:$B, 0)), "")</f>
        <v/>
      </c>
      <c r="I205" s="11" t="n"/>
      <c r="J205" s="20" t="n"/>
      <c r="K205" s="11" t="n"/>
      <c r="L205" s="11">
        <f t="array" ref="L205">IF($K205="","", IFERROR(IFS($K205="Low", INDEX('Lookups - Complexity'!$C:$C, MATCH($B205, 'Lookups - Complexity'!$B:$B,0)), $K205="Medium", INDEX('Lookups - Complexity'!$D:$D, MATCH($B205, 'Lookups - Complexity'!$B:$B,0)), $K205="High", INDEX('Lookups - Complexity'!$E:$E, MATCH($B205, 'Lookups - Complexity'!$B:$B,0))), ""))</f>
        <v/>
      </c>
      <c r="M205" s="11">
        <f>IF($I205="FTE", Assumptions!$B$3, "")</f>
        <v/>
      </c>
      <c r="N205" s="11">
        <f t="array" ref="N205">IFERROR(INDEX(Milestones!$F:$F, MATCH($B205, Milestones!$B:$B, 0)), "")</f>
        <v/>
      </c>
      <c r="O205" s="11">
        <f t="array" ref="O205">IFERROR(INDEX(Milestones!$G:$G, MATCH($B205, Milestones!$B:$B, 0)), "")</f>
        <v/>
      </c>
      <c r="P205" s="11">
        <f t="array" ref="P205">IFERROR(INDEX('Lookups - Rates'!$D:$D, MATCH($G205&amp;"|"&amp;$H205, 'Lookups - Rates'!$Z:$Z, 0)), "")</f>
        <v/>
      </c>
      <c r="Q205" s="11">
        <f t="array" ref="Q205">IFERROR(INDEX('Lookups - Rates'!$E:$E, MATCH($G205&amp;"|"&amp;$H205, 'Lookups - Rates'!$Z:$Z, 0)), "")</f>
        <v/>
      </c>
      <c r="R205" s="11">
        <f>LET(ev,$J205, ch,$L205, hr,$P205, dr,$Q205, hpday,Assumptions!$B$2, hpw,Assumptions!$B$3, w,$M205, hrs, IF($I205="Hours", ev, IF($I205="Days", ev*IF(dr&gt;0, dr/hr, hpday), IF($I205="FTE", ev*hpw*w, ch))), IF(hrs="", "", hrs*hr))</f>
        <v/>
      </c>
      <c r="S205" s="13" t="n"/>
      <c r="T205" s="11">
        <f t="array" ref="T205">XLOOKUP(Scenario_Selected, INDEX(Scenario_Table,0,1), INDEX(Scenario_Table,0,2))</f>
        <v/>
      </c>
      <c r="U205" s="11">
        <f t="array" ref="U205">XLOOKUP(Scenario_Selected, INDEX(Scenario_Table,0,1), INDEX(Scenario_Table,0,3))</f>
        <v/>
      </c>
      <c r="V205" s="11">
        <f t="array" ref="V205">XLOOKUP(Scenario_Selected, INDEX(Scenario_Table,0,1), INDEX(Scenario_Table,0,4))</f>
        <v/>
      </c>
      <c r="W205" s="11">
        <f t="array" ref="W205">LET(ev,$J205, ch,$L205, et,$I205, dr,$Q205, hpday,Assumptions!$B$2, hpw,Assumptions!$B$3, w,$M205,hm,INDIRECT("R[0]C[0]",FALSE),hrs, IF(et="Hours", ev, IF(et="Days", ev*IF(dr&gt;0, dr/$P205, hpday), IF(et="FTE", ev*hpw*w, ch))), IF(hrs="", "", hrs*hm))</f>
        <v/>
      </c>
      <c r="X205" s="11">
        <f>IF($P205="","", $P205*INDIRECT("R[0]C[-3]",FALSE))</f>
        <v/>
      </c>
      <c r="Y205" s="11">
        <f>IF(INDIRECT("R[0]C[-1]",FALSE)="","", INDIRECT("R[0]C[-2]",FALSE)*INDIRECT("R[0]C[-1]",FALSE)*(1+INDIRECT("R[0]C[-3]",FALSE)))</f>
        <v/>
      </c>
      <c r="Z205" s="13" t="n"/>
    </row>
    <row r="206" ht="15.75" customHeight="1" s="74">
      <c r="A206" s="11" t="n">
        <v>206</v>
      </c>
      <c r="C206" s="11">
        <f t="array" ref="C206">IFERROR(INDEX(Milestones!$A:$A, MATCH($B206, Milestones!$B:$B, 0)), "")</f>
        <v/>
      </c>
      <c r="D206" s="11">
        <f t="array" ref="D206">IFERROR(INDEX(Milestones!$C:$C, MATCH($B206, Milestones!$B:$B, 0)), "")</f>
        <v/>
      </c>
      <c r="F206" s="11">
        <f t="array" ref="F206">IFERROR(INDEX(Milestones!$E:$E, MATCH($B206, Milestones!$B:$B, 0)), "")</f>
        <v/>
      </c>
      <c r="I206" s="11" t="n"/>
      <c r="J206" s="20" t="n"/>
      <c r="K206" s="11" t="n"/>
      <c r="L206" s="11">
        <f t="array" ref="L206">IF($K206="","", IFERROR(IFS($K206="Low", INDEX('Lookups - Complexity'!$C:$C, MATCH($B206, 'Lookups - Complexity'!$B:$B,0)), $K206="Medium", INDEX('Lookups - Complexity'!$D:$D, MATCH($B206, 'Lookups - Complexity'!$B:$B,0)), $K206="High", INDEX('Lookups - Complexity'!$E:$E, MATCH($B206, 'Lookups - Complexity'!$B:$B,0))), ""))</f>
        <v/>
      </c>
      <c r="M206" s="11">
        <f>IF($I206="FTE", Assumptions!$B$3, "")</f>
        <v/>
      </c>
      <c r="N206" s="11">
        <f t="array" ref="N206">IFERROR(INDEX(Milestones!$F:$F, MATCH($B206, Milestones!$B:$B, 0)), "")</f>
        <v/>
      </c>
      <c r="O206" s="11">
        <f t="array" ref="O206">IFERROR(INDEX(Milestones!$G:$G, MATCH($B206, Milestones!$B:$B, 0)), "")</f>
        <v/>
      </c>
      <c r="P206" s="11">
        <f t="array" ref="P206">IFERROR(INDEX('Lookups - Rates'!$D:$D, MATCH($G206&amp;"|"&amp;$H206, 'Lookups - Rates'!$Z:$Z, 0)), "")</f>
        <v/>
      </c>
      <c r="Q206" s="11">
        <f t="array" ref="Q206">IFERROR(INDEX('Lookups - Rates'!$E:$E, MATCH($G206&amp;"|"&amp;$H206, 'Lookups - Rates'!$Z:$Z, 0)), "")</f>
        <v/>
      </c>
      <c r="R206" s="11">
        <f>LET(ev,$J206, ch,$L206, hr,$P206, dr,$Q206, hpday,Assumptions!$B$2, hpw,Assumptions!$B$3, w,$M206, hrs, IF($I206="Hours", ev, IF($I206="Days", ev*IF(dr&gt;0, dr/hr, hpday), IF($I206="FTE", ev*hpw*w, ch))), IF(hrs="", "", hrs*hr))</f>
        <v/>
      </c>
      <c r="S206" s="13" t="n"/>
      <c r="T206" s="11">
        <f t="array" ref="T206">XLOOKUP(Scenario_Selected, INDEX(Scenario_Table,0,1), INDEX(Scenario_Table,0,2))</f>
        <v/>
      </c>
      <c r="U206" s="11">
        <f t="array" ref="U206">XLOOKUP(Scenario_Selected, INDEX(Scenario_Table,0,1), INDEX(Scenario_Table,0,3))</f>
        <v/>
      </c>
      <c r="V206" s="11">
        <f t="array" ref="V206">XLOOKUP(Scenario_Selected, INDEX(Scenario_Table,0,1), INDEX(Scenario_Table,0,4))</f>
        <v/>
      </c>
      <c r="W206" s="11">
        <f t="array" ref="W206">LET(ev,$J206, ch,$L206, et,$I206, dr,$Q206, hpday,Assumptions!$B$2, hpw,Assumptions!$B$3, w,$M206,hm,INDIRECT("R[0]C[0]",FALSE),hrs, IF(et="Hours", ev, IF(et="Days", ev*IF(dr&gt;0, dr/$P206, hpday), IF(et="FTE", ev*hpw*w, ch))), IF(hrs="", "", hrs*hm))</f>
        <v/>
      </c>
      <c r="X206" s="11">
        <f>IF($P206="","", $P206*INDIRECT("R[0]C[-3]",FALSE))</f>
        <v/>
      </c>
      <c r="Y206" s="11">
        <f>IF(INDIRECT("R[0]C[-1]",FALSE)="","", INDIRECT("R[0]C[-2]",FALSE)*INDIRECT("R[0]C[-1]",FALSE)*(1+INDIRECT("R[0]C[-3]",FALSE)))</f>
        <v/>
      </c>
      <c r="Z206" s="13" t="n"/>
    </row>
    <row r="207" ht="15.75" customHeight="1" s="74">
      <c r="A207" s="11" t="n">
        <v>207</v>
      </c>
      <c r="C207" s="11">
        <f t="array" ref="C207">IFERROR(INDEX(Milestones!$A:$A, MATCH($B207, Milestones!$B:$B, 0)), "")</f>
        <v/>
      </c>
      <c r="D207" s="11">
        <f t="array" ref="D207">IFERROR(INDEX(Milestones!$C:$C, MATCH($B207, Milestones!$B:$B, 0)), "")</f>
        <v/>
      </c>
      <c r="F207" s="11">
        <f t="array" ref="F207">IFERROR(INDEX(Milestones!$E:$E, MATCH($B207, Milestones!$B:$B, 0)), "")</f>
        <v/>
      </c>
      <c r="I207" s="11" t="n"/>
      <c r="J207" s="20" t="n"/>
      <c r="K207" s="11" t="n"/>
      <c r="L207" s="11">
        <f t="array" ref="L207">IF($K207="","", IFERROR(IFS($K207="Low", INDEX('Lookups - Complexity'!$C:$C, MATCH($B207, 'Lookups - Complexity'!$B:$B,0)), $K207="Medium", INDEX('Lookups - Complexity'!$D:$D, MATCH($B207, 'Lookups - Complexity'!$B:$B,0)), $K207="High", INDEX('Lookups - Complexity'!$E:$E, MATCH($B207, 'Lookups - Complexity'!$B:$B,0))), ""))</f>
        <v/>
      </c>
      <c r="M207" s="11">
        <f>IF($I207="FTE", Assumptions!$B$3, "")</f>
        <v/>
      </c>
      <c r="N207" s="11">
        <f t="array" ref="N207">IFERROR(INDEX(Milestones!$F:$F, MATCH($B207, Milestones!$B:$B, 0)), "")</f>
        <v/>
      </c>
      <c r="O207" s="11">
        <f t="array" ref="O207">IFERROR(INDEX(Milestones!$G:$G, MATCH($B207, Milestones!$B:$B, 0)), "")</f>
        <v/>
      </c>
      <c r="P207" s="11">
        <f t="array" ref="P207">IFERROR(INDEX('Lookups - Rates'!$D:$D, MATCH($G207&amp;"|"&amp;$H207, 'Lookups - Rates'!$Z:$Z, 0)), "")</f>
        <v/>
      </c>
      <c r="Q207" s="11">
        <f t="array" ref="Q207">IFERROR(INDEX('Lookups - Rates'!$E:$E, MATCH($G207&amp;"|"&amp;$H207, 'Lookups - Rates'!$Z:$Z, 0)), "")</f>
        <v/>
      </c>
      <c r="R207" s="11">
        <f>LET(ev,$J207, ch,$L207, hr,$P207, dr,$Q207, hpday,Assumptions!$B$2, hpw,Assumptions!$B$3, w,$M207, hrs, IF($I207="Hours", ev, IF($I207="Days", ev*IF(dr&gt;0, dr/hr, hpday), IF($I207="FTE", ev*hpw*w, ch))), IF(hrs="", "", hrs*hr))</f>
        <v/>
      </c>
      <c r="S207" s="13" t="n"/>
      <c r="T207" s="11">
        <f t="array" ref="T207">XLOOKUP(Scenario_Selected, INDEX(Scenario_Table,0,1), INDEX(Scenario_Table,0,2))</f>
        <v/>
      </c>
      <c r="U207" s="11">
        <f t="array" ref="U207">XLOOKUP(Scenario_Selected, INDEX(Scenario_Table,0,1), INDEX(Scenario_Table,0,3))</f>
        <v/>
      </c>
      <c r="V207" s="11">
        <f t="array" ref="V207">XLOOKUP(Scenario_Selected, INDEX(Scenario_Table,0,1), INDEX(Scenario_Table,0,4))</f>
        <v/>
      </c>
      <c r="W207" s="11">
        <f t="array" ref="W207">LET(ev,$J207, ch,$L207, et,$I207, dr,$Q207, hpday,Assumptions!$B$2, hpw,Assumptions!$B$3, w,$M207,hm,INDIRECT("R[0]C[0]",FALSE),hrs, IF(et="Hours", ev, IF(et="Days", ev*IF(dr&gt;0, dr/$P207, hpday), IF(et="FTE", ev*hpw*w, ch))), IF(hrs="", "", hrs*hm))</f>
        <v/>
      </c>
      <c r="X207" s="11">
        <f>IF($P207="","", $P207*INDIRECT("R[0]C[-3]",FALSE))</f>
        <v/>
      </c>
      <c r="Y207" s="11">
        <f>IF(INDIRECT("R[0]C[-1]",FALSE)="","", INDIRECT("R[0]C[-2]",FALSE)*INDIRECT("R[0]C[-1]",FALSE)*(1+INDIRECT("R[0]C[-3]",FALSE)))</f>
        <v/>
      </c>
      <c r="Z207" s="13" t="n"/>
    </row>
    <row r="208" ht="15.75" customHeight="1" s="74">
      <c r="A208" s="11" t="n">
        <v>208</v>
      </c>
      <c r="C208" s="11">
        <f t="array" ref="C208">IFERROR(INDEX(Milestones!$A:$A, MATCH($B208, Milestones!$B:$B, 0)), "")</f>
        <v/>
      </c>
      <c r="D208" s="11">
        <f t="array" ref="D208">IFERROR(INDEX(Milestones!$C:$C, MATCH($B208, Milestones!$B:$B, 0)), "")</f>
        <v/>
      </c>
      <c r="F208" s="11">
        <f t="array" ref="F208">IFERROR(INDEX(Milestones!$E:$E, MATCH($B208, Milestones!$B:$B, 0)), "")</f>
        <v/>
      </c>
      <c r="I208" s="11" t="n"/>
      <c r="J208" s="20" t="n"/>
      <c r="K208" s="11" t="n"/>
      <c r="L208" s="11">
        <f t="array" ref="L208">IF($K208="","", IFERROR(IFS($K208="Low", INDEX('Lookups - Complexity'!$C:$C, MATCH($B208, 'Lookups - Complexity'!$B:$B,0)), $K208="Medium", INDEX('Lookups - Complexity'!$D:$D, MATCH($B208, 'Lookups - Complexity'!$B:$B,0)), $K208="High", INDEX('Lookups - Complexity'!$E:$E, MATCH($B208, 'Lookups - Complexity'!$B:$B,0))), ""))</f>
        <v/>
      </c>
      <c r="M208" s="11">
        <f>IF($I208="FTE", Assumptions!$B$3, "")</f>
        <v/>
      </c>
      <c r="N208" s="11">
        <f t="array" ref="N208">IFERROR(INDEX(Milestones!$F:$F, MATCH($B208, Milestones!$B:$B, 0)), "")</f>
        <v/>
      </c>
      <c r="O208" s="11">
        <f t="array" ref="O208">IFERROR(INDEX(Milestones!$G:$G, MATCH($B208, Milestones!$B:$B, 0)), "")</f>
        <v/>
      </c>
      <c r="P208" s="11">
        <f t="array" ref="P208">IFERROR(INDEX('Lookups - Rates'!$D:$D, MATCH($G208&amp;"|"&amp;$H208, 'Lookups - Rates'!$Z:$Z, 0)), "")</f>
        <v/>
      </c>
      <c r="Q208" s="11">
        <f t="array" ref="Q208">IFERROR(INDEX('Lookups - Rates'!$E:$E, MATCH($G208&amp;"|"&amp;$H208, 'Lookups - Rates'!$Z:$Z, 0)), "")</f>
        <v/>
      </c>
      <c r="R208" s="11">
        <f>LET(ev,$J208, ch,$L208, hr,$P208, dr,$Q208, hpday,Assumptions!$B$2, hpw,Assumptions!$B$3, w,$M208, hrs, IF($I208="Hours", ev, IF($I208="Days", ev*IF(dr&gt;0, dr/hr, hpday), IF($I208="FTE", ev*hpw*w, ch))), IF(hrs="", "", hrs*hr))</f>
        <v/>
      </c>
      <c r="S208" s="13" t="n"/>
      <c r="T208" s="11">
        <f t="array" ref="T208">XLOOKUP(Scenario_Selected, INDEX(Scenario_Table,0,1), INDEX(Scenario_Table,0,2))</f>
        <v/>
      </c>
      <c r="U208" s="11">
        <f t="array" ref="U208">XLOOKUP(Scenario_Selected, INDEX(Scenario_Table,0,1), INDEX(Scenario_Table,0,3))</f>
        <v/>
      </c>
      <c r="V208" s="11">
        <f t="array" ref="V208">XLOOKUP(Scenario_Selected, INDEX(Scenario_Table,0,1), INDEX(Scenario_Table,0,4))</f>
        <v/>
      </c>
      <c r="W208" s="11">
        <f t="array" ref="W208">LET(ev,$J208, ch,$L208, et,$I208, dr,$Q208, hpday,Assumptions!$B$2, hpw,Assumptions!$B$3, w,$M208,hm,INDIRECT("R[0]C[0]",FALSE),hrs, IF(et="Hours", ev, IF(et="Days", ev*IF(dr&gt;0, dr/$P208, hpday), IF(et="FTE", ev*hpw*w, ch))), IF(hrs="", "", hrs*hm))</f>
        <v/>
      </c>
      <c r="X208" s="11">
        <f>IF($P208="","", $P208*INDIRECT("R[0]C[-3]",FALSE))</f>
        <v/>
      </c>
      <c r="Y208" s="11">
        <f>IF(INDIRECT("R[0]C[-1]",FALSE)="","", INDIRECT("R[0]C[-2]",FALSE)*INDIRECT("R[0]C[-1]",FALSE)*(1+INDIRECT("R[0]C[-3]",FALSE)))</f>
        <v/>
      </c>
      <c r="Z208" s="13" t="n"/>
    </row>
    <row r="209" ht="15.75" customHeight="1" s="74">
      <c r="A209" s="11" t="n">
        <v>209</v>
      </c>
      <c r="C209" s="11">
        <f t="array" ref="C209">IFERROR(INDEX(Milestones!$A:$A, MATCH($B209, Milestones!$B:$B, 0)), "")</f>
        <v/>
      </c>
      <c r="D209" s="11">
        <f t="array" ref="D209">IFERROR(INDEX(Milestones!$C:$C, MATCH($B209, Milestones!$B:$B, 0)), "")</f>
        <v/>
      </c>
      <c r="F209" s="11">
        <f t="array" ref="F209">IFERROR(INDEX(Milestones!$E:$E, MATCH($B209, Milestones!$B:$B, 0)), "")</f>
        <v/>
      </c>
      <c r="I209" s="11" t="n"/>
      <c r="J209" s="20" t="n"/>
      <c r="K209" s="11" t="n"/>
      <c r="L209" s="11">
        <f t="array" ref="L209">IF($K209="","", IFERROR(IFS($K209="Low", INDEX('Lookups - Complexity'!$C:$C, MATCH($B209, 'Lookups - Complexity'!$B:$B,0)), $K209="Medium", INDEX('Lookups - Complexity'!$D:$D, MATCH($B209, 'Lookups - Complexity'!$B:$B,0)), $K209="High", INDEX('Lookups - Complexity'!$E:$E, MATCH($B209, 'Lookups - Complexity'!$B:$B,0))), ""))</f>
        <v/>
      </c>
      <c r="M209" s="11">
        <f>IF($I209="FTE", Assumptions!$B$3, "")</f>
        <v/>
      </c>
      <c r="N209" s="11">
        <f t="array" ref="N209">IFERROR(INDEX(Milestones!$F:$F, MATCH($B209, Milestones!$B:$B, 0)), "")</f>
        <v/>
      </c>
      <c r="O209" s="11">
        <f t="array" ref="O209">IFERROR(INDEX(Milestones!$G:$G, MATCH($B209, Milestones!$B:$B, 0)), "")</f>
        <v/>
      </c>
      <c r="P209" s="11">
        <f t="array" ref="P209">IFERROR(INDEX('Lookups - Rates'!$D:$D, MATCH($G209&amp;"|"&amp;$H209, 'Lookups - Rates'!$Z:$Z, 0)), "")</f>
        <v/>
      </c>
      <c r="Q209" s="11">
        <f t="array" ref="Q209">IFERROR(INDEX('Lookups - Rates'!$E:$E, MATCH($G209&amp;"|"&amp;$H209, 'Lookups - Rates'!$Z:$Z, 0)), "")</f>
        <v/>
      </c>
      <c r="R209" s="11">
        <f>LET(ev,$J209, ch,$L209, hr,$P209, dr,$Q209, hpday,Assumptions!$B$2, hpw,Assumptions!$B$3, w,$M209, hrs, IF($I209="Hours", ev, IF($I209="Days", ev*IF(dr&gt;0, dr/hr, hpday), IF($I209="FTE", ev*hpw*w, ch))), IF(hrs="", "", hrs*hr))</f>
        <v/>
      </c>
      <c r="S209" s="13" t="n"/>
      <c r="T209" s="11">
        <f t="array" ref="T209">XLOOKUP(Scenario_Selected, INDEX(Scenario_Table,0,1), INDEX(Scenario_Table,0,2))</f>
        <v/>
      </c>
      <c r="U209" s="11">
        <f t="array" ref="U209">XLOOKUP(Scenario_Selected, INDEX(Scenario_Table,0,1), INDEX(Scenario_Table,0,3))</f>
        <v/>
      </c>
      <c r="V209" s="11">
        <f t="array" ref="V209">XLOOKUP(Scenario_Selected, INDEX(Scenario_Table,0,1), INDEX(Scenario_Table,0,4))</f>
        <v/>
      </c>
      <c r="W209" s="11">
        <f t="array" ref="W209">LET(ev,$J209, ch,$L209, et,$I209, dr,$Q209, hpday,Assumptions!$B$2, hpw,Assumptions!$B$3, w,$M209,hm,INDIRECT("R[0]C[0]",FALSE),hrs, IF(et="Hours", ev, IF(et="Days", ev*IF(dr&gt;0, dr/$P209, hpday), IF(et="FTE", ev*hpw*w, ch))), IF(hrs="", "", hrs*hm))</f>
        <v/>
      </c>
      <c r="X209" s="11">
        <f>IF($P209="","", $P209*INDIRECT("R[0]C[-3]",FALSE))</f>
        <v/>
      </c>
      <c r="Y209" s="11">
        <f>IF(INDIRECT("R[0]C[-1]",FALSE)="","", INDIRECT("R[0]C[-2]",FALSE)*INDIRECT("R[0]C[-1]",FALSE)*(1+INDIRECT("R[0]C[-3]",FALSE)))</f>
        <v/>
      </c>
      <c r="Z209" s="13" t="n"/>
    </row>
    <row r="210" ht="15.75" customHeight="1" s="74">
      <c r="A210" s="11" t="n">
        <v>210</v>
      </c>
      <c r="C210" s="11">
        <f t="array" ref="C210">IFERROR(INDEX(Milestones!$A:$A, MATCH($B210, Milestones!$B:$B, 0)), "")</f>
        <v/>
      </c>
      <c r="D210" s="11">
        <f t="array" ref="D210">IFERROR(INDEX(Milestones!$C:$C, MATCH($B210, Milestones!$B:$B, 0)), "")</f>
        <v/>
      </c>
      <c r="F210" s="11">
        <f t="array" ref="F210">IFERROR(INDEX(Milestones!$E:$E, MATCH($B210, Milestones!$B:$B, 0)), "")</f>
        <v/>
      </c>
      <c r="I210" s="11" t="n"/>
      <c r="J210" s="20" t="n"/>
      <c r="K210" s="11" t="n"/>
      <c r="L210" s="11">
        <f t="array" ref="L210">IF($K210="","", IFERROR(IFS($K210="Low", INDEX('Lookups - Complexity'!$C:$C, MATCH($B210, 'Lookups - Complexity'!$B:$B,0)), $K210="Medium", INDEX('Lookups - Complexity'!$D:$D, MATCH($B210, 'Lookups - Complexity'!$B:$B,0)), $K210="High", INDEX('Lookups - Complexity'!$E:$E, MATCH($B210, 'Lookups - Complexity'!$B:$B,0))), ""))</f>
        <v/>
      </c>
      <c r="M210" s="11">
        <f>IF($I210="FTE", Assumptions!$B$3, "")</f>
        <v/>
      </c>
      <c r="N210" s="11">
        <f t="array" ref="N210">IFERROR(INDEX(Milestones!$F:$F, MATCH($B210, Milestones!$B:$B, 0)), "")</f>
        <v/>
      </c>
      <c r="O210" s="11">
        <f t="array" ref="O210">IFERROR(INDEX(Milestones!$G:$G, MATCH($B210, Milestones!$B:$B, 0)), "")</f>
        <v/>
      </c>
      <c r="P210" s="11">
        <f t="array" ref="P210">IFERROR(INDEX('Lookups - Rates'!$D:$D, MATCH($G210&amp;"|"&amp;$H210, 'Lookups - Rates'!$Z:$Z, 0)), "")</f>
        <v/>
      </c>
      <c r="Q210" s="11">
        <f t="array" ref="Q210">IFERROR(INDEX('Lookups - Rates'!$E:$E, MATCH($G210&amp;"|"&amp;$H210, 'Lookups - Rates'!$Z:$Z, 0)), "")</f>
        <v/>
      </c>
      <c r="R210" s="11">
        <f>LET(ev,$J210, ch,$L210, hr,$P210, dr,$Q210, hpday,Assumptions!$B$2, hpw,Assumptions!$B$3, w,$M210, hrs, IF($I210="Hours", ev, IF($I210="Days", ev*IF(dr&gt;0, dr/hr, hpday), IF($I210="FTE", ev*hpw*w, ch))), IF(hrs="", "", hrs*hr))</f>
        <v/>
      </c>
      <c r="S210" s="13" t="n"/>
      <c r="T210" s="11">
        <f t="array" ref="T210">XLOOKUP(Scenario_Selected, INDEX(Scenario_Table,0,1), INDEX(Scenario_Table,0,2))</f>
        <v/>
      </c>
      <c r="U210" s="11">
        <f t="array" ref="U210">XLOOKUP(Scenario_Selected, INDEX(Scenario_Table,0,1), INDEX(Scenario_Table,0,3))</f>
        <v/>
      </c>
      <c r="V210" s="11">
        <f t="array" ref="V210">XLOOKUP(Scenario_Selected, INDEX(Scenario_Table,0,1), INDEX(Scenario_Table,0,4))</f>
        <v/>
      </c>
      <c r="W210" s="11">
        <f t="array" ref="W210">LET(ev,$J210, ch,$L210, et,$I210, dr,$Q210, hpday,Assumptions!$B$2, hpw,Assumptions!$B$3, w,$M210,hm,INDIRECT("R[0]C[0]",FALSE),hrs, IF(et="Hours", ev, IF(et="Days", ev*IF(dr&gt;0, dr/$P210, hpday), IF(et="FTE", ev*hpw*w, ch))), IF(hrs="", "", hrs*hm))</f>
        <v/>
      </c>
      <c r="X210" s="11">
        <f>IF($P210="","", $P210*INDIRECT("R[0]C[-3]",FALSE))</f>
        <v/>
      </c>
      <c r="Y210" s="11">
        <f>IF(INDIRECT("R[0]C[-1]",FALSE)="","", INDIRECT("R[0]C[-2]",FALSE)*INDIRECT("R[0]C[-1]",FALSE)*(1+INDIRECT("R[0]C[-3]",FALSE)))</f>
        <v/>
      </c>
      <c r="Z210" s="13" t="n"/>
    </row>
    <row r="211" ht="15.75" customHeight="1" s="74">
      <c r="A211" s="11" t="n">
        <v>211</v>
      </c>
      <c r="C211" s="11">
        <f t="array" ref="C211">IFERROR(INDEX(Milestones!$A:$A, MATCH($B211, Milestones!$B:$B, 0)), "")</f>
        <v/>
      </c>
      <c r="D211" s="11">
        <f t="array" ref="D211">IFERROR(INDEX(Milestones!$C:$C, MATCH($B211, Milestones!$B:$B, 0)), "")</f>
        <v/>
      </c>
      <c r="F211" s="11">
        <f t="array" ref="F211">IFERROR(INDEX(Milestones!$E:$E, MATCH($B211, Milestones!$B:$B, 0)), "")</f>
        <v/>
      </c>
      <c r="I211" s="11" t="n"/>
      <c r="J211" s="20" t="n"/>
      <c r="K211" s="11" t="n"/>
      <c r="L211" s="11">
        <f t="array" ref="L211">IF($K211="","", IFERROR(IFS($K211="Low", INDEX('Lookups - Complexity'!$C:$C, MATCH($B211, 'Lookups - Complexity'!$B:$B,0)), $K211="Medium", INDEX('Lookups - Complexity'!$D:$D, MATCH($B211, 'Lookups - Complexity'!$B:$B,0)), $K211="High", INDEX('Lookups - Complexity'!$E:$E, MATCH($B211, 'Lookups - Complexity'!$B:$B,0))), ""))</f>
        <v/>
      </c>
      <c r="M211" s="11">
        <f>IF($I211="FTE", Assumptions!$B$3, "")</f>
        <v/>
      </c>
      <c r="N211" s="11">
        <f t="array" ref="N211">IFERROR(INDEX(Milestones!$F:$F, MATCH($B211, Milestones!$B:$B, 0)), "")</f>
        <v/>
      </c>
      <c r="O211" s="11">
        <f t="array" ref="O211">IFERROR(INDEX(Milestones!$G:$G, MATCH($B211, Milestones!$B:$B, 0)), "")</f>
        <v/>
      </c>
      <c r="P211" s="11">
        <f t="array" ref="P211">IFERROR(INDEX('Lookups - Rates'!$D:$D, MATCH($G211&amp;"|"&amp;$H211, 'Lookups - Rates'!$Z:$Z, 0)), "")</f>
        <v/>
      </c>
      <c r="Q211" s="11">
        <f t="array" ref="Q211">IFERROR(INDEX('Lookups - Rates'!$E:$E, MATCH($G211&amp;"|"&amp;$H211, 'Lookups - Rates'!$Z:$Z, 0)), "")</f>
        <v/>
      </c>
      <c r="R211" s="11">
        <f>LET(ev,$J211, ch,$L211, hr,$P211, dr,$Q211, hpday,Assumptions!$B$2, hpw,Assumptions!$B$3, w,$M211, hrs, IF($I211="Hours", ev, IF($I211="Days", ev*IF(dr&gt;0, dr/hr, hpday), IF($I211="FTE", ev*hpw*w, ch))), IF(hrs="", "", hrs*hr))</f>
        <v/>
      </c>
      <c r="S211" s="13" t="n"/>
      <c r="T211" s="11">
        <f t="array" ref="T211">XLOOKUP(Scenario_Selected, INDEX(Scenario_Table,0,1), INDEX(Scenario_Table,0,2))</f>
        <v/>
      </c>
      <c r="U211" s="11">
        <f t="array" ref="U211">XLOOKUP(Scenario_Selected, INDEX(Scenario_Table,0,1), INDEX(Scenario_Table,0,3))</f>
        <v/>
      </c>
      <c r="V211" s="11">
        <f t="array" ref="V211">XLOOKUP(Scenario_Selected, INDEX(Scenario_Table,0,1), INDEX(Scenario_Table,0,4))</f>
        <v/>
      </c>
      <c r="W211" s="11">
        <f t="array" ref="W211">LET(ev,$J211, ch,$L211, et,$I211, dr,$Q211, hpday,Assumptions!$B$2, hpw,Assumptions!$B$3, w,$M211,hm,INDIRECT("R[0]C[0]",FALSE),hrs, IF(et="Hours", ev, IF(et="Days", ev*IF(dr&gt;0, dr/$P211, hpday), IF(et="FTE", ev*hpw*w, ch))), IF(hrs="", "", hrs*hm))</f>
        <v/>
      </c>
      <c r="X211" s="11">
        <f>IF($P211="","", $P211*INDIRECT("R[0]C[-3]",FALSE))</f>
        <v/>
      </c>
      <c r="Y211" s="11">
        <f>IF(INDIRECT("R[0]C[-1]",FALSE)="","", INDIRECT("R[0]C[-2]",FALSE)*INDIRECT("R[0]C[-1]",FALSE)*(1+INDIRECT("R[0]C[-3]",FALSE)))</f>
        <v/>
      </c>
      <c r="Z211" s="13" t="n"/>
    </row>
    <row r="212" ht="15.75" customHeight="1" s="74">
      <c r="A212" s="11" t="n">
        <v>212</v>
      </c>
      <c r="C212" s="11">
        <f t="array" ref="C212">IFERROR(INDEX(Milestones!$A:$A, MATCH($B212, Milestones!$B:$B, 0)), "")</f>
        <v/>
      </c>
      <c r="D212" s="11">
        <f t="array" ref="D212">IFERROR(INDEX(Milestones!$C:$C, MATCH($B212, Milestones!$B:$B, 0)), "")</f>
        <v/>
      </c>
      <c r="F212" s="11">
        <f t="array" ref="F212">IFERROR(INDEX(Milestones!$E:$E, MATCH($B212, Milestones!$B:$B, 0)), "")</f>
        <v/>
      </c>
      <c r="I212" s="11" t="n"/>
      <c r="J212" s="20" t="n"/>
      <c r="K212" s="11" t="n"/>
      <c r="L212" s="11">
        <f t="array" ref="L212">IF($K212="","", IFERROR(IFS($K212="Low", INDEX('Lookups - Complexity'!$C:$C, MATCH($B212, 'Lookups - Complexity'!$B:$B,0)), $K212="Medium", INDEX('Lookups - Complexity'!$D:$D, MATCH($B212, 'Lookups - Complexity'!$B:$B,0)), $K212="High", INDEX('Lookups - Complexity'!$E:$E, MATCH($B212, 'Lookups - Complexity'!$B:$B,0))), ""))</f>
        <v/>
      </c>
      <c r="M212" s="11">
        <f>IF($I212="FTE", Assumptions!$B$3, "")</f>
        <v/>
      </c>
      <c r="N212" s="11">
        <f t="array" ref="N212">IFERROR(INDEX(Milestones!$F:$F, MATCH($B212, Milestones!$B:$B, 0)), "")</f>
        <v/>
      </c>
      <c r="O212" s="11">
        <f t="array" ref="O212">IFERROR(INDEX(Milestones!$G:$G, MATCH($B212, Milestones!$B:$B, 0)), "")</f>
        <v/>
      </c>
      <c r="P212" s="11">
        <f t="array" ref="P212">IFERROR(INDEX('Lookups - Rates'!$D:$D, MATCH($G212&amp;"|"&amp;$H212, 'Lookups - Rates'!$Z:$Z, 0)), "")</f>
        <v/>
      </c>
      <c r="Q212" s="11">
        <f t="array" ref="Q212">IFERROR(INDEX('Lookups - Rates'!$E:$E, MATCH($G212&amp;"|"&amp;$H212, 'Lookups - Rates'!$Z:$Z, 0)), "")</f>
        <v/>
      </c>
      <c r="R212" s="11">
        <f>LET(ev,$J212, ch,$L212, hr,$P212, dr,$Q212, hpday,Assumptions!$B$2, hpw,Assumptions!$B$3, w,$M212, hrs, IF($I212="Hours", ev, IF($I212="Days", ev*IF(dr&gt;0, dr/hr, hpday), IF($I212="FTE", ev*hpw*w, ch))), IF(hrs="", "", hrs*hr))</f>
        <v/>
      </c>
      <c r="S212" s="13" t="n"/>
      <c r="T212" s="11">
        <f t="array" ref="T212">XLOOKUP(Scenario_Selected, INDEX(Scenario_Table,0,1), INDEX(Scenario_Table,0,2))</f>
        <v/>
      </c>
      <c r="U212" s="11">
        <f t="array" ref="U212">XLOOKUP(Scenario_Selected, INDEX(Scenario_Table,0,1), INDEX(Scenario_Table,0,3))</f>
        <v/>
      </c>
      <c r="V212" s="11">
        <f t="array" ref="V212">XLOOKUP(Scenario_Selected, INDEX(Scenario_Table,0,1), INDEX(Scenario_Table,0,4))</f>
        <v/>
      </c>
      <c r="W212" s="11">
        <f t="array" ref="W212">LET(ev,$J212, ch,$L212, et,$I212, dr,$Q212, hpday,Assumptions!$B$2, hpw,Assumptions!$B$3, w,$M212,hm,INDIRECT("R[0]C[0]",FALSE),hrs, IF(et="Hours", ev, IF(et="Days", ev*IF(dr&gt;0, dr/$P212, hpday), IF(et="FTE", ev*hpw*w, ch))), IF(hrs="", "", hrs*hm))</f>
        <v/>
      </c>
      <c r="X212" s="11">
        <f>IF($P212="","", $P212*INDIRECT("R[0]C[-3]",FALSE))</f>
        <v/>
      </c>
      <c r="Y212" s="11">
        <f>IF(INDIRECT("R[0]C[-1]",FALSE)="","", INDIRECT("R[0]C[-2]",FALSE)*INDIRECT("R[0]C[-1]",FALSE)*(1+INDIRECT("R[0]C[-3]",FALSE)))</f>
        <v/>
      </c>
      <c r="Z212" s="13" t="n"/>
    </row>
    <row r="213" ht="15.75" customHeight="1" s="74">
      <c r="A213" s="11" t="n">
        <v>213</v>
      </c>
      <c r="C213" s="11">
        <f t="array" ref="C213">IFERROR(INDEX(Milestones!$A:$A, MATCH($B213, Milestones!$B:$B, 0)), "")</f>
        <v/>
      </c>
      <c r="D213" s="11">
        <f t="array" ref="D213">IFERROR(INDEX(Milestones!$C:$C, MATCH($B213, Milestones!$B:$B, 0)), "")</f>
        <v/>
      </c>
      <c r="F213" s="11">
        <f t="array" ref="F213">IFERROR(INDEX(Milestones!$E:$E, MATCH($B213, Milestones!$B:$B, 0)), "")</f>
        <v/>
      </c>
      <c r="I213" s="11" t="n"/>
      <c r="J213" s="20" t="n"/>
      <c r="K213" s="11" t="n"/>
      <c r="L213" s="11">
        <f t="array" ref="L213">IF($K213="","", IFERROR(IFS($K213="Low", INDEX('Lookups - Complexity'!$C:$C, MATCH($B213, 'Lookups - Complexity'!$B:$B,0)), $K213="Medium", INDEX('Lookups - Complexity'!$D:$D, MATCH($B213, 'Lookups - Complexity'!$B:$B,0)), $K213="High", INDEX('Lookups - Complexity'!$E:$E, MATCH($B213, 'Lookups - Complexity'!$B:$B,0))), ""))</f>
        <v/>
      </c>
      <c r="M213" s="11">
        <f>IF($I213="FTE", Assumptions!$B$3, "")</f>
        <v/>
      </c>
      <c r="N213" s="11">
        <f t="array" ref="N213">IFERROR(INDEX(Milestones!$F:$F, MATCH($B213, Milestones!$B:$B, 0)), "")</f>
        <v/>
      </c>
      <c r="O213" s="11">
        <f t="array" ref="O213">IFERROR(INDEX(Milestones!$G:$G, MATCH($B213, Milestones!$B:$B, 0)), "")</f>
        <v/>
      </c>
      <c r="P213" s="11">
        <f t="array" ref="P213">IFERROR(INDEX('Lookups - Rates'!$D:$D, MATCH($G213&amp;"|"&amp;$H213, 'Lookups - Rates'!$Z:$Z, 0)), "")</f>
        <v/>
      </c>
      <c r="Q213" s="11">
        <f t="array" ref="Q213">IFERROR(INDEX('Lookups - Rates'!$E:$E, MATCH($G213&amp;"|"&amp;$H213, 'Lookups - Rates'!$Z:$Z, 0)), "")</f>
        <v/>
      </c>
      <c r="R213" s="11">
        <f>LET(ev,$J213, ch,$L213, hr,$P213, dr,$Q213, hpday,Assumptions!$B$2, hpw,Assumptions!$B$3, w,$M213, hrs, IF($I213="Hours", ev, IF($I213="Days", ev*IF(dr&gt;0, dr/hr, hpday), IF($I213="FTE", ev*hpw*w, ch))), IF(hrs="", "", hrs*hr))</f>
        <v/>
      </c>
      <c r="S213" s="13" t="n"/>
      <c r="T213" s="11">
        <f t="array" ref="T213">XLOOKUP(Scenario_Selected, INDEX(Scenario_Table,0,1), INDEX(Scenario_Table,0,2))</f>
        <v/>
      </c>
      <c r="U213" s="11">
        <f t="array" ref="U213">XLOOKUP(Scenario_Selected, INDEX(Scenario_Table,0,1), INDEX(Scenario_Table,0,3))</f>
        <v/>
      </c>
      <c r="V213" s="11">
        <f t="array" ref="V213">XLOOKUP(Scenario_Selected, INDEX(Scenario_Table,0,1), INDEX(Scenario_Table,0,4))</f>
        <v/>
      </c>
      <c r="W213" s="11">
        <f t="array" ref="W213">LET(ev,$J213, ch,$L213, et,$I213, dr,$Q213, hpday,Assumptions!$B$2, hpw,Assumptions!$B$3, w,$M213,hm,INDIRECT("R[0]C[0]",FALSE),hrs, IF(et="Hours", ev, IF(et="Days", ev*IF(dr&gt;0, dr/$P213, hpday), IF(et="FTE", ev*hpw*w, ch))), IF(hrs="", "", hrs*hm))</f>
        <v/>
      </c>
      <c r="X213" s="11">
        <f>IF($P213="","", $P213*INDIRECT("R[0]C[-3]",FALSE))</f>
        <v/>
      </c>
      <c r="Y213" s="11">
        <f>IF(INDIRECT("R[0]C[-1]",FALSE)="","", INDIRECT("R[0]C[-2]",FALSE)*INDIRECT("R[0]C[-1]",FALSE)*(1+INDIRECT("R[0]C[-3]",FALSE)))</f>
        <v/>
      </c>
      <c r="Z213" s="13" t="n"/>
    </row>
    <row r="214" ht="15.75" customHeight="1" s="74">
      <c r="A214" s="11" t="n">
        <v>214</v>
      </c>
      <c r="C214" s="11">
        <f t="array" ref="C214">IFERROR(INDEX(Milestones!$A:$A, MATCH($B214, Milestones!$B:$B, 0)), "")</f>
        <v/>
      </c>
      <c r="D214" s="11">
        <f t="array" ref="D214">IFERROR(INDEX(Milestones!$C:$C, MATCH($B214, Milestones!$B:$B, 0)), "")</f>
        <v/>
      </c>
      <c r="F214" s="11">
        <f t="array" ref="F214">IFERROR(INDEX(Milestones!$E:$E, MATCH($B214, Milestones!$B:$B, 0)), "")</f>
        <v/>
      </c>
      <c r="I214" s="11" t="n"/>
      <c r="J214" s="20" t="n"/>
      <c r="K214" s="11" t="n"/>
      <c r="L214" s="11">
        <f t="array" ref="L214">IF($K214="","", IFERROR(IFS($K214="Low", INDEX('Lookups - Complexity'!$C:$C, MATCH($B214, 'Lookups - Complexity'!$B:$B,0)), $K214="Medium", INDEX('Lookups - Complexity'!$D:$D, MATCH($B214, 'Lookups - Complexity'!$B:$B,0)), $K214="High", INDEX('Lookups - Complexity'!$E:$E, MATCH($B214, 'Lookups - Complexity'!$B:$B,0))), ""))</f>
        <v/>
      </c>
      <c r="M214" s="11">
        <f>IF($I214="FTE", Assumptions!$B$3, "")</f>
        <v/>
      </c>
      <c r="N214" s="11">
        <f t="array" ref="N214">IFERROR(INDEX(Milestones!$F:$F, MATCH($B214, Milestones!$B:$B, 0)), "")</f>
        <v/>
      </c>
      <c r="O214" s="11">
        <f t="array" ref="O214">IFERROR(INDEX(Milestones!$G:$G, MATCH($B214, Milestones!$B:$B, 0)), "")</f>
        <v/>
      </c>
      <c r="P214" s="11">
        <f t="array" ref="P214">IFERROR(INDEX('Lookups - Rates'!$D:$D, MATCH($G214&amp;"|"&amp;$H214, 'Lookups - Rates'!$Z:$Z, 0)), "")</f>
        <v/>
      </c>
      <c r="Q214" s="11">
        <f t="array" ref="Q214">IFERROR(INDEX('Lookups - Rates'!$E:$E, MATCH($G214&amp;"|"&amp;$H214, 'Lookups - Rates'!$Z:$Z, 0)), "")</f>
        <v/>
      </c>
      <c r="R214" s="11">
        <f>LET(ev,$J214, ch,$L214, hr,$P214, dr,$Q214, hpday,Assumptions!$B$2, hpw,Assumptions!$B$3, w,$M214, hrs, IF($I214="Hours", ev, IF($I214="Days", ev*IF(dr&gt;0, dr/hr, hpday), IF($I214="FTE", ev*hpw*w, ch))), IF(hrs="", "", hrs*hr))</f>
        <v/>
      </c>
      <c r="S214" s="13" t="n"/>
      <c r="T214" s="11">
        <f t="array" ref="T214">XLOOKUP(Scenario_Selected, INDEX(Scenario_Table,0,1), INDEX(Scenario_Table,0,2))</f>
        <v/>
      </c>
      <c r="U214" s="11">
        <f t="array" ref="U214">XLOOKUP(Scenario_Selected, INDEX(Scenario_Table,0,1), INDEX(Scenario_Table,0,3))</f>
        <v/>
      </c>
      <c r="V214" s="11">
        <f t="array" ref="V214">XLOOKUP(Scenario_Selected, INDEX(Scenario_Table,0,1), INDEX(Scenario_Table,0,4))</f>
        <v/>
      </c>
      <c r="W214" s="11">
        <f t="array" ref="W214">LET(ev,$J214, ch,$L214, et,$I214, dr,$Q214, hpday,Assumptions!$B$2, hpw,Assumptions!$B$3, w,$M214,hm,INDIRECT("R[0]C[0]",FALSE),hrs, IF(et="Hours", ev, IF(et="Days", ev*IF(dr&gt;0, dr/$P214, hpday), IF(et="FTE", ev*hpw*w, ch))), IF(hrs="", "", hrs*hm))</f>
        <v/>
      </c>
      <c r="X214" s="11">
        <f>IF($P214="","", $P214*INDIRECT("R[0]C[-3]",FALSE))</f>
        <v/>
      </c>
      <c r="Y214" s="11">
        <f>IF(INDIRECT("R[0]C[-1]",FALSE)="","", INDIRECT("R[0]C[-2]",FALSE)*INDIRECT("R[0]C[-1]",FALSE)*(1+INDIRECT("R[0]C[-3]",FALSE)))</f>
        <v/>
      </c>
      <c r="Z214" s="13" t="n"/>
    </row>
    <row r="215" ht="15.75" customHeight="1" s="74">
      <c r="A215" s="11" t="n">
        <v>215</v>
      </c>
      <c r="C215" s="11">
        <f t="array" ref="C215">IFERROR(INDEX(Milestones!$A:$A, MATCH($B215, Milestones!$B:$B, 0)), "")</f>
        <v/>
      </c>
      <c r="D215" s="11">
        <f t="array" ref="D215">IFERROR(INDEX(Milestones!$C:$C, MATCH($B215, Milestones!$B:$B, 0)), "")</f>
        <v/>
      </c>
      <c r="F215" s="11">
        <f t="array" ref="F215">IFERROR(INDEX(Milestones!$E:$E, MATCH($B215, Milestones!$B:$B, 0)), "")</f>
        <v/>
      </c>
      <c r="I215" s="11" t="n"/>
      <c r="J215" s="20" t="n"/>
      <c r="K215" s="11" t="n"/>
      <c r="L215" s="11">
        <f t="array" ref="L215">IF($K215="","", IFERROR(IFS($K215="Low", INDEX('Lookups - Complexity'!$C:$C, MATCH($B215, 'Lookups - Complexity'!$B:$B,0)), $K215="Medium", INDEX('Lookups - Complexity'!$D:$D, MATCH($B215, 'Lookups - Complexity'!$B:$B,0)), $K215="High", INDEX('Lookups - Complexity'!$E:$E, MATCH($B215, 'Lookups - Complexity'!$B:$B,0))), ""))</f>
        <v/>
      </c>
      <c r="M215" s="11">
        <f>IF($I215="FTE", Assumptions!$B$3, "")</f>
        <v/>
      </c>
      <c r="N215" s="11">
        <f t="array" ref="N215">IFERROR(INDEX(Milestones!$F:$F, MATCH($B215, Milestones!$B:$B, 0)), "")</f>
        <v/>
      </c>
      <c r="O215" s="11">
        <f t="array" ref="O215">IFERROR(INDEX(Milestones!$G:$G, MATCH($B215, Milestones!$B:$B, 0)), "")</f>
        <v/>
      </c>
      <c r="P215" s="11">
        <f t="array" ref="P215">IFERROR(INDEX('Lookups - Rates'!$D:$D, MATCH($G215&amp;"|"&amp;$H215, 'Lookups - Rates'!$Z:$Z, 0)), "")</f>
        <v/>
      </c>
      <c r="Q215" s="11">
        <f t="array" ref="Q215">IFERROR(INDEX('Lookups - Rates'!$E:$E, MATCH($G215&amp;"|"&amp;$H215, 'Lookups - Rates'!$Z:$Z, 0)), "")</f>
        <v/>
      </c>
      <c r="R215" s="11">
        <f>LET(ev,$J215, ch,$L215, hr,$P215, dr,$Q215, hpday,Assumptions!$B$2, hpw,Assumptions!$B$3, w,$M215, hrs, IF($I215="Hours", ev, IF($I215="Days", ev*IF(dr&gt;0, dr/hr, hpday), IF($I215="FTE", ev*hpw*w, ch))), IF(hrs="", "", hrs*hr))</f>
        <v/>
      </c>
      <c r="S215" s="13" t="n"/>
      <c r="T215" s="11">
        <f t="array" ref="T215">XLOOKUP(Scenario_Selected, INDEX(Scenario_Table,0,1), INDEX(Scenario_Table,0,2))</f>
        <v/>
      </c>
      <c r="U215" s="11">
        <f t="array" ref="U215">XLOOKUP(Scenario_Selected, INDEX(Scenario_Table,0,1), INDEX(Scenario_Table,0,3))</f>
        <v/>
      </c>
      <c r="V215" s="11">
        <f t="array" ref="V215">XLOOKUP(Scenario_Selected, INDEX(Scenario_Table,0,1), INDEX(Scenario_Table,0,4))</f>
        <v/>
      </c>
      <c r="W215" s="11">
        <f t="array" ref="W215">LET(ev,$J215, ch,$L215, et,$I215, dr,$Q215, hpday,Assumptions!$B$2, hpw,Assumptions!$B$3, w,$M215,hm,INDIRECT("R[0]C[0]",FALSE),hrs, IF(et="Hours", ev, IF(et="Days", ev*IF(dr&gt;0, dr/$P215, hpday), IF(et="FTE", ev*hpw*w, ch))), IF(hrs="", "", hrs*hm))</f>
        <v/>
      </c>
      <c r="X215" s="11">
        <f>IF($P215="","", $P215*INDIRECT("R[0]C[-3]",FALSE))</f>
        <v/>
      </c>
      <c r="Y215" s="11">
        <f>IF(INDIRECT("R[0]C[-1]",FALSE)="","", INDIRECT("R[0]C[-2]",FALSE)*INDIRECT("R[0]C[-1]",FALSE)*(1+INDIRECT("R[0]C[-3]",FALSE)))</f>
        <v/>
      </c>
      <c r="Z215" s="13" t="n"/>
    </row>
    <row r="216" ht="15.75" customHeight="1" s="74">
      <c r="A216" s="11" t="n">
        <v>216</v>
      </c>
      <c r="C216" s="11">
        <f t="array" ref="C216">IFERROR(INDEX(Milestones!$A:$A, MATCH($B216, Milestones!$B:$B, 0)), "")</f>
        <v/>
      </c>
      <c r="D216" s="11">
        <f t="array" ref="D216">IFERROR(INDEX(Milestones!$C:$C, MATCH($B216, Milestones!$B:$B, 0)), "")</f>
        <v/>
      </c>
      <c r="F216" s="11">
        <f t="array" ref="F216">IFERROR(INDEX(Milestones!$E:$E, MATCH($B216, Milestones!$B:$B, 0)), "")</f>
        <v/>
      </c>
      <c r="I216" s="11" t="n"/>
      <c r="J216" s="20" t="n"/>
      <c r="K216" s="11" t="n"/>
      <c r="L216" s="11">
        <f t="array" ref="L216">IF($K216="","", IFERROR(IFS($K216="Low", INDEX('Lookups - Complexity'!$C:$C, MATCH($B216, 'Lookups - Complexity'!$B:$B,0)), $K216="Medium", INDEX('Lookups - Complexity'!$D:$D, MATCH($B216, 'Lookups - Complexity'!$B:$B,0)), $K216="High", INDEX('Lookups - Complexity'!$E:$E, MATCH($B216, 'Lookups - Complexity'!$B:$B,0))), ""))</f>
        <v/>
      </c>
      <c r="M216" s="11">
        <f>IF($I216="FTE", Assumptions!$B$3, "")</f>
        <v/>
      </c>
      <c r="N216" s="11">
        <f t="array" ref="N216">IFERROR(INDEX(Milestones!$F:$F, MATCH($B216, Milestones!$B:$B, 0)), "")</f>
        <v/>
      </c>
      <c r="O216" s="11">
        <f t="array" ref="O216">IFERROR(INDEX(Milestones!$G:$G, MATCH($B216, Milestones!$B:$B, 0)), "")</f>
        <v/>
      </c>
      <c r="P216" s="11">
        <f t="array" ref="P216">IFERROR(INDEX('Lookups - Rates'!$D:$D, MATCH($G216&amp;"|"&amp;$H216, 'Lookups - Rates'!$Z:$Z, 0)), "")</f>
        <v/>
      </c>
      <c r="Q216" s="11">
        <f t="array" ref="Q216">IFERROR(INDEX('Lookups - Rates'!$E:$E, MATCH($G216&amp;"|"&amp;$H216, 'Lookups - Rates'!$Z:$Z, 0)), "")</f>
        <v/>
      </c>
      <c r="R216" s="11">
        <f>LET(ev,$J216, ch,$L216, hr,$P216, dr,$Q216, hpday,Assumptions!$B$2, hpw,Assumptions!$B$3, w,$M216, hrs, IF($I216="Hours", ev, IF($I216="Days", ev*IF(dr&gt;0, dr/hr, hpday), IF($I216="FTE", ev*hpw*w, ch))), IF(hrs="", "", hrs*hr))</f>
        <v/>
      </c>
      <c r="S216" s="13" t="n"/>
      <c r="T216" s="11">
        <f t="array" ref="T216">XLOOKUP(Scenario_Selected, INDEX(Scenario_Table,0,1), INDEX(Scenario_Table,0,2))</f>
        <v/>
      </c>
      <c r="U216" s="11">
        <f t="array" ref="U216">XLOOKUP(Scenario_Selected, INDEX(Scenario_Table,0,1), INDEX(Scenario_Table,0,3))</f>
        <v/>
      </c>
      <c r="V216" s="11">
        <f t="array" ref="V216">XLOOKUP(Scenario_Selected, INDEX(Scenario_Table,0,1), INDEX(Scenario_Table,0,4))</f>
        <v/>
      </c>
      <c r="W216" s="11">
        <f t="array" ref="W216">LET(ev,$J216, ch,$L216, et,$I216, dr,$Q216, hpday,Assumptions!$B$2, hpw,Assumptions!$B$3, w,$M216,hm,INDIRECT("R[0]C[0]",FALSE),hrs, IF(et="Hours", ev, IF(et="Days", ev*IF(dr&gt;0, dr/$P216, hpday), IF(et="FTE", ev*hpw*w, ch))), IF(hrs="", "", hrs*hm))</f>
        <v/>
      </c>
      <c r="X216" s="11">
        <f>IF($P216="","", $P216*INDIRECT("R[0]C[-3]",FALSE))</f>
        <v/>
      </c>
      <c r="Y216" s="11">
        <f>IF(INDIRECT("R[0]C[-1]",FALSE)="","", INDIRECT("R[0]C[-2]",FALSE)*INDIRECT("R[0]C[-1]",FALSE)*(1+INDIRECT("R[0]C[-3]",FALSE)))</f>
        <v/>
      </c>
      <c r="Z216" s="13" t="n"/>
    </row>
    <row r="217" ht="15.75" customHeight="1" s="74">
      <c r="A217" s="11" t="n">
        <v>217</v>
      </c>
      <c r="C217" s="11">
        <f t="array" ref="C217">IFERROR(INDEX(Milestones!$A:$A, MATCH($B217, Milestones!$B:$B, 0)), "")</f>
        <v/>
      </c>
      <c r="D217" s="11">
        <f t="array" ref="D217">IFERROR(INDEX(Milestones!$C:$C, MATCH($B217, Milestones!$B:$B, 0)), "")</f>
        <v/>
      </c>
      <c r="F217" s="11">
        <f t="array" ref="F217">IFERROR(INDEX(Milestones!$E:$E, MATCH($B217, Milestones!$B:$B, 0)), "")</f>
        <v/>
      </c>
      <c r="I217" s="11" t="n"/>
      <c r="J217" s="20" t="n"/>
      <c r="K217" s="11" t="n"/>
      <c r="L217" s="11">
        <f t="array" ref="L217">IF($K217="","", IFERROR(IFS($K217="Low", INDEX('Lookups - Complexity'!$C:$C, MATCH($B217, 'Lookups - Complexity'!$B:$B,0)), $K217="Medium", INDEX('Lookups - Complexity'!$D:$D, MATCH($B217, 'Lookups - Complexity'!$B:$B,0)), $K217="High", INDEX('Lookups - Complexity'!$E:$E, MATCH($B217, 'Lookups - Complexity'!$B:$B,0))), ""))</f>
        <v/>
      </c>
      <c r="M217" s="11">
        <f>IF($I217="FTE", Assumptions!$B$3, "")</f>
        <v/>
      </c>
      <c r="N217" s="11">
        <f t="array" ref="N217">IFERROR(INDEX(Milestones!$F:$F, MATCH($B217, Milestones!$B:$B, 0)), "")</f>
        <v/>
      </c>
      <c r="O217" s="11">
        <f t="array" ref="O217">IFERROR(INDEX(Milestones!$G:$G, MATCH($B217, Milestones!$B:$B, 0)), "")</f>
        <v/>
      </c>
      <c r="P217" s="11">
        <f t="array" ref="P217">IFERROR(INDEX('Lookups - Rates'!$D:$D, MATCH($G217&amp;"|"&amp;$H217, 'Lookups - Rates'!$Z:$Z, 0)), "")</f>
        <v/>
      </c>
      <c r="Q217" s="11">
        <f t="array" ref="Q217">IFERROR(INDEX('Lookups - Rates'!$E:$E, MATCH($G217&amp;"|"&amp;$H217, 'Lookups - Rates'!$Z:$Z, 0)), "")</f>
        <v/>
      </c>
      <c r="R217" s="11">
        <f>LET(ev,$J217, ch,$L217, hr,$P217, dr,$Q217, hpday,Assumptions!$B$2, hpw,Assumptions!$B$3, w,$M217, hrs, IF($I217="Hours", ev, IF($I217="Days", ev*IF(dr&gt;0, dr/hr, hpday), IF($I217="FTE", ev*hpw*w, ch))), IF(hrs="", "", hrs*hr))</f>
        <v/>
      </c>
      <c r="S217" s="13" t="n"/>
      <c r="T217" s="11">
        <f t="array" ref="T217">XLOOKUP(Scenario_Selected, INDEX(Scenario_Table,0,1), INDEX(Scenario_Table,0,2))</f>
        <v/>
      </c>
      <c r="U217" s="11">
        <f t="array" ref="U217">XLOOKUP(Scenario_Selected, INDEX(Scenario_Table,0,1), INDEX(Scenario_Table,0,3))</f>
        <v/>
      </c>
      <c r="V217" s="11">
        <f t="array" ref="V217">XLOOKUP(Scenario_Selected, INDEX(Scenario_Table,0,1), INDEX(Scenario_Table,0,4))</f>
        <v/>
      </c>
      <c r="W217" s="11">
        <f t="array" ref="W217">LET(ev,$J217, ch,$L217, et,$I217, dr,$Q217, hpday,Assumptions!$B$2, hpw,Assumptions!$B$3, w,$M217,hm,INDIRECT("R[0]C[0]",FALSE),hrs, IF(et="Hours", ev, IF(et="Days", ev*IF(dr&gt;0, dr/$P217, hpday), IF(et="FTE", ev*hpw*w, ch))), IF(hrs="", "", hrs*hm))</f>
        <v/>
      </c>
      <c r="X217" s="11">
        <f>IF($P217="","", $P217*INDIRECT("R[0]C[-3]",FALSE))</f>
        <v/>
      </c>
      <c r="Y217" s="11">
        <f>IF(INDIRECT("R[0]C[-1]",FALSE)="","", INDIRECT("R[0]C[-2]",FALSE)*INDIRECT("R[0]C[-1]",FALSE)*(1+INDIRECT("R[0]C[-3]",FALSE)))</f>
        <v/>
      </c>
      <c r="Z217" s="13" t="n"/>
    </row>
    <row r="218" ht="15.75" customHeight="1" s="74">
      <c r="A218" s="11" t="n">
        <v>218</v>
      </c>
      <c r="C218" s="11">
        <f t="array" ref="C218">IFERROR(INDEX(Milestones!$A:$A, MATCH($B218, Milestones!$B:$B, 0)), "")</f>
        <v/>
      </c>
      <c r="D218" s="11">
        <f t="array" ref="D218">IFERROR(INDEX(Milestones!$C:$C, MATCH($B218, Milestones!$B:$B, 0)), "")</f>
        <v/>
      </c>
      <c r="F218" s="11">
        <f t="array" ref="F218">IFERROR(INDEX(Milestones!$E:$E, MATCH($B218, Milestones!$B:$B, 0)), "")</f>
        <v/>
      </c>
      <c r="I218" s="11" t="n"/>
      <c r="J218" s="20" t="n"/>
      <c r="K218" s="11" t="n"/>
      <c r="L218" s="11">
        <f t="array" ref="L218">IF($K218="","", IFERROR(IFS($K218="Low", INDEX('Lookups - Complexity'!$C:$C, MATCH($B218, 'Lookups - Complexity'!$B:$B,0)), $K218="Medium", INDEX('Lookups - Complexity'!$D:$D, MATCH($B218, 'Lookups - Complexity'!$B:$B,0)), $K218="High", INDEX('Lookups - Complexity'!$E:$E, MATCH($B218, 'Lookups - Complexity'!$B:$B,0))), ""))</f>
        <v/>
      </c>
      <c r="M218" s="11">
        <f>IF($I218="FTE", Assumptions!$B$3, "")</f>
        <v/>
      </c>
      <c r="N218" s="11">
        <f t="array" ref="N218">IFERROR(INDEX(Milestones!$F:$F, MATCH($B218, Milestones!$B:$B, 0)), "")</f>
        <v/>
      </c>
      <c r="O218" s="11">
        <f t="array" ref="O218">IFERROR(INDEX(Milestones!$G:$G, MATCH($B218, Milestones!$B:$B, 0)), "")</f>
        <v/>
      </c>
      <c r="P218" s="11">
        <f t="array" ref="P218">IFERROR(INDEX('Lookups - Rates'!$D:$D, MATCH($G218&amp;"|"&amp;$H218, 'Lookups - Rates'!$Z:$Z, 0)), "")</f>
        <v/>
      </c>
      <c r="Q218" s="11">
        <f t="array" ref="Q218">IFERROR(INDEX('Lookups - Rates'!$E:$E, MATCH($G218&amp;"|"&amp;$H218, 'Lookups - Rates'!$Z:$Z, 0)), "")</f>
        <v/>
      </c>
      <c r="R218" s="11">
        <f>LET(ev,$J218, ch,$L218, hr,$P218, dr,$Q218, hpday,Assumptions!$B$2, hpw,Assumptions!$B$3, w,$M218, hrs, IF($I218="Hours", ev, IF($I218="Days", ev*IF(dr&gt;0, dr/hr, hpday), IF($I218="FTE", ev*hpw*w, ch))), IF(hrs="", "", hrs*hr))</f>
        <v/>
      </c>
      <c r="S218" s="13" t="n"/>
      <c r="T218" s="11">
        <f t="array" ref="T218">XLOOKUP(Scenario_Selected, INDEX(Scenario_Table,0,1), INDEX(Scenario_Table,0,2))</f>
        <v/>
      </c>
      <c r="U218" s="11">
        <f t="array" ref="U218">XLOOKUP(Scenario_Selected, INDEX(Scenario_Table,0,1), INDEX(Scenario_Table,0,3))</f>
        <v/>
      </c>
      <c r="V218" s="11">
        <f t="array" ref="V218">XLOOKUP(Scenario_Selected, INDEX(Scenario_Table,0,1), INDEX(Scenario_Table,0,4))</f>
        <v/>
      </c>
      <c r="W218" s="11">
        <f t="array" ref="W218">LET(ev,$J218, ch,$L218, et,$I218, dr,$Q218, hpday,Assumptions!$B$2, hpw,Assumptions!$B$3, w,$M218,hm,INDIRECT("R[0]C[0]",FALSE),hrs, IF(et="Hours", ev, IF(et="Days", ev*IF(dr&gt;0, dr/$P218, hpday), IF(et="FTE", ev*hpw*w, ch))), IF(hrs="", "", hrs*hm))</f>
        <v/>
      </c>
      <c r="X218" s="11">
        <f>IF($P218="","", $P218*INDIRECT("R[0]C[-3]",FALSE))</f>
        <v/>
      </c>
      <c r="Y218" s="11">
        <f>IF(INDIRECT("R[0]C[-1]",FALSE)="","", INDIRECT("R[0]C[-2]",FALSE)*INDIRECT("R[0]C[-1]",FALSE)*(1+INDIRECT("R[0]C[-3]",FALSE)))</f>
        <v/>
      </c>
      <c r="Z218" s="13" t="n"/>
    </row>
    <row r="219" ht="15.75" customHeight="1" s="74">
      <c r="A219" s="11" t="n">
        <v>219</v>
      </c>
      <c r="C219" s="11">
        <f t="array" ref="C219">IFERROR(INDEX(Milestones!$A:$A, MATCH($B219, Milestones!$B:$B, 0)), "")</f>
        <v/>
      </c>
      <c r="D219" s="11">
        <f t="array" ref="D219">IFERROR(INDEX(Milestones!$C:$C, MATCH($B219, Milestones!$B:$B, 0)), "")</f>
        <v/>
      </c>
      <c r="F219" s="11">
        <f t="array" ref="F219">IFERROR(INDEX(Milestones!$E:$E, MATCH($B219, Milestones!$B:$B, 0)), "")</f>
        <v/>
      </c>
      <c r="I219" s="11" t="n"/>
      <c r="J219" s="20" t="n"/>
      <c r="K219" s="11" t="n"/>
      <c r="L219" s="11">
        <f t="array" ref="L219">IF($K219="","", IFERROR(IFS($K219="Low", INDEX('Lookups - Complexity'!$C:$C, MATCH($B219, 'Lookups - Complexity'!$B:$B,0)), $K219="Medium", INDEX('Lookups - Complexity'!$D:$D, MATCH($B219, 'Lookups - Complexity'!$B:$B,0)), $K219="High", INDEX('Lookups - Complexity'!$E:$E, MATCH($B219, 'Lookups - Complexity'!$B:$B,0))), ""))</f>
        <v/>
      </c>
      <c r="M219" s="11">
        <f>IF($I219="FTE", Assumptions!$B$3, "")</f>
        <v/>
      </c>
      <c r="N219" s="11">
        <f t="array" ref="N219">IFERROR(INDEX(Milestones!$F:$F, MATCH($B219, Milestones!$B:$B, 0)), "")</f>
        <v/>
      </c>
      <c r="O219" s="11">
        <f t="array" ref="O219">IFERROR(INDEX(Milestones!$G:$G, MATCH($B219, Milestones!$B:$B, 0)), "")</f>
        <v/>
      </c>
      <c r="P219" s="11">
        <f t="array" ref="P219">IFERROR(INDEX('Lookups - Rates'!$D:$D, MATCH($G219&amp;"|"&amp;$H219, 'Lookups - Rates'!$Z:$Z, 0)), "")</f>
        <v/>
      </c>
      <c r="Q219" s="11">
        <f t="array" ref="Q219">IFERROR(INDEX('Lookups - Rates'!$E:$E, MATCH($G219&amp;"|"&amp;$H219, 'Lookups - Rates'!$Z:$Z, 0)), "")</f>
        <v/>
      </c>
      <c r="R219" s="11">
        <f>LET(ev,$J219, ch,$L219, hr,$P219, dr,$Q219, hpday,Assumptions!$B$2, hpw,Assumptions!$B$3, w,$M219, hrs, IF($I219="Hours", ev, IF($I219="Days", ev*IF(dr&gt;0, dr/hr, hpday), IF($I219="FTE", ev*hpw*w, ch))), IF(hrs="", "", hrs*hr))</f>
        <v/>
      </c>
      <c r="S219" s="13" t="n"/>
      <c r="T219" s="11">
        <f t="array" ref="T219">XLOOKUP(Scenario_Selected, INDEX(Scenario_Table,0,1), INDEX(Scenario_Table,0,2))</f>
        <v/>
      </c>
      <c r="U219" s="11">
        <f t="array" ref="U219">XLOOKUP(Scenario_Selected, INDEX(Scenario_Table,0,1), INDEX(Scenario_Table,0,3))</f>
        <v/>
      </c>
      <c r="V219" s="11">
        <f t="array" ref="V219">XLOOKUP(Scenario_Selected, INDEX(Scenario_Table,0,1), INDEX(Scenario_Table,0,4))</f>
        <v/>
      </c>
      <c r="W219" s="11">
        <f t="array" ref="W219">LET(ev,$J219, ch,$L219, et,$I219, dr,$Q219, hpday,Assumptions!$B$2, hpw,Assumptions!$B$3, w,$M219,hm,INDIRECT("R[0]C[0]",FALSE),hrs, IF(et="Hours", ev, IF(et="Days", ev*IF(dr&gt;0, dr/$P219, hpday), IF(et="FTE", ev*hpw*w, ch))), IF(hrs="", "", hrs*hm))</f>
        <v/>
      </c>
      <c r="X219" s="11">
        <f>IF($P219="","", $P219*INDIRECT("R[0]C[-3]",FALSE))</f>
        <v/>
      </c>
      <c r="Y219" s="11">
        <f>IF(INDIRECT("R[0]C[-1]",FALSE)="","", INDIRECT("R[0]C[-2]",FALSE)*INDIRECT("R[0]C[-1]",FALSE)*(1+INDIRECT("R[0]C[-3]",FALSE)))</f>
        <v/>
      </c>
      <c r="Z219" s="13" t="n"/>
    </row>
    <row r="220" ht="15.75" customHeight="1" s="74">
      <c r="A220" s="11" t="n">
        <v>220</v>
      </c>
      <c r="C220" s="11">
        <f t="array" ref="C220">IFERROR(INDEX(Milestones!$A:$A, MATCH($B220, Milestones!$B:$B, 0)), "")</f>
        <v/>
      </c>
      <c r="D220" s="11">
        <f t="array" ref="D220">IFERROR(INDEX(Milestones!$C:$C, MATCH($B220, Milestones!$B:$B, 0)), "")</f>
        <v/>
      </c>
      <c r="F220" s="11">
        <f t="array" ref="F220">IFERROR(INDEX(Milestones!$E:$E, MATCH($B220, Milestones!$B:$B, 0)), "")</f>
        <v/>
      </c>
      <c r="I220" s="11" t="n"/>
      <c r="J220" s="20" t="n"/>
      <c r="K220" s="11" t="n"/>
      <c r="L220" s="11">
        <f t="array" ref="L220">IF($K220="","", IFERROR(IFS($K220="Low", INDEX('Lookups - Complexity'!$C:$C, MATCH($B220, 'Lookups - Complexity'!$B:$B,0)), $K220="Medium", INDEX('Lookups - Complexity'!$D:$D, MATCH($B220, 'Lookups - Complexity'!$B:$B,0)), $K220="High", INDEX('Lookups - Complexity'!$E:$E, MATCH($B220, 'Lookups - Complexity'!$B:$B,0))), ""))</f>
        <v/>
      </c>
      <c r="M220" s="11">
        <f>IF($I220="FTE", Assumptions!$B$3, "")</f>
        <v/>
      </c>
      <c r="N220" s="11">
        <f t="array" ref="N220">IFERROR(INDEX(Milestones!$F:$F, MATCH($B220, Milestones!$B:$B, 0)), "")</f>
        <v/>
      </c>
      <c r="O220" s="11">
        <f t="array" ref="O220">IFERROR(INDEX(Milestones!$G:$G, MATCH($B220, Milestones!$B:$B, 0)), "")</f>
        <v/>
      </c>
      <c r="P220" s="11">
        <f t="array" ref="P220">IFERROR(INDEX('Lookups - Rates'!$D:$D, MATCH($G220&amp;"|"&amp;$H220, 'Lookups - Rates'!$Z:$Z, 0)), "")</f>
        <v/>
      </c>
      <c r="Q220" s="11">
        <f t="array" ref="Q220">IFERROR(INDEX('Lookups - Rates'!$E:$E, MATCH($G220&amp;"|"&amp;$H220, 'Lookups - Rates'!$Z:$Z, 0)), "")</f>
        <v/>
      </c>
      <c r="R220" s="11">
        <f>LET(ev,$J220, ch,$L220, hr,$P220, dr,$Q220, hpday,Assumptions!$B$2, hpw,Assumptions!$B$3, w,$M220, hrs, IF($I220="Hours", ev, IF($I220="Days", ev*IF(dr&gt;0, dr/hr, hpday), IF($I220="FTE", ev*hpw*w, ch))), IF(hrs="", "", hrs*hr))</f>
        <v/>
      </c>
      <c r="S220" s="13" t="n"/>
      <c r="T220" s="11">
        <f t="array" ref="T220">XLOOKUP(Scenario_Selected, INDEX(Scenario_Table,0,1), INDEX(Scenario_Table,0,2))</f>
        <v/>
      </c>
      <c r="U220" s="11">
        <f t="array" ref="U220">XLOOKUP(Scenario_Selected, INDEX(Scenario_Table,0,1), INDEX(Scenario_Table,0,3))</f>
        <v/>
      </c>
      <c r="V220" s="11">
        <f t="array" ref="V220">XLOOKUP(Scenario_Selected, INDEX(Scenario_Table,0,1), INDEX(Scenario_Table,0,4))</f>
        <v/>
      </c>
      <c r="W220" s="11">
        <f t="array" ref="W220">LET(ev,$J220, ch,$L220, et,$I220, dr,$Q220, hpday,Assumptions!$B$2, hpw,Assumptions!$B$3, w,$M220,hm,INDIRECT("R[0]C[0]",FALSE),hrs, IF(et="Hours", ev, IF(et="Days", ev*IF(dr&gt;0, dr/$P220, hpday), IF(et="FTE", ev*hpw*w, ch))), IF(hrs="", "", hrs*hm))</f>
        <v/>
      </c>
      <c r="X220" s="11">
        <f>IF($P220="","", $P220*INDIRECT("R[0]C[-3]",FALSE))</f>
        <v/>
      </c>
      <c r="Y220" s="11">
        <f>IF(INDIRECT("R[0]C[-1]",FALSE)="","", INDIRECT("R[0]C[-2]",FALSE)*INDIRECT("R[0]C[-1]",FALSE)*(1+INDIRECT("R[0]C[-3]",FALSE)))</f>
        <v/>
      </c>
      <c r="Z220" s="13" t="n"/>
    </row>
    <row r="221" ht="15.75" customHeight="1" s="74">
      <c r="A221" s="11" t="n">
        <v>221</v>
      </c>
      <c r="C221" s="11">
        <f t="array" ref="C221">IFERROR(INDEX(Milestones!$A:$A, MATCH($B221, Milestones!$B:$B, 0)), "")</f>
        <v/>
      </c>
      <c r="D221" s="11">
        <f t="array" ref="D221">IFERROR(INDEX(Milestones!$C:$C, MATCH($B221, Milestones!$B:$B, 0)), "")</f>
        <v/>
      </c>
      <c r="F221" s="11">
        <f t="array" ref="F221">IFERROR(INDEX(Milestones!$E:$E, MATCH($B221, Milestones!$B:$B, 0)), "")</f>
        <v/>
      </c>
      <c r="I221" s="11" t="n"/>
      <c r="J221" s="20" t="n"/>
      <c r="K221" s="11" t="n"/>
      <c r="L221" s="11">
        <f t="array" ref="L221">IF($K221="","", IFERROR(IFS($K221="Low", INDEX('Lookups - Complexity'!$C:$C, MATCH($B221, 'Lookups - Complexity'!$B:$B,0)), $K221="Medium", INDEX('Lookups - Complexity'!$D:$D, MATCH($B221, 'Lookups - Complexity'!$B:$B,0)), $K221="High", INDEX('Lookups - Complexity'!$E:$E, MATCH($B221, 'Lookups - Complexity'!$B:$B,0))), ""))</f>
        <v/>
      </c>
      <c r="M221" s="11">
        <f>IF($I221="FTE", Assumptions!$B$3, "")</f>
        <v/>
      </c>
      <c r="N221" s="11">
        <f t="array" ref="N221">IFERROR(INDEX(Milestones!$F:$F, MATCH($B221, Milestones!$B:$B, 0)), "")</f>
        <v/>
      </c>
      <c r="O221" s="11">
        <f t="array" ref="O221">IFERROR(INDEX(Milestones!$G:$G, MATCH($B221, Milestones!$B:$B, 0)), "")</f>
        <v/>
      </c>
      <c r="P221" s="11">
        <f t="array" ref="P221">IFERROR(INDEX('Lookups - Rates'!$D:$D, MATCH($G221&amp;"|"&amp;$H221, 'Lookups - Rates'!$Z:$Z, 0)), "")</f>
        <v/>
      </c>
      <c r="Q221" s="11">
        <f t="array" ref="Q221">IFERROR(INDEX('Lookups - Rates'!$E:$E, MATCH($G221&amp;"|"&amp;$H221, 'Lookups - Rates'!$Z:$Z, 0)), "")</f>
        <v/>
      </c>
      <c r="R221" s="11">
        <f>LET(ev,$J221, ch,$L221, hr,$P221, dr,$Q221, hpday,Assumptions!$B$2, hpw,Assumptions!$B$3, w,$M221, hrs, IF($I221="Hours", ev, IF($I221="Days", ev*IF(dr&gt;0, dr/hr, hpday), IF($I221="FTE", ev*hpw*w, ch))), IF(hrs="", "", hrs*hr))</f>
        <v/>
      </c>
      <c r="S221" s="13" t="n"/>
      <c r="T221" s="11">
        <f t="array" ref="T221">XLOOKUP(Scenario_Selected, INDEX(Scenario_Table,0,1), INDEX(Scenario_Table,0,2))</f>
        <v/>
      </c>
      <c r="U221" s="11">
        <f t="array" ref="U221">XLOOKUP(Scenario_Selected, INDEX(Scenario_Table,0,1), INDEX(Scenario_Table,0,3))</f>
        <v/>
      </c>
      <c r="V221" s="11">
        <f t="array" ref="V221">XLOOKUP(Scenario_Selected, INDEX(Scenario_Table,0,1), INDEX(Scenario_Table,0,4))</f>
        <v/>
      </c>
      <c r="W221" s="11">
        <f t="array" ref="W221">LET(ev,$J221, ch,$L221, et,$I221, dr,$Q221, hpday,Assumptions!$B$2, hpw,Assumptions!$B$3, w,$M221,hm,INDIRECT("R[0]C[0]",FALSE),hrs, IF(et="Hours", ev, IF(et="Days", ev*IF(dr&gt;0, dr/$P221, hpday), IF(et="FTE", ev*hpw*w, ch))), IF(hrs="", "", hrs*hm))</f>
        <v/>
      </c>
      <c r="X221" s="11">
        <f>IF($P221="","", $P221*INDIRECT("R[0]C[-3]",FALSE))</f>
        <v/>
      </c>
      <c r="Y221" s="11">
        <f>IF(INDIRECT("R[0]C[-1]",FALSE)="","", INDIRECT("R[0]C[-2]",FALSE)*INDIRECT("R[0]C[-1]",FALSE)*(1+INDIRECT("R[0]C[-3]",FALSE)))</f>
        <v/>
      </c>
      <c r="Z221" s="13" t="n"/>
    </row>
    <row r="222" ht="15.75" customHeight="1" s="74">
      <c r="A222" s="11" t="n">
        <v>222</v>
      </c>
      <c r="C222" s="11">
        <f t="array" ref="C222">IFERROR(INDEX(Milestones!$A:$A, MATCH($B222, Milestones!$B:$B, 0)), "")</f>
        <v/>
      </c>
      <c r="D222" s="11">
        <f t="array" ref="D222">IFERROR(INDEX(Milestones!$C:$C, MATCH($B222, Milestones!$B:$B, 0)), "")</f>
        <v/>
      </c>
      <c r="F222" s="11">
        <f t="array" ref="F222">IFERROR(INDEX(Milestones!$E:$E, MATCH($B222, Milestones!$B:$B, 0)), "")</f>
        <v/>
      </c>
      <c r="I222" s="11" t="n"/>
      <c r="J222" s="20" t="n"/>
      <c r="K222" s="11" t="n"/>
      <c r="L222" s="11">
        <f t="array" ref="L222">IF($K222="","", IFERROR(IFS($K222="Low", INDEX('Lookups - Complexity'!$C:$C, MATCH($B222, 'Lookups - Complexity'!$B:$B,0)), $K222="Medium", INDEX('Lookups - Complexity'!$D:$D, MATCH($B222, 'Lookups - Complexity'!$B:$B,0)), $K222="High", INDEX('Lookups - Complexity'!$E:$E, MATCH($B222, 'Lookups - Complexity'!$B:$B,0))), ""))</f>
        <v/>
      </c>
      <c r="M222" s="11">
        <f>IF($I222="FTE", Assumptions!$B$3, "")</f>
        <v/>
      </c>
      <c r="N222" s="11">
        <f t="array" ref="N222">IFERROR(INDEX(Milestones!$F:$F, MATCH($B222, Milestones!$B:$B, 0)), "")</f>
        <v/>
      </c>
      <c r="O222" s="11">
        <f t="array" ref="O222">IFERROR(INDEX(Milestones!$G:$G, MATCH($B222, Milestones!$B:$B, 0)), "")</f>
        <v/>
      </c>
      <c r="P222" s="11">
        <f t="array" ref="P222">IFERROR(INDEX('Lookups - Rates'!$D:$D, MATCH($G222&amp;"|"&amp;$H222, 'Lookups - Rates'!$Z:$Z, 0)), "")</f>
        <v/>
      </c>
      <c r="Q222" s="11">
        <f t="array" ref="Q222">IFERROR(INDEX('Lookups - Rates'!$E:$E, MATCH($G222&amp;"|"&amp;$H222, 'Lookups - Rates'!$Z:$Z, 0)), "")</f>
        <v/>
      </c>
      <c r="R222" s="11">
        <f>LET(ev,$J222, ch,$L222, hr,$P222, dr,$Q222, hpday,Assumptions!$B$2, hpw,Assumptions!$B$3, w,$M222, hrs, IF($I222="Hours", ev, IF($I222="Days", ev*IF(dr&gt;0, dr/hr, hpday), IF($I222="FTE", ev*hpw*w, ch))), IF(hrs="", "", hrs*hr))</f>
        <v/>
      </c>
      <c r="S222" s="13" t="n"/>
      <c r="T222" s="11">
        <f t="array" ref="T222">XLOOKUP(Scenario_Selected, INDEX(Scenario_Table,0,1), INDEX(Scenario_Table,0,2))</f>
        <v/>
      </c>
      <c r="U222" s="11">
        <f t="array" ref="U222">XLOOKUP(Scenario_Selected, INDEX(Scenario_Table,0,1), INDEX(Scenario_Table,0,3))</f>
        <v/>
      </c>
      <c r="V222" s="11">
        <f t="array" ref="V222">XLOOKUP(Scenario_Selected, INDEX(Scenario_Table,0,1), INDEX(Scenario_Table,0,4))</f>
        <v/>
      </c>
      <c r="W222" s="11">
        <f t="array" ref="W222">LET(ev,$J222, ch,$L222, et,$I222, dr,$Q222, hpday,Assumptions!$B$2, hpw,Assumptions!$B$3, w,$M222,hm,INDIRECT("R[0]C[0]",FALSE),hrs, IF(et="Hours", ev, IF(et="Days", ev*IF(dr&gt;0, dr/$P222, hpday), IF(et="FTE", ev*hpw*w, ch))), IF(hrs="", "", hrs*hm))</f>
        <v/>
      </c>
      <c r="X222" s="11">
        <f>IF($P222="","", $P222*INDIRECT("R[0]C[-3]",FALSE))</f>
        <v/>
      </c>
      <c r="Y222" s="11">
        <f>IF(INDIRECT("R[0]C[-1]",FALSE)="","", INDIRECT("R[0]C[-2]",FALSE)*INDIRECT("R[0]C[-1]",FALSE)*(1+INDIRECT("R[0]C[-3]",FALSE)))</f>
        <v/>
      </c>
      <c r="Z222" s="13" t="n"/>
    </row>
    <row r="223" ht="15.75" customHeight="1" s="74">
      <c r="A223" s="11" t="n">
        <v>223</v>
      </c>
      <c r="C223" s="11">
        <f t="array" ref="C223">IFERROR(INDEX(Milestones!$A:$A, MATCH($B223, Milestones!$B:$B, 0)), "")</f>
        <v/>
      </c>
      <c r="D223" s="11">
        <f t="array" ref="D223">IFERROR(INDEX(Milestones!$C:$C, MATCH($B223, Milestones!$B:$B, 0)), "")</f>
        <v/>
      </c>
      <c r="F223" s="11">
        <f t="array" ref="F223">IFERROR(INDEX(Milestones!$E:$E, MATCH($B223, Milestones!$B:$B, 0)), "")</f>
        <v/>
      </c>
      <c r="I223" s="11" t="n"/>
      <c r="J223" s="20" t="n"/>
      <c r="K223" s="11" t="n"/>
      <c r="L223" s="11">
        <f t="array" ref="L223">IF($K223="","", IFERROR(IFS($K223="Low", INDEX('Lookups - Complexity'!$C:$C, MATCH($B223, 'Lookups - Complexity'!$B:$B,0)), $K223="Medium", INDEX('Lookups - Complexity'!$D:$D, MATCH($B223, 'Lookups - Complexity'!$B:$B,0)), $K223="High", INDEX('Lookups - Complexity'!$E:$E, MATCH($B223, 'Lookups - Complexity'!$B:$B,0))), ""))</f>
        <v/>
      </c>
      <c r="M223" s="11">
        <f>IF($I223="FTE", Assumptions!$B$3, "")</f>
        <v/>
      </c>
      <c r="N223" s="11">
        <f t="array" ref="N223">IFERROR(INDEX(Milestones!$F:$F, MATCH($B223, Milestones!$B:$B, 0)), "")</f>
        <v/>
      </c>
      <c r="O223" s="11">
        <f t="array" ref="O223">IFERROR(INDEX(Milestones!$G:$G, MATCH($B223, Milestones!$B:$B, 0)), "")</f>
        <v/>
      </c>
      <c r="P223" s="11">
        <f t="array" ref="P223">IFERROR(INDEX('Lookups - Rates'!$D:$D, MATCH($G223&amp;"|"&amp;$H223, 'Lookups - Rates'!$Z:$Z, 0)), "")</f>
        <v/>
      </c>
      <c r="Q223" s="11">
        <f t="array" ref="Q223">IFERROR(INDEX('Lookups - Rates'!$E:$E, MATCH($G223&amp;"|"&amp;$H223, 'Lookups - Rates'!$Z:$Z, 0)), "")</f>
        <v/>
      </c>
      <c r="R223" s="11">
        <f>LET(ev,$J223, ch,$L223, hr,$P223, dr,$Q223, hpday,Assumptions!$B$2, hpw,Assumptions!$B$3, w,$M223, hrs, IF($I223="Hours", ev, IF($I223="Days", ev*IF(dr&gt;0, dr/hr, hpday), IF($I223="FTE", ev*hpw*w, ch))), IF(hrs="", "", hrs*hr))</f>
        <v/>
      </c>
      <c r="S223" s="13" t="n"/>
      <c r="T223" s="11">
        <f t="array" ref="T223">XLOOKUP(Scenario_Selected, INDEX(Scenario_Table,0,1), INDEX(Scenario_Table,0,2))</f>
        <v/>
      </c>
      <c r="U223" s="11">
        <f t="array" ref="U223">XLOOKUP(Scenario_Selected, INDEX(Scenario_Table,0,1), INDEX(Scenario_Table,0,3))</f>
        <v/>
      </c>
      <c r="V223" s="11">
        <f t="array" ref="V223">XLOOKUP(Scenario_Selected, INDEX(Scenario_Table,0,1), INDEX(Scenario_Table,0,4))</f>
        <v/>
      </c>
      <c r="W223" s="11">
        <f t="array" ref="W223">LET(ev,$J223, ch,$L223, et,$I223, dr,$Q223, hpday,Assumptions!$B$2, hpw,Assumptions!$B$3, w,$M223,hm,INDIRECT("R[0]C[0]",FALSE),hrs, IF(et="Hours", ev, IF(et="Days", ev*IF(dr&gt;0, dr/$P223, hpday), IF(et="FTE", ev*hpw*w, ch))), IF(hrs="", "", hrs*hm))</f>
        <v/>
      </c>
      <c r="X223" s="11">
        <f>IF($P223="","", $P223*INDIRECT("R[0]C[-3]",FALSE))</f>
        <v/>
      </c>
      <c r="Y223" s="11">
        <f>IF(INDIRECT("R[0]C[-1]",FALSE)="","", INDIRECT("R[0]C[-2]",FALSE)*INDIRECT("R[0]C[-1]",FALSE)*(1+INDIRECT("R[0]C[-3]",FALSE)))</f>
        <v/>
      </c>
      <c r="Z223" s="13" t="n"/>
    </row>
    <row r="224" ht="15.75" customHeight="1" s="74">
      <c r="A224" s="11" t="n">
        <v>224</v>
      </c>
      <c r="C224" s="11">
        <f t="array" ref="C224">IFERROR(INDEX(Milestones!$A:$A, MATCH($B224, Milestones!$B:$B, 0)), "")</f>
        <v/>
      </c>
      <c r="D224" s="11">
        <f t="array" ref="D224">IFERROR(INDEX(Milestones!$C:$C, MATCH($B224, Milestones!$B:$B, 0)), "")</f>
        <v/>
      </c>
      <c r="F224" s="11">
        <f t="array" ref="F224">IFERROR(INDEX(Milestones!$E:$E, MATCH($B224, Milestones!$B:$B, 0)), "")</f>
        <v/>
      </c>
      <c r="I224" s="11" t="n"/>
      <c r="J224" s="20" t="n"/>
      <c r="K224" s="11" t="n"/>
      <c r="L224" s="11">
        <f t="array" ref="L224">IF($K224="","", IFERROR(IFS($K224="Low", INDEX('Lookups - Complexity'!$C:$C, MATCH($B224, 'Lookups - Complexity'!$B:$B,0)), $K224="Medium", INDEX('Lookups - Complexity'!$D:$D, MATCH($B224, 'Lookups - Complexity'!$B:$B,0)), $K224="High", INDEX('Lookups - Complexity'!$E:$E, MATCH($B224, 'Lookups - Complexity'!$B:$B,0))), ""))</f>
        <v/>
      </c>
      <c r="M224" s="11">
        <f>IF($I224="FTE", Assumptions!$B$3, "")</f>
        <v/>
      </c>
      <c r="N224" s="11">
        <f t="array" ref="N224">IFERROR(INDEX(Milestones!$F:$F, MATCH($B224, Milestones!$B:$B, 0)), "")</f>
        <v/>
      </c>
      <c r="O224" s="11">
        <f t="array" ref="O224">IFERROR(INDEX(Milestones!$G:$G, MATCH($B224, Milestones!$B:$B, 0)), "")</f>
        <v/>
      </c>
      <c r="P224" s="11">
        <f t="array" ref="P224">IFERROR(INDEX('Lookups - Rates'!$D:$D, MATCH($G224&amp;"|"&amp;$H224, 'Lookups - Rates'!$Z:$Z, 0)), "")</f>
        <v/>
      </c>
      <c r="Q224" s="11">
        <f t="array" ref="Q224">IFERROR(INDEX('Lookups - Rates'!$E:$E, MATCH($G224&amp;"|"&amp;$H224, 'Lookups - Rates'!$Z:$Z, 0)), "")</f>
        <v/>
      </c>
      <c r="R224" s="11">
        <f>LET(ev,$J224, ch,$L224, hr,$P224, dr,$Q224, hpday,Assumptions!$B$2, hpw,Assumptions!$B$3, w,$M224, hrs, IF($I224="Hours", ev, IF($I224="Days", ev*IF(dr&gt;0, dr/hr, hpday), IF($I224="FTE", ev*hpw*w, ch))), IF(hrs="", "", hrs*hr))</f>
        <v/>
      </c>
      <c r="S224" s="13" t="n"/>
      <c r="T224" s="11">
        <f t="array" ref="T224">XLOOKUP(Scenario_Selected, INDEX(Scenario_Table,0,1), INDEX(Scenario_Table,0,2))</f>
        <v/>
      </c>
      <c r="U224" s="11">
        <f t="array" ref="U224">XLOOKUP(Scenario_Selected, INDEX(Scenario_Table,0,1), INDEX(Scenario_Table,0,3))</f>
        <v/>
      </c>
      <c r="V224" s="11">
        <f t="array" ref="V224">XLOOKUP(Scenario_Selected, INDEX(Scenario_Table,0,1), INDEX(Scenario_Table,0,4))</f>
        <v/>
      </c>
      <c r="W224" s="11">
        <f t="array" ref="W224">LET(ev,$J224, ch,$L224, et,$I224, dr,$Q224, hpday,Assumptions!$B$2, hpw,Assumptions!$B$3, w,$M224,hm,INDIRECT("R[0]C[0]",FALSE),hrs, IF(et="Hours", ev, IF(et="Days", ev*IF(dr&gt;0, dr/$P224, hpday), IF(et="FTE", ev*hpw*w, ch))), IF(hrs="", "", hrs*hm))</f>
        <v/>
      </c>
      <c r="X224" s="11">
        <f>IF($P224="","", $P224*INDIRECT("R[0]C[-3]",FALSE))</f>
        <v/>
      </c>
      <c r="Y224" s="11">
        <f>IF(INDIRECT("R[0]C[-1]",FALSE)="","", INDIRECT("R[0]C[-2]",FALSE)*INDIRECT("R[0]C[-1]",FALSE)*(1+INDIRECT("R[0]C[-3]",FALSE)))</f>
        <v/>
      </c>
      <c r="Z224" s="13" t="n"/>
    </row>
    <row r="225" ht="15.75" customHeight="1" s="74">
      <c r="A225" s="11" t="n">
        <v>225</v>
      </c>
      <c r="C225" s="11">
        <f t="array" ref="C225">IFERROR(INDEX(Milestones!$A:$A, MATCH($B225, Milestones!$B:$B, 0)), "")</f>
        <v/>
      </c>
      <c r="D225" s="11">
        <f t="array" ref="D225">IFERROR(INDEX(Milestones!$C:$C, MATCH($B225, Milestones!$B:$B, 0)), "")</f>
        <v/>
      </c>
      <c r="F225" s="11">
        <f t="array" ref="F225">IFERROR(INDEX(Milestones!$E:$E, MATCH($B225, Milestones!$B:$B, 0)), "")</f>
        <v/>
      </c>
      <c r="I225" s="11" t="n"/>
      <c r="J225" s="20" t="n"/>
      <c r="K225" s="11" t="n"/>
      <c r="L225" s="11">
        <f t="array" ref="L225">IF($K225="","", IFERROR(IFS($K225="Low", INDEX('Lookups - Complexity'!$C:$C, MATCH($B225, 'Lookups - Complexity'!$B:$B,0)), $K225="Medium", INDEX('Lookups - Complexity'!$D:$D, MATCH($B225, 'Lookups - Complexity'!$B:$B,0)), $K225="High", INDEX('Lookups - Complexity'!$E:$E, MATCH($B225, 'Lookups - Complexity'!$B:$B,0))), ""))</f>
        <v/>
      </c>
      <c r="M225" s="11">
        <f>IF($I225="FTE", Assumptions!$B$3, "")</f>
        <v/>
      </c>
      <c r="N225" s="11">
        <f t="array" ref="N225">IFERROR(INDEX(Milestones!$F:$F, MATCH($B225, Milestones!$B:$B, 0)), "")</f>
        <v/>
      </c>
      <c r="O225" s="11">
        <f t="array" ref="O225">IFERROR(INDEX(Milestones!$G:$G, MATCH($B225, Milestones!$B:$B, 0)), "")</f>
        <v/>
      </c>
      <c r="P225" s="11">
        <f t="array" ref="P225">IFERROR(INDEX('Lookups - Rates'!$D:$D, MATCH($G225&amp;"|"&amp;$H225, 'Lookups - Rates'!$Z:$Z, 0)), "")</f>
        <v/>
      </c>
      <c r="Q225" s="11">
        <f t="array" ref="Q225">IFERROR(INDEX('Lookups - Rates'!$E:$E, MATCH($G225&amp;"|"&amp;$H225, 'Lookups - Rates'!$Z:$Z, 0)), "")</f>
        <v/>
      </c>
      <c r="R225" s="11">
        <f>LET(ev,$J225, ch,$L225, hr,$P225, dr,$Q225, hpday,Assumptions!$B$2, hpw,Assumptions!$B$3, w,$M225, hrs, IF($I225="Hours", ev, IF($I225="Days", ev*IF(dr&gt;0, dr/hr, hpday), IF($I225="FTE", ev*hpw*w, ch))), IF(hrs="", "", hrs*hr))</f>
        <v/>
      </c>
      <c r="S225" s="13" t="n"/>
      <c r="T225" s="11">
        <f t="array" ref="T225">XLOOKUP(Scenario_Selected, INDEX(Scenario_Table,0,1), INDEX(Scenario_Table,0,2))</f>
        <v/>
      </c>
      <c r="U225" s="11">
        <f t="array" ref="U225">XLOOKUP(Scenario_Selected, INDEX(Scenario_Table,0,1), INDEX(Scenario_Table,0,3))</f>
        <v/>
      </c>
      <c r="V225" s="11">
        <f t="array" ref="V225">XLOOKUP(Scenario_Selected, INDEX(Scenario_Table,0,1), INDEX(Scenario_Table,0,4))</f>
        <v/>
      </c>
      <c r="W225" s="11">
        <f t="array" ref="W225">LET(ev,$J225, ch,$L225, et,$I225, dr,$Q225, hpday,Assumptions!$B$2, hpw,Assumptions!$B$3, w,$M225,hm,INDIRECT("R[0]C[0]",FALSE),hrs, IF(et="Hours", ev, IF(et="Days", ev*IF(dr&gt;0, dr/$P225, hpday), IF(et="FTE", ev*hpw*w, ch))), IF(hrs="", "", hrs*hm))</f>
        <v/>
      </c>
      <c r="X225" s="11">
        <f>IF($P225="","", $P225*INDIRECT("R[0]C[-3]",FALSE))</f>
        <v/>
      </c>
      <c r="Y225" s="11">
        <f>IF(INDIRECT("R[0]C[-1]",FALSE)="","", INDIRECT("R[0]C[-2]",FALSE)*INDIRECT("R[0]C[-1]",FALSE)*(1+INDIRECT("R[0]C[-3]",FALSE)))</f>
        <v/>
      </c>
      <c r="Z225" s="13" t="n"/>
    </row>
    <row r="226" ht="15.75" customHeight="1" s="74">
      <c r="A226" s="11" t="n">
        <v>226</v>
      </c>
      <c r="C226" s="11">
        <f t="array" ref="C226">IFERROR(INDEX(Milestones!$A:$A, MATCH($B226, Milestones!$B:$B, 0)), "")</f>
        <v/>
      </c>
      <c r="D226" s="11">
        <f t="array" ref="D226">IFERROR(INDEX(Milestones!$C:$C, MATCH($B226, Milestones!$B:$B, 0)), "")</f>
        <v/>
      </c>
      <c r="F226" s="11">
        <f t="array" ref="F226">IFERROR(INDEX(Milestones!$E:$E, MATCH($B226, Milestones!$B:$B, 0)), "")</f>
        <v/>
      </c>
      <c r="I226" s="11" t="n"/>
      <c r="J226" s="20" t="n"/>
      <c r="K226" s="11" t="n"/>
      <c r="L226" s="11">
        <f t="array" ref="L226">IF($K226="","", IFERROR(IFS($K226="Low", INDEX('Lookups - Complexity'!$C:$C, MATCH($B226, 'Lookups - Complexity'!$B:$B,0)), $K226="Medium", INDEX('Lookups - Complexity'!$D:$D, MATCH($B226, 'Lookups - Complexity'!$B:$B,0)), $K226="High", INDEX('Lookups - Complexity'!$E:$E, MATCH($B226, 'Lookups - Complexity'!$B:$B,0))), ""))</f>
        <v/>
      </c>
      <c r="M226" s="11">
        <f>IF($I226="FTE", Assumptions!$B$3, "")</f>
        <v/>
      </c>
      <c r="N226" s="11">
        <f t="array" ref="N226">IFERROR(INDEX(Milestones!$F:$F, MATCH($B226, Milestones!$B:$B, 0)), "")</f>
        <v/>
      </c>
      <c r="O226" s="11">
        <f t="array" ref="O226">IFERROR(INDEX(Milestones!$G:$G, MATCH($B226, Milestones!$B:$B, 0)), "")</f>
        <v/>
      </c>
      <c r="P226" s="11">
        <f t="array" ref="P226">IFERROR(INDEX('Lookups - Rates'!$D:$D, MATCH($G226&amp;"|"&amp;$H226, 'Lookups - Rates'!$Z:$Z, 0)), "")</f>
        <v/>
      </c>
      <c r="Q226" s="11">
        <f t="array" ref="Q226">IFERROR(INDEX('Lookups - Rates'!$E:$E, MATCH($G226&amp;"|"&amp;$H226, 'Lookups - Rates'!$Z:$Z, 0)), "")</f>
        <v/>
      </c>
      <c r="R226" s="11">
        <f>LET(ev,$J226, ch,$L226, hr,$P226, dr,$Q226, hpday,Assumptions!$B$2, hpw,Assumptions!$B$3, w,$M226, hrs, IF($I226="Hours", ev, IF($I226="Days", ev*IF(dr&gt;0, dr/hr, hpday), IF($I226="FTE", ev*hpw*w, ch))), IF(hrs="", "", hrs*hr))</f>
        <v/>
      </c>
      <c r="S226" s="13" t="n"/>
      <c r="T226" s="11">
        <f t="array" ref="T226">XLOOKUP(Scenario_Selected, INDEX(Scenario_Table,0,1), INDEX(Scenario_Table,0,2))</f>
        <v/>
      </c>
      <c r="U226" s="11">
        <f t="array" ref="U226">XLOOKUP(Scenario_Selected, INDEX(Scenario_Table,0,1), INDEX(Scenario_Table,0,3))</f>
        <v/>
      </c>
      <c r="V226" s="11">
        <f t="array" ref="V226">XLOOKUP(Scenario_Selected, INDEX(Scenario_Table,0,1), INDEX(Scenario_Table,0,4))</f>
        <v/>
      </c>
      <c r="W226" s="11">
        <f t="array" ref="W226">LET(ev,$J226, ch,$L226, et,$I226, dr,$Q226, hpday,Assumptions!$B$2, hpw,Assumptions!$B$3, w,$M226,hm,INDIRECT("R[0]C[0]",FALSE),hrs, IF(et="Hours", ev, IF(et="Days", ev*IF(dr&gt;0, dr/$P226, hpday), IF(et="FTE", ev*hpw*w, ch))), IF(hrs="", "", hrs*hm))</f>
        <v/>
      </c>
      <c r="X226" s="11">
        <f>IF($P226="","", $P226*INDIRECT("R[0]C[-3]",FALSE))</f>
        <v/>
      </c>
      <c r="Y226" s="11">
        <f>IF(INDIRECT("R[0]C[-1]",FALSE)="","", INDIRECT("R[0]C[-2]",FALSE)*INDIRECT("R[0]C[-1]",FALSE)*(1+INDIRECT("R[0]C[-3]",FALSE)))</f>
        <v/>
      </c>
      <c r="Z226" s="13" t="n"/>
    </row>
    <row r="227" ht="15.75" customHeight="1" s="74">
      <c r="A227" s="11" t="n">
        <v>227</v>
      </c>
      <c r="C227" s="11">
        <f t="array" ref="C227">IFERROR(INDEX(Milestones!$A:$A, MATCH($B227, Milestones!$B:$B, 0)), "")</f>
        <v/>
      </c>
      <c r="D227" s="11">
        <f t="array" ref="D227">IFERROR(INDEX(Milestones!$C:$C, MATCH($B227, Milestones!$B:$B, 0)), "")</f>
        <v/>
      </c>
      <c r="F227" s="11">
        <f t="array" ref="F227">IFERROR(INDEX(Milestones!$E:$E, MATCH($B227, Milestones!$B:$B, 0)), "")</f>
        <v/>
      </c>
      <c r="I227" s="11" t="n"/>
      <c r="J227" s="20" t="n"/>
      <c r="K227" s="11" t="n"/>
      <c r="L227" s="11">
        <f t="array" ref="L227">IF($K227="","", IFERROR(IFS($K227="Low", INDEX('Lookups - Complexity'!$C:$C, MATCH($B227, 'Lookups - Complexity'!$B:$B,0)), $K227="Medium", INDEX('Lookups - Complexity'!$D:$D, MATCH($B227, 'Lookups - Complexity'!$B:$B,0)), $K227="High", INDEX('Lookups - Complexity'!$E:$E, MATCH($B227, 'Lookups - Complexity'!$B:$B,0))), ""))</f>
        <v/>
      </c>
      <c r="M227" s="11">
        <f>IF($I227="FTE", Assumptions!$B$3, "")</f>
        <v/>
      </c>
      <c r="N227" s="11">
        <f t="array" ref="N227">IFERROR(INDEX(Milestones!$F:$F, MATCH($B227, Milestones!$B:$B, 0)), "")</f>
        <v/>
      </c>
      <c r="O227" s="11">
        <f t="array" ref="O227">IFERROR(INDEX(Milestones!$G:$G, MATCH($B227, Milestones!$B:$B, 0)), "")</f>
        <v/>
      </c>
      <c r="P227" s="11">
        <f t="array" ref="P227">IFERROR(INDEX('Lookups - Rates'!$D:$D, MATCH($G227&amp;"|"&amp;$H227, 'Lookups - Rates'!$Z:$Z, 0)), "")</f>
        <v/>
      </c>
      <c r="Q227" s="11">
        <f t="array" ref="Q227">IFERROR(INDEX('Lookups - Rates'!$E:$E, MATCH($G227&amp;"|"&amp;$H227, 'Lookups - Rates'!$Z:$Z, 0)), "")</f>
        <v/>
      </c>
      <c r="R227" s="11">
        <f>LET(ev,$J227, ch,$L227, hr,$P227, dr,$Q227, hpday,Assumptions!$B$2, hpw,Assumptions!$B$3, w,$M227, hrs, IF($I227="Hours", ev, IF($I227="Days", ev*IF(dr&gt;0, dr/hr, hpday), IF($I227="FTE", ev*hpw*w, ch))), IF(hrs="", "", hrs*hr))</f>
        <v/>
      </c>
      <c r="S227" s="13" t="n"/>
      <c r="T227" s="11">
        <f t="array" ref="T227">XLOOKUP(Scenario_Selected, INDEX(Scenario_Table,0,1), INDEX(Scenario_Table,0,2))</f>
        <v/>
      </c>
      <c r="U227" s="11">
        <f t="array" ref="U227">XLOOKUP(Scenario_Selected, INDEX(Scenario_Table,0,1), INDEX(Scenario_Table,0,3))</f>
        <v/>
      </c>
      <c r="V227" s="11">
        <f t="array" ref="V227">XLOOKUP(Scenario_Selected, INDEX(Scenario_Table,0,1), INDEX(Scenario_Table,0,4))</f>
        <v/>
      </c>
      <c r="W227" s="11">
        <f t="array" ref="W227">LET(ev,$J227, ch,$L227, et,$I227, dr,$Q227, hpday,Assumptions!$B$2, hpw,Assumptions!$B$3, w,$M227,hm,INDIRECT("R[0]C[0]",FALSE),hrs, IF(et="Hours", ev, IF(et="Days", ev*IF(dr&gt;0, dr/$P227, hpday), IF(et="FTE", ev*hpw*w, ch))), IF(hrs="", "", hrs*hm))</f>
        <v/>
      </c>
      <c r="X227" s="11">
        <f>IF($P227="","", $P227*INDIRECT("R[0]C[-3]",FALSE))</f>
        <v/>
      </c>
      <c r="Y227" s="11">
        <f>IF(INDIRECT("R[0]C[-1]",FALSE)="","", INDIRECT("R[0]C[-2]",FALSE)*INDIRECT("R[0]C[-1]",FALSE)*(1+INDIRECT("R[0]C[-3]",FALSE)))</f>
        <v/>
      </c>
      <c r="Z227" s="13" t="n"/>
    </row>
    <row r="228" ht="15.75" customHeight="1" s="74">
      <c r="A228" s="11" t="n">
        <v>228</v>
      </c>
      <c r="C228" s="11">
        <f t="array" ref="C228">IFERROR(INDEX(Milestones!$A:$A, MATCH($B228, Milestones!$B:$B, 0)), "")</f>
        <v/>
      </c>
      <c r="D228" s="11">
        <f t="array" ref="D228">IFERROR(INDEX(Milestones!$C:$C, MATCH($B228, Milestones!$B:$B, 0)), "")</f>
        <v/>
      </c>
      <c r="F228" s="11">
        <f t="array" ref="F228">IFERROR(INDEX(Milestones!$E:$E, MATCH($B228, Milestones!$B:$B, 0)), "")</f>
        <v/>
      </c>
      <c r="I228" s="11" t="n"/>
      <c r="J228" s="20" t="n"/>
      <c r="K228" s="11" t="n"/>
      <c r="L228" s="11">
        <f t="array" ref="L228">IF($K228="","", IFERROR(IFS($K228="Low", INDEX('Lookups - Complexity'!$C:$C, MATCH($B228, 'Lookups - Complexity'!$B:$B,0)), $K228="Medium", INDEX('Lookups - Complexity'!$D:$D, MATCH($B228, 'Lookups - Complexity'!$B:$B,0)), $K228="High", INDEX('Lookups - Complexity'!$E:$E, MATCH($B228, 'Lookups - Complexity'!$B:$B,0))), ""))</f>
        <v/>
      </c>
      <c r="M228" s="11">
        <f>IF($I228="FTE", Assumptions!$B$3, "")</f>
        <v/>
      </c>
      <c r="N228" s="11">
        <f t="array" ref="N228">IFERROR(INDEX(Milestones!$F:$F, MATCH($B228, Milestones!$B:$B, 0)), "")</f>
        <v/>
      </c>
      <c r="O228" s="11">
        <f t="array" ref="O228">IFERROR(INDEX(Milestones!$G:$G, MATCH($B228, Milestones!$B:$B, 0)), "")</f>
        <v/>
      </c>
      <c r="P228" s="11">
        <f t="array" ref="P228">IFERROR(INDEX('Lookups - Rates'!$D:$D, MATCH($G228&amp;"|"&amp;$H228, 'Lookups - Rates'!$Z:$Z, 0)), "")</f>
        <v/>
      </c>
      <c r="Q228" s="11">
        <f t="array" ref="Q228">IFERROR(INDEX('Lookups - Rates'!$E:$E, MATCH($G228&amp;"|"&amp;$H228, 'Lookups - Rates'!$Z:$Z, 0)), "")</f>
        <v/>
      </c>
      <c r="R228" s="11">
        <f>LET(ev,$J228, ch,$L228, hr,$P228, dr,$Q228, hpday,Assumptions!$B$2, hpw,Assumptions!$B$3, w,$M228, hrs, IF($I228="Hours", ev, IF($I228="Days", ev*IF(dr&gt;0, dr/hr, hpday), IF($I228="FTE", ev*hpw*w, ch))), IF(hrs="", "", hrs*hr))</f>
        <v/>
      </c>
      <c r="S228" s="13" t="n"/>
      <c r="T228" s="11">
        <f t="array" ref="T228">XLOOKUP(Scenario_Selected, INDEX(Scenario_Table,0,1), INDEX(Scenario_Table,0,2))</f>
        <v/>
      </c>
      <c r="U228" s="11">
        <f t="array" ref="U228">XLOOKUP(Scenario_Selected, INDEX(Scenario_Table,0,1), INDEX(Scenario_Table,0,3))</f>
        <v/>
      </c>
      <c r="V228" s="11">
        <f t="array" ref="V228">XLOOKUP(Scenario_Selected, INDEX(Scenario_Table,0,1), INDEX(Scenario_Table,0,4))</f>
        <v/>
      </c>
      <c r="W228" s="11">
        <f t="array" ref="W228">LET(ev,$J228, ch,$L228, et,$I228, dr,$Q228, hpday,Assumptions!$B$2, hpw,Assumptions!$B$3, w,$M228,hm,INDIRECT("R[0]C[0]",FALSE),hrs, IF(et="Hours", ev, IF(et="Days", ev*IF(dr&gt;0, dr/$P228, hpday), IF(et="FTE", ev*hpw*w, ch))), IF(hrs="", "", hrs*hm))</f>
        <v/>
      </c>
      <c r="X228" s="11">
        <f>IF($P228="","", $P228*INDIRECT("R[0]C[-3]",FALSE))</f>
        <v/>
      </c>
      <c r="Y228" s="11">
        <f>IF(INDIRECT("R[0]C[-1]",FALSE)="","", INDIRECT("R[0]C[-2]",FALSE)*INDIRECT("R[0]C[-1]",FALSE)*(1+INDIRECT("R[0]C[-3]",FALSE)))</f>
        <v/>
      </c>
      <c r="Z228" s="13" t="n"/>
    </row>
    <row r="229" ht="15.75" customHeight="1" s="74">
      <c r="A229" s="11" t="n">
        <v>229</v>
      </c>
      <c r="C229" s="11">
        <f t="array" ref="C229">IFERROR(INDEX(Milestones!$A:$A, MATCH($B229, Milestones!$B:$B, 0)), "")</f>
        <v/>
      </c>
      <c r="D229" s="11">
        <f t="array" ref="D229">IFERROR(INDEX(Milestones!$C:$C, MATCH($B229, Milestones!$B:$B, 0)), "")</f>
        <v/>
      </c>
      <c r="F229" s="11">
        <f t="array" ref="F229">IFERROR(INDEX(Milestones!$E:$E, MATCH($B229, Milestones!$B:$B, 0)), "")</f>
        <v/>
      </c>
      <c r="I229" s="11" t="n"/>
      <c r="J229" s="20" t="n"/>
      <c r="K229" s="11" t="n"/>
      <c r="L229" s="11">
        <f t="array" ref="L229">IF($K229="","", IFERROR(IFS($K229="Low", INDEX('Lookups - Complexity'!$C:$C, MATCH($B229, 'Lookups - Complexity'!$B:$B,0)), $K229="Medium", INDEX('Lookups - Complexity'!$D:$D, MATCH($B229, 'Lookups - Complexity'!$B:$B,0)), $K229="High", INDEX('Lookups - Complexity'!$E:$E, MATCH($B229, 'Lookups - Complexity'!$B:$B,0))), ""))</f>
        <v/>
      </c>
      <c r="M229" s="11">
        <f>IF($I229="FTE", Assumptions!$B$3, "")</f>
        <v/>
      </c>
      <c r="N229" s="11">
        <f t="array" ref="N229">IFERROR(INDEX(Milestones!$F:$F, MATCH($B229, Milestones!$B:$B, 0)), "")</f>
        <v/>
      </c>
      <c r="O229" s="11">
        <f t="array" ref="O229">IFERROR(INDEX(Milestones!$G:$G, MATCH($B229, Milestones!$B:$B, 0)), "")</f>
        <v/>
      </c>
      <c r="P229" s="11">
        <f t="array" ref="P229">IFERROR(INDEX('Lookups - Rates'!$D:$D, MATCH($G229&amp;"|"&amp;$H229, 'Lookups - Rates'!$Z:$Z, 0)), "")</f>
        <v/>
      </c>
      <c r="Q229" s="11">
        <f t="array" ref="Q229">IFERROR(INDEX('Lookups - Rates'!$E:$E, MATCH($G229&amp;"|"&amp;$H229, 'Lookups - Rates'!$Z:$Z, 0)), "")</f>
        <v/>
      </c>
      <c r="R229" s="11">
        <f>LET(ev,$J229, ch,$L229, hr,$P229, dr,$Q229, hpday,Assumptions!$B$2, hpw,Assumptions!$B$3, w,$M229, hrs, IF($I229="Hours", ev, IF($I229="Days", ev*IF(dr&gt;0, dr/hr, hpday), IF($I229="FTE", ev*hpw*w, ch))), IF(hrs="", "", hrs*hr))</f>
        <v/>
      </c>
      <c r="S229" s="13" t="n"/>
      <c r="T229" s="11">
        <f t="array" ref="T229">XLOOKUP(Scenario_Selected, INDEX(Scenario_Table,0,1), INDEX(Scenario_Table,0,2))</f>
        <v/>
      </c>
      <c r="U229" s="11">
        <f t="array" ref="U229">XLOOKUP(Scenario_Selected, INDEX(Scenario_Table,0,1), INDEX(Scenario_Table,0,3))</f>
        <v/>
      </c>
      <c r="V229" s="11">
        <f t="array" ref="V229">XLOOKUP(Scenario_Selected, INDEX(Scenario_Table,0,1), INDEX(Scenario_Table,0,4))</f>
        <v/>
      </c>
      <c r="W229" s="11">
        <f t="array" ref="W229">LET(ev,$J229, ch,$L229, et,$I229, dr,$Q229, hpday,Assumptions!$B$2, hpw,Assumptions!$B$3, w,$M229,hm,INDIRECT("R[0]C[0]",FALSE),hrs, IF(et="Hours", ev, IF(et="Days", ev*IF(dr&gt;0, dr/$P229, hpday), IF(et="FTE", ev*hpw*w, ch))), IF(hrs="", "", hrs*hm))</f>
        <v/>
      </c>
      <c r="X229" s="11">
        <f>IF($P229="","", $P229*INDIRECT("R[0]C[-3]",FALSE))</f>
        <v/>
      </c>
      <c r="Y229" s="11">
        <f>IF(INDIRECT("R[0]C[-1]",FALSE)="","", INDIRECT("R[0]C[-2]",FALSE)*INDIRECT("R[0]C[-1]",FALSE)*(1+INDIRECT("R[0]C[-3]",FALSE)))</f>
        <v/>
      </c>
      <c r="Z229" s="13" t="n"/>
    </row>
    <row r="230" ht="15.75" customHeight="1" s="74">
      <c r="A230" s="11" t="n">
        <v>230</v>
      </c>
      <c r="C230" s="11">
        <f t="array" ref="C230">IFERROR(INDEX(Milestones!$A:$A, MATCH($B230, Milestones!$B:$B, 0)), "")</f>
        <v/>
      </c>
      <c r="D230" s="11">
        <f t="array" ref="D230">IFERROR(INDEX(Milestones!$C:$C, MATCH($B230, Milestones!$B:$B, 0)), "")</f>
        <v/>
      </c>
      <c r="F230" s="11">
        <f t="array" ref="F230">IFERROR(INDEX(Milestones!$E:$E, MATCH($B230, Milestones!$B:$B, 0)), "")</f>
        <v/>
      </c>
      <c r="I230" s="11" t="n"/>
      <c r="J230" s="20" t="n"/>
      <c r="K230" s="11" t="n"/>
      <c r="L230" s="11">
        <f t="array" ref="L230">IF($K230="","", IFERROR(IFS($K230="Low", INDEX('Lookups - Complexity'!$C:$C, MATCH($B230, 'Lookups - Complexity'!$B:$B,0)), $K230="Medium", INDEX('Lookups - Complexity'!$D:$D, MATCH($B230, 'Lookups - Complexity'!$B:$B,0)), $K230="High", INDEX('Lookups - Complexity'!$E:$E, MATCH($B230, 'Lookups - Complexity'!$B:$B,0))), ""))</f>
        <v/>
      </c>
      <c r="M230" s="11">
        <f>IF($I230="FTE", Assumptions!$B$3, "")</f>
        <v/>
      </c>
      <c r="N230" s="11">
        <f t="array" ref="N230">IFERROR(INDEX(Milestones!$F:$F, MATCH($B230, Milestones!$B:$B, 0)), "")</f>
        <v/>
      </c>
      <c r="O230" s="11">
        <f t="array" ref="O230">IFERROR(INDEX(Milestones!$G:$G, MATCH($B230, Milestones!$B:$B, 0)), "")</f>
        <v/>
      </c>
      <c r="P230" s="11">
        <f t="array" ref="P230">IFERROR(INDEX('Lookups - Rates'!$D:$D, MATCH($G230&amp;"|"&amp;$H230, 'Lookups - Rates'!$Z:$Z, 0)), "")</f>
        <v/>
      </c>
      <c r="Q230" s="11">
        <f t="array" ref="Q230">IFERROR(INDEX('Lookups - Rates'!$E:$E, MATCH($G230&amp;"|"&amp;$H230, 'Lookups - Rates'!$Z:$Z, 0)), "")</f>
        <v/>
      </c>
      <c r="R230" s="11">
        <f>LET(ev,$J230, ch,$L230, hr,$P230, dr,$Q230, hpday,Assumptions!$B$2, hpw,Assumptions!$B$3, w,$M230, hrs, IF($I230="Hours", ev, IF($I230="Days", ev*IF(dr&gt;0, dr/hr, hpday), IF($I230="FTE", ev*hpw*w, ch))), IF(hrs="", "", hrs*hr))</f>
        <v/>
      </c>
      <c r="S230" s="13" t="n"/>
      <c r="T230" s="11">
        <f t="array" ref="T230">XLOOKUP(Scenario_Selected, INDEX(Scenario_Table,0,1), INDEX(Scenario_Table,0,2))</f>
        <v/>
      </c>
      <c r="U230" s="11">
        <f t="array" ref="U230">XLOOKUP(Scenario_Selected, INDEX(Scenario_Table,0,1), INDEX(Scenario_Table,0,3))</f>
        <v/>
      </c>
      <c r="V230" s="11">
        <f t="array" ref="V230">XLOOKUP(Scenario_Selected, INDEX(Scenario_Table,0,1), INDEX(Scenario_Table,0,4))</f>
        <v/>
      </c>
      <c r="W230" s="11">
        <f t="array" ref="W230">LET(ev,$J230, ch,$L230, et,$I230, dr,$Q230, hpday,Assumptions!$B$2, hpw,Assumptions!$B$3, w,$M230,hm,INDIRECT("R[0]C[0]",FALSE),hrs, IF(et="Hours", ev, IF(et="Days", ev*IF(dr&gt;0, dr/$P230, hpday), IF(et="FTE", ev*hpw*w, ch))), IF(hrs="", "", hrs*hm))</f>
        <v/>
      </c>
      <c r="X230" s="11">
        <f>IF($P230="","", $P230*INDIRECT("R[0]C[-3]",FALSE))</f>
        <v/>
      </c>
      <c r="Y230" s="11">
        <f>IF(INDIRECT("R[0]C[-1]",FALSE)="","", INDIRECT("R[0]C[-2]",FALSE)*INDIRECT("R[0]C[-1]",FALSE)*(1+INDIRECT("R[0]C[-3]",FALSE)))</f>
        <v/>
      </c>
      <c r="Z230" s="13" t="n"/>
    </row>
    <row r="231" ht="15.75" customHeight="1" s="74">
      <c r="A231" s="11" t="n">
        <v>231</v>
      </c>
      <c r="C231" s="11">
        <f t="array" ref="C231">IFERROR(INDEX(Milestones!$A:$A, MATCH($B231, Milestones!$B:$B, 0)), "")</f>
        <v/>
      </c>
      <c r="D231" s="11">
        <f t="array" ref="D231">IFERROR(INDEX(Milestones!$C:$C, MATCH($B231, Milestones!$B:$B, 0)), "")</f>
        <v/>
      </c>
      <c r="F231" s="11">
        <f t="array" ref="F231">IFERROR(INDEX(Milestones!$E:$E, MATCH($B231, Milestones!$B:$B, 0)), "")</f>
        <v/>
      </c>
      <c r="I231" s="11" t="n"/>
      <c r="J231" s="20" t="n"/>
      <c r="K231" s="11" t="n"/>
      <c r="L231" s="11">
        <f t="array" ref="L231">IF($K231="","", IFERROR(IFS($K231="Low", INDEX('Lookups - Complexity'!$C:$C, MATCH($B231, 'Lookups - Complexity'!$B:$B,0)), $K231="Medium", INDEX('Lookups - Complexity'!$D:$D, MATCH($B231, 'Lookups - Complexity'!$B:$B,0)), $K231="High", INDEX('Lookups - Complexity'!$E:$E, MATCH($B231, 'Lookups - Complexity'!$B:$B,0))), ""))</f>
        <v/>
      </c>
      <c r="M231" s="11">
        <f>IF($I231="FTE", Assumptions!$B$3, "")</f>
        <v/>
      </c>
      <c r="N231" s="11">
        <f t="array" ref="N231">IFERROR(INDEX(Milestones!$F:$F, MATCH($B231, Milestones!$B:$B, 0)), "")</f>
        <v/>
      </c>
      <c r="O231" s="11">
        <f t="array" ref="O231">IFERROR(INDEX(Milestones!$G:$G, MATCH($B231, Milestones!$B:$B, 0)), "")</f>
        <v/>
      </c>
      <c r="P231" s="11">
        <f t="array" ref="P231">IFERROR(INDEX('Lookups - Rates'!$D:$D, MATCH($G231&amp;"|"&amp;$H231, 'Lookups - Rates'!$Z:$Z, 0)), "")</f>
        <v/>
      </c>
      <c r="Q231" s="11">
        <f t="array" ref="Q231">IFERROR(INDEX('Lookups - Rates'!$E:$E, MATCH($G231&amp;"|"&amp;$H231, 'Lookups - Rates'!$Z:$Z, 0)), "")</f>
        <v/>
      </c>
      <c r="R231" s="11">
        <f>LET(ev,$J231, ch,$L231, hr,$P231, dr,$Q231, hpday,Assumptions!$B$2, hpw,Assumptions!$B$3, w,$M231, hrs, IF($I231="Hours", ev, IF($I231="Days", ev*IF(dr&gt;0, dr/hr, hpday), IF($I231="FTE", ev*hpw*w, ch))), IF(hrs="", "", hrs*hr))</f>
        <v/>
      </c>
      <c r="S231" s="13" t="n"/>
      <c r="T231" s="11">
        <f t="array" ref="T231">XLOOKUP(Scenario_Selected, INDEX(Scenario_Table,0,1), INDEX(Scenario_Table,0,2))</f>
        <v/>
      </c>
      <c r="U231" s="11">
        <f t="array" ref="U231">XLOOKUP(Scenario_Selected, INDEX(Scenario_Table,0,1), INDEX(Scenario_Table,0,3))</f>
        <v/>
      </c>
      <c r="V231" s="11">
        <f t="array" ref="V231">XLOOKUP(Scenario_Selected, INDEX(Scenario_Table,0,1), INDEX(Scenario_Table,0,4))</f>
        <v/>
      </c>
      <c r="W231" s="11">
        <f t="array" ref="W231">LET(ev,$J231, ch,$L231, et,$I231, dr,$Q231, hpday,Assumptions!$B$2, hpw,Assumptions!$B$3, w,$M231,hm,INDIRECT("R[0]C[0]",FALSE),hrs, IF(et="Hours", ev, IF(et="Days", ev*IF(dr&gt;0, dr/$P231, hpday), IF(et="FTE", ev*hpw*w, ch))), IF(hrs="", "", hrs*hm))</f>
        <v/>
      </c>
      <c r="X231" s="11">
        <f>IF($P231="","", $P231*INDIRECT("R[0]C[-3]",FALSE))</f>
        <v/>
      </c>
      <c r="Y231" s="11">
        <f>IF(INDIRECT("R[0]C[-1]",FALSE)="","", INDIRECT("R[0]C[-2]",FALSE)*INDIRECT("R[0]C[-1]",FALSE)*(1+INDIRECT("R[0]C[-3]",FALSE)))</f>
        <v/>
      </c>
      <c r="Z231" s="13" t="n"/>
    </row>
    <row r="232" ht="15.75" customHeight="1" s="74">
      <c r="A232" s="11" t="n">
        <v>232</v>
      </c>
      <c r="C232" s="11">
        <f t="array" ref="C232">IFERROR(INDEX(Milestones!$A:$A, MATCH($B232, Milestones!$B:$B, 0)), "")</f>
        <v/>
      </c>
      <c r="D232" s="11">
        <f t="array" ref="D232">IFERROR(INDEX(Milestones!$C:$C, MATCH($B232, Milestones!$B:$B, 0)), "")</f>
        <v/>
      </c>
      <c r="F232" s="11">
        <f t="array" ref="F232">IFERROR(INDEX(Milestones!$E:$E, MATCH($B232, Milestones!$B:$B, 0)), "")</f>
        <v/>
      </c>
      <c r="I232" s="11" t="n"/>
      <c r="J232" s="20" t="n"/>
      <c r="K232" s="11" t="n"/>
      <c r="L232" s="11">
        <f t="array" ref="L232">IF($K232="","", IFERROR(IFS($K232="Low", INDEX('Lookups - Complexity'!$C:$C, MATCH($B232, 'Lookups - Complexity'!$B:$B,0)), $K232="Medium", INDEX('Lookups - Complexity'!$D:$D, MATCH($B232, 'Lookups - Complexity'!$B:$B,0)), $K232="High", INDEX('Lookups - Complexity'!$E:$E, MATCH($B232, 'Lookups - Complexity'!$B:$B,0))), ""))</f>
        <v/>
      </c>
      <c r="M232" s="11">
        <f>IF($I232="FTE", Assumptions!$B$3, "")</f>
        <v/>
      </c>
      <c r="N232" s="11">
        <f t="array" ref="N232">IFERROR(INDEX(Milestones!$F:$F, MATCH($B232, Milestones!$B:$B, 0)), "")</f>
        <v/>
      </c>
      <c r="O232" s="11">
        <f t="array" ref="O232">IFERROR(INDEX(Milestones!$G:$G, MATCH($B232, Milestones!$B:$B, 0)), "")</f>
        <v/>
      </c>
      <c r="P232" s="11">
        <f t="array" ref="P232">IFERROR(INDEX('Lookups - Rates'!$D:$D, MATCH($G232&amp;"|"&amp;$H232, 'Lookups - Rates'!$Z:$Z, 0)), "")</f>
        <v/>
      </c>
      <c r="Q232" s="11">
        <f t="array" ref="Q232">IFERROR(INDEX('Lookups - Rates'!$E:$E, MATCH($G232&amp;"|"&amp;$H232, 'Lookups - Rates'!$Z:$Z, 0)), "")</f>
        <v/>
      </c>
      <c r="R232" s="11">
        <f>LET(ev,$J232, ch,$L232, hr,$P232, dr,$Q232, hpday,Assumptions!$B$2, hpw,Assumptions!$B$3, w,$M232, hrs, IF($I232="Hours", ev, IF($I232="Days", ev*IF(dr&gt;0, dr/hr, hpday), IF($I232="FTE", ev*hpw*w, ch))), IF(hrs="", "", hrs*hr))</f>
        <v/>
      </c>
      <c r="S232" s="13" t="n"/>
      <c r="T232" s="11">
        <f t="array" ref="T232">XLOOKUP(Scenario_Selected, INDEX(Scenario_Table,0,1), INDEX(Scenario_Table,0,2))</f>
        <v/>
      </c>
      <c r="U232" s="11">
        <f t="array" ref="U232">XLOOKUP(Scenario_Selected, INDEX(Scenario_Table,0,1), INDEX(Scenario_Table,0,3))</f>
        <v/>
      </c>
      <c r="V232" s="11">
        <f t="array" ref="V232">XLOOKUP(Scenario_Selected, INDEX(Scenario_Table,0,1), INDEX(Scenario_Table,0,4))</f>
        <v/>
      </c>
      <c r="W232" s="11">
        <f t="array" ref="W232">LET(ev,$J232, ch,$L232, et,$I232, dr,$Q232, hpday,Assumptions!$B$2, hpw,Assumptions!$B$3, w,$M232,hm,INDIRECT("R[0]C[0]",FALSE),hrs, IF(et="Hours", ev, IF(et="Days", ev*IF(dr&gt;0, dr/$P232, hpday), IF(et="FTE", ev*hpw*w, ch))), IF(hrs="", "", hrs*hm))</f>
        <v/>
      </c>
      <c r="X232" s="11">
        <f>IF($P232="","", $P232*INDIRECT("R[0]C[-3]",FALSE))</f>
        <v/>
      </c>
      <c r="Y232" s="11">
        <f>IF(INDIRECT("R[0]C[-1]",FALSE)="","", INDIRECT("R[0]C[-2]",FALSE)*INDIRECT("R[0]C[-1]",FALSE)*(1+INDIRECT("R[0]C[-3]",FALSE)))</f>
        <v/>
      </c>
      <c r="Z232" s="13" t="n"/>
    </row>
    <row r="233" ht="15.75" customHeight="1" s="74">
      <c r="A233" s="11" t="n">
        <v>233</v>
      </c>
      <c r="C233" s="11">
        <f t="array" ref="C233">IFERROR(INDEX(Milestones!$A:$A, MATCH($B233, Milestones!$B:$B, 0)), "")</f>
        <v/>
      </c>
      <c r="D233" s="11">
        <f t="array" ref="D233">IFERROR(INDEX(Milestones!$C:$C, MATCH($B233, Milestones!$B:$B, 0)), "")</f>
        <v/>
      </c>
      <c r="F233" s="11">
        <f t="array" ref="F233">IFERROR(INDEX(Milestones!$E:$E, MATCH($B233, Milestones!$B:$B, 0)), "")</f>
        <v/>
      </c>
      <c r="I233" s="11" t="n"/>
      <c r="J233" s="20" t="n"/>
      <c r="K233" s="11" t="n"/>
      <c r="L233" s="11">
        <f t="array" ref="L233">IF($K233="","", IFERROR(IFS($K233="Low", INDEX('Lookups - Complexity'!$C:$C, MATCH($B233, 'Lookups - Complexity'!$B:$B,0)), $K233="Medium", INDEX('Lookups - Complexity'!$D:$D, MATCH($B233, 'Lookups - Complexity'!$B:$B,0)), $K233="High", INDEX('Lookups - Complexity'!$E:$E, MATCH($B233, 'Lookups - Complexity'!$B:$B,0))), ""))</f>
        <v/>
      </c>
      <c r="M233" s="11">
        <f>IF($I233="FTE", Assumptions!$B$3, "")</f>
        <v/>
      </c>
      <c r="N233" s="11">
        <f t="array" ref="N233">IFERROR(INDEX(Milestones!$F:$F, MATCH($B233, Milestones!$B:$B, 0)), "")</f>
        <v/>
      </c>
      <c r="O233" s="11">
        <f t="array" ref="O233">IFERROR(INDEX(Milestones!$G:$G, MATCH($B233, Milestones!$B:$B, 0)), "")</f>
        <v/>
      </c>
      <c r="P233" s="11">
        <f t="array" ref="P233">IFERROR(INDEX('Lookups - Rates'!$D:$D, MATCH($G233&amp;"|"&amp;$H233, 'Lookups - Rates'!$Z:$Z, 0)), "")</f>
        <v/>
      </c>
      <c r="Q233" s="11">
        <f t="array" ref="Q233">IFERROR(INDEX('Lookups - Rates'!$E:$E, MATCH($G233&amp;"|"&amp;$H233, 'Lookups - Rates'!$Z:$Z, 0)), "")</f>
        <v/>
      </c>
      <c r="R233" s="11">
        <f>LET(ev,$J233, ch,$L233, hr,$P233, dr,$Q233, hpday,Assumptions!$B$2, hpw,Assumptions!$B$3, w,$M233, hrs, IF($I233="Hours", ev, IF($I233="Days", ev*IF(dr&gt;0, dr/hr, hpday), IF($I233="FTE", ev*hpw*w, ch))), IF(hrs="", "", hrs*hr))</f>
        <v/>
      </c>
      <c r="S233" s="13" t="n"/>
      <c r="T233" s="11">
        <f t="array" ref="T233">XLOOKUP(Scenario_Selected, INDEX(Scenario_Table,0,1), INDEX(Scenario_Table,0,2))</f>
        <v/>
      </c>
      <c r="U233" s="11">
        <f t="array" ref="U233">XLOOKUP(Scenario_Selected, INDEX(Scenario_Table,0,1), INDEX(Scenario_Table,0,3))</f>
        <v/>
      </c>
      <c r="V233" s="11">
        <f t="array" ref="V233">XLOOKUP(Scenario_Selected, INDEX(Scenario_Table,0,1), INDEX(Scenario_Table,0,4))</f>
        <v/>
      </c>
      <c r="W233" s="11">
        <f t="array" ref="W233">LET(ev,$J233, ch,$L233, et,$I233, dr,$Q233, hpday,Assumptions!$B$2, hpw,Assumptions!$B$3, w,$M233,hm,INDIRECT("R[0]C[0]",FALSE),hrs, IF(et="Hours", ev, IF(et="Days", ev*IF(dr&gt;0, dr/$P233, hpday), IF(et="FTE", ev*hpw*w, ch))), IF(hrs="", "", hrs*hm))</f>
        <v/>
      </c>
      <c r="X233" s="11">
        <f>IF($P233="","", $P233*INDIRECT("R[0]C[-3]",FALSE))</f>
        <v/>
      </c>
      <c r="Y233" s="11">
        <f>IF(INDIRECT("R[0]C[-1]",FALSE)="","", INDIRECT("R[0]C[-2]",FALSE)*INDIRECT("R[0]C[-1]",FALSE)*(1+INDIRECT("R[0]C[-3]",FALSE)))</f>
        <v/>
      </c>
      <c r="Z233" s="13" t="n"/>
    </row>
    <row r="234" ht="15.75" customHeight="1" s="74">
      <c r="A234" s="11" t="n">
        <v>234</v>
      </c>
      <c r="C234" s="11">
        <f t="array" ref="C234">IFERROR(INDEX(Milestones!$A:$A, MATCH($B234, Milestones!$B:$B, 0)), "")</f>
        <v/>
      </c>
      <c r="D234" s="11">
        <f t="array" ref="D234">IFERROR(INDEX(Milestones!$C:$C, MATCH($B234, Milestones!$B:$B, 0)), "")</f>
        <v/>
      </c>
      <c r="F234" s="11">
        <f t="array" ref="F234">IFERROR(INDEX(Milestones!$E:$E, MATCH($B234, Milestones!$B:$B, 0)), "")</f>
        <v/>
      </c>
      <c r="I234" s="11" t="n"/>
      <c r="J234" s="20" t="n"/>
      <c r="K234" s="11" t="n"/>
      <c r="L234" s="11">
        <f t="array" ref="L234">IF($K234="","", IFERROR(IFS($K234="Low", INDEX('Lookups - Complexity'!$C:$C, MATCH($B234, 'Lookups - Complexity'!$B:$B,0)), $K234="Medium", INDEX('Lookups - Complexity'!$D:$D, MATCH($B234, 'Lookups - Complexity'!$B:$B,0)), $K234="High", INDEX('Lookups - Complexity'!$E:$E, MATCH($B234, 'Lookups - Complexity'!$B:$B,0))), ""))</f>
        <v/>
      </c>
      <c r="M234" s="11">
        <f>IF($I234="FTE", Assumptions!$B$3, "")</f>
        <v/>
      </c>
      <c r="N234" s="11">
        <f t="array" ref="N234">IFERROR(INDEX(Milestones!$F:$F, MATCH($B234, Milestones!$B:$B, 0)), "")</f>
        <v/>
      </c>
      <c r="O234" s="11">
        <f t="array" ref="O234">IFERROR(INDEX(Milestones!$G:$G, MATCH($B234, Milestones!$B:$B, 0)), "")</f>
        <v/>
      </c>
      <c r="P234" s="11">
        <f t="array" ref="P234">IFERROR(INDEX('Lookups - Rates'!$D:$D, MATCH($G234&amp;"|"&amp;$H234, 'Lookups - Rates'!$Z:$Z, 0)), "")</f>
        <v/>
      </c>
      <c r="Q234" s="11">
        <f t="array" ref="Q234">IFERROR(INDEX('Lookups - Rates'!$E:$E, MATCH($G234&amp;"|"&amp;$H234, 'Lookups - Rates'!$Z:$Z, 0)), "")</f>
        <v/>
      </c>
      <c r="R234" s="11">
        <f>LET(ev,$J234, ch,$L234, hr,$P234, dr,$Q234, hpday,Assumptions!$B$2, hpw,Assumptions!$B$3, w,$M234, hrs, IF($I234="Hours", ev, IF($I234="Days", ev*IF(dr&gt;0, dr/hr, hpday), IF($I234="FTE", ev*hpw*w, ch))), IF(hrs="", "", hrs*hr))</f>
        <v/>
      </c>
      <c r="S234" s="13" t="n"/>
      <c r="T234" s="11">
        <f t="array" ref="T234">XLOOKUP(Scenario_Selected, INDEX(Scenario_Table,0,1), INDEX(Scenario_Table,0,2))</f>
        <v/>
      </c>
      <c r="U234" s="11">
        <f t="array" ref="U234">XLOOKUP(Scenario_Selected, INDEX(Scenario_Table,0,1), INDEX(Scenario_Table,0,3))</f>
        <v/>
      </c>
      <c r="V234" s="11">
        <f t="array" ref="V234">XLOOKUP(Scenario_Selected, INDEX(Scenario_Table,0,1), INDEX(Scenario_Table,0,4))</f>
        <v/>
      </c>
      <c r="W234" s="11">
        <f t="array" ref="W234">LET(ev,$J234, ch,$L234, et,$I234, dr,$Q234, hpday,Assumptions!$B$2, hpw,Assumptions!$B$3, w,$M234,hm,INDIRECT("R[0]C[0]",FALSE),hrs, IF(et="Hours", ev, IF(et="Days", ev*IF(dr&gt;0, dr/$P234, hpday), IF(et="FTE", ev*hpw*w, ch))), IF(hrs="", "", hrs*hm))</f>
        <v/>
      </c>
      <c r="X234" s="11">
        <f>IF($P234="","", $P234*INDIRECT("R[0]C[-3]",FALSE))</f>
        <v/>
      </c>
      <c r="Y234" s="11">
        <f>IF(INDIRECT("R[0]C[-1]",FALSE)="","", INDIRECT("R[0]C[-2]",FALSE)*INDIRECT("R[0]C[-1]",FALSE)*(1+INDIRECT("R[0]C[-3]",FALSE)))</f>
        <v/>
      </c>
      <c r="Z234" s="13" t="n"/>
    </row>
    <row r="235" ht="15.75" customHeight="1" s="74">
      <c r="A235" s="11" t="n">
        <v>235</v>
      </c>
      <c r="C235" s="11">
        <f t="array" ref="C235">IFERROR(INDEX(Milestones!$A:$A, MATCH($B235, Milestones!$B:$B, 0)), "")</f>
        <v/>
      </c>
      <c r="D235" s="11">
        <f t="array" ref="D235">IFERROR(INDEX(Milestones!$C:$C, MATCH($B235, Milestones!$B:$B, 0)), "")</f>
        <v/>
      </c>
      <c r="F235" s="11">
        <f t="array" ref="F235">IFERROR(INDEX(Milestones!$E:$E, MATCH($B235, Milestones!$B:$B, 0)), "")</f>
        <v/>
      </c>
      <c r="I235" s="11" t="n"/>
      <c r="J235" s="20" t="n"/>
      <c r="K235" s="11" t="n"/>
      <c r="L235" s="11">
        <f t="array" ref="L235">IF($K235="","", IFERROR(IFS($K235="Low", INDEX('Lookups - Complexity'!$C:$C, MATCH($B235, 'Lookups - Complexity'!$B:$B,0)), $K235="Medium", INDEX('Lookups - Complexity'!$D:$D, MATCH($B235, 'Lookups - Complexity'!$B:$B,0)), $K235="High", INDEX('Lookups - Complexity'!$E:$E, MATCH($B235, 'Lookups - Complexity'!$B:$B,0))), ""))</f>
        <v/>
      </c>
      <c r="M235" s="11">
        <f>IF($I235="FTE", Assumptions!$B$3, "")</f>
        <v/>
      </c>
      <c r="N235" s="11">
        <f t="array" ref="N235">IFERROR(INDEX(Milestones!$F:$F, MATCH($B235, Milestones!$B:$B, 0)), "")</f>
        <v/>
      </c>
      <c r="O235" s="11">
        <f t="array" ref="O235">IFERROR(INDEX(Milestones!$G:$G, MATCH($B235, Milestones!$B:$B, 0)), "")</f>
        <v/>
      </c>
      <c r="P235" s="11">
        <f t="array" ref="P235">IFERROR(INDEX('Lookups - Rates'!$D:$D, MATCH($G235&amp;"|"&amp;$H235, 'Lookups - Rates'!$Z:$Z, 0)), "")</f>
        <v/>
      </c>
      <c r="Q235" s="11">
        <f t="array" ref="Q235">IFERROR(INDEX('Lookups - Rates'!$E:$E, MATCH($G235&amp;"|"&amp;$H235, 'Lookups - Rates'!$Z:$Z, 0)), "")</f>
        <v/>
      </c>
      <c r="R235" s="11">
        <f>LET(ev,$J235, ch,$L235, hr,$P235, dr,$Q235, hpday,Assumptions!$B$2, hpw,Assumptions!$B$3, w,$M235, hrs, IF($I235="Hours", ev, IF($I235="Days", ev*IF(dr&gt;0, dr/hr, hpday), IF($I235="FTE", ev*hpw*w, ch))), IF(hrs="", "", hrs*hr))</f>
        <v/>
      </c>
      <c r="S235" s="13" t="n"/>
      <c r="T235" s="11">
        <f t="array" ref="T235">XLOOKUP(Scenario_Selected, INDEX(Scenario_Table,0,1), INDEX(Scenario_Table,0,2))</f>
        <v/>
      </c>
      <c r="U235" s="11">
        <f t="array" ref="U235">XLOOKUP(Scenario_Selected, INDEX(Scenario_Table,0,1), INDEX(Scenario_Table,0,3))</f>
        <v/>
      </c>
      <c r="V235" s="11">
        <f t="array" ref="V235">XLOOKUP(Scenario_Selected, INDEX(Scenario_Table,0,1), INDEX(Scenario_Table,0,4))</f>
        <v/>
      </c>
      <c r="W235" s="11">
        <f t="array" ref="W235">LET(ev,$J235, ch,$L235, et,$I235, dr,$Q235, hpday,Assumptions!$B$2, hpw,Assumptions!$B$3, w,$M235,hm,INDIRECT("R[0]C[0]",FALSE),hrs, IF(et="Hours", ev, IF(et="Days", ev*IF(dr&gt;0, dr/$P235, hpday), IF(et="FTE", ev*hpw*w, ch))), IF(hrs="", "", hrs*hm))</f>
        <v/>
      </c>
      <c r="X235" s="11">
        <f>IF($P235="","", $P235*INDIRECT("R[0]C[-3]",FALSE))</f>
        <v/>
      </c>
      <c r="Y235" s="11">
        <f>IF(INDIRECT("R[0]C[-1]",FALSE)="","", INDIRECT("R[0]C[-2]",FALSE)*INDIRECT("R[0]C[-1]",FALSE)*(1+INDIRECT("R[0]C[-3]",FALSE)))</f>
        <v/>
      </c>
      <c r="Z235" s="13" t="n"/>
    </row>
    <row r="236" ht="15.75" customHeight="1" s="74">
      <c r="A236" s="11" t="n">
        <v>236</v>
      </c>
      <c r="C236" s="11">
        <f t="array" ref="C236">IFERROR(INDEX(Milestones!$A:$A, MATCH($B236, Milestones!$B:$B, 0)), "")</f>
        <v/>
      </c>
      <c r="D236" s="11">
        <f t="array" ref="D236">IFERROR(INDEX(Milestones!$C:$C, MATCH($B236, Milestones!$B:$B, 0)), "")</f>
        <v/>
      </c>
      <c r="F236" s="11">
        <f t="array" ref="F236">IFERROR(INDEX(Milestones!$E:$E, MATCH($B236, Milestones!$B:$B, 0)), "")</f>
        <v/>
      </c>
      <c r="I236" s="11" t="n"/>
      <c r="J236" s="20" t="n"/>
      <c r="K236" s="11" t="n"/>
      <c r="L236" s="11">
        <f t="array" ref="L236">IF($K236="","", IFERROR(IFS($K236="Low", INDEX('Lookups - Complexity'!$C:$C, MATCH($B236, 'Lookups - Complexity'!$B:$B,0)), $K236="Medium", INDEX('Lookups - Complexity'!$D:$D, MATCH($B236, 'Lookups - Complexity'!$B:$B,0)), $K236="High", INDEX('Lookups - Complexity'!$E:$E, MATCH($B236, 'Lookups - Complexity'!$B:$B,0))), ""))</f>
        <v/>
      </c>
      <c r="M236" s="11">
        <f>IF($I236="FTE", Assumptions!$B$3, "")</f>
        <v/>
      </c>
      <c r="N236" s="11">
        <f t="array" ref="N236">IFERROR(INDEX(Milestones!$F:$F, MATCH($B236, Milestones!$B:$B, 0)), "")</f>
        <v/>
      </c>
      <c r="O236" s="11">
        <f t="array" ref="O236">IFERROR(INDEX(Milestones!$G:$G, MATCH($B236, Milestones!$B:$B, 0)), "")</f>
        <v/>
      </c>
      <c r="P236" s="11">
        <f t="array" ref="P236">IFERROR(INDEX('Lookups - Rates'!$D:$D, MATCH($G236&amp;"|"&amp;$H236, 'Lookups - Rates'!$Z:$Z, 0)), "")</f>
        <v/>
      </c>
      <c r="Q236" s="11">
        <f t="array" ref="Q236">IFERROR(INDEX('Lookups - Rates'!$E:$E, MATCH($G236&amp;"|"&amp;$H236, 'Lookups - Rates'!$Z:$Z, 0)), "")</f>
        <v/>
      </c>
      <c r="R236" s="11">
        <f>LET(ev,$J236, ch,$L236, hr,$P236, dr,$Q236, hpday,Assumptions!$B$2, hpw,Assumptions!$B$3, w,$M236, hrs, IF($I236="Hours", ev, IF($I236="Days", ev*IF(dr&gt;0, dr/hr, hpday), IF($I236="FTE", ev*hpw*w, ch))), IF(hrs="", "", hrs*hr))</f>
        <v/>
      </c>
      <c r="S236" s="13" t="n"/>
      <c r="T236" s="11">
        <f t="array" ref="T236">XLOOKUP(Scenario_Selected, INDEX(Scenario_Table,0,1), INDEX(Scenario_Table,0,2))</f>
        <v/>
      </c>
      <c r="U236" s="11">
        <f t="array" ref="U236">XLOOKUP(Scenario_Selected, INDEX(Scenario_Table,0,1), INDEX(Scenario_Table,0,3))</f>
        <v/>
      </c>
      <c r="V236" s="11">
        <f t="array" ref="V236">XLOOKUP(Scenario_Selected, INDEX(Scenario_Table,0,1), INDEX(Scenario_Table,0,4))</f>
        <v/>
      </c>
      <c r="W236" s="11">
        <f t="array" ref="W236">LET(ev,$J236, ch,$L236, et,$I236, dr,$Q236, hpday,Assumptions!$B$2, hpw,Assumptions!$B$3, w,$M236,hm,INDIRECT("R[0]C[0]",FALSE),hrs, IF(et="Hours", ev, IF(et="Days", ev*IF(dr&gt;0, dr/$P236, hpday), IF(et="FTE", ev*hpw*w, ch))), IF(hrs="", "", hrs*hm))</f>
        <v/>
      </c>
      <c r="X236" s="11">
        <f>IF($P236="","", $P236*INDIRECT("R[0]C[-3]",FALSE))</f>
        <v/>
      </c>
      <c r="Y236" s="11">
        <f>IF(INDIRECT("R[0]C[-1]",FALSE)="","", INDIRECT("R[0]C[-2]",FALSE)*INDIRECT("R[0]C[-1]",FALSE)*(1+INDIRECT("R[0]C[-3]",FALSE)))</f>
        <v/>
      </c>
      <c r="Z236" s="13" t="n"/>
    </row>
    <row r="237" ht="15.75" customHeight="1" s="74">
      <c r="A237" s="11" t="n">
        <v>237</v>
      </c>
      <c r="C237" s="11">
        <f t="array" ref="C237">IFERROR(INDEX(Milestones!$A:$A, MATCH($B237, Milestones!$B:$B, 0)), "")</f>
        <v/>
      </c>
      <c r="D237" s="11">
        <f t="array" ref="D237">IFERROR(INDEX(Milestones!$C:$C, MATCH($B237, Milestones!$B:$B, 0)), "")</f>
        <v/>
      </c>
      <c r="F237" s="11">
        <f t="array" ref="F237">IFERROR(INDEX(Milestones!$E:$E, MATCH($B237, Milestones!$B:$B, 0)), "")</f>
        <v/>
      </c>
      <c r="I237" s="11" t="n"/>
      <c r="J237" s="20" t="n"/>
      <c r="K237" s="11" t="n"/>
      <c r="L237" s="11">
        <f t="array" ref="L237">IF($K237="","", IFERROR(IFS($K237="Low", INDEX('Lookups - Complexity'!$C:$C, MATCH($B237, 'Lookups - Complexity'!$B:$B,0)), $K237="Medium", INDEX('Lookups - Complexity'!$D:$D, MATCH($B237, 'Lookups - Complexity'!$B:$B,0)), $K237="High", INDEX('Lookups - Complexity'!$E:$E, MATCH($B237, 'Lookups - Complexity'!$B:$B,0))), ""))</f>
        <v/>
      </c>
      <c r="M237" s="11">
        <f>IF($I237="FTE", Assumptions!$B$3, "")</f>
        <v/>
      </c>
      <c r="N237" s="11">
        <f t="array" ref="N237">IFERROR(INDEX(Milestones!$F:$F, MATCH($B237, Milestones!$B:$B, 0)), "")</f>
        <v/>
      </c>
      <c r="O237" s="11">
        <f t="array" ref="O237">IFERROR(INDEX(Milestones!$G:$G, MATCH($B237, Milestones!$B:$B, 0)), "")</f>
        <v/>
      </c>
      <c r="P237" s="11">
        <f t="array" ref="P237">IFERROR(INDEX('Lookups - Rates'!$D:$D, MATCH($G237&amp;"|"&amp;$H237, 'Lookups - Rates'!$Z:$Z, 0)), "")</f>
        <v/>
      </c>
      <c r="Q237" s="11">
        <f t="array" ref="Q237">IFERROR(INDEX('Lookups - Rates'!$E:$E, MATCH($G237&amp;"|"&amp;$H237, 'Lookups - Rates'!$Z:$Z, 0)), "")</f>
        <v/>
      </c>
      <c r="R237" s="11">
        <f>LET(ev,$J237, ch,$L237, hr,$P237, dr,$Q237, hpday,Assumptions!$B$2, hpw,Assumptions!$B$3, w,$M237, hrs, IF($I237="Hours", ev, IF($I237="Days", ev*IF(dr&gt;0, dr/hr, hpday), IF($I237="FTE", ev*hpw*w, ch))), IF(hrs="", "", hrs*hr))</f>
        <v/>
      </c>
      <c r="S237" s="13" t="n"/>
      <c r="T237" s="11">
        <f t="array" ref="T237">XLOOKUP(Scenario_Selected, INDEX(Scenario_Table,0,1), INDEX(Scenario_Table,0,2))</f>
        <v/>
      </c>
      <c r="U237" s="11">
        <f t="array" ref="U237">XLOOKUP(Scenario_Selected, INDEX(Scenario_Table,0,1), INDEX(Scenario_Table,0,3))</f>
        <v/>
      </c>
      <c r="V237" s="11">
        <f t="array" ref="V237">XLOOKUP(Scenario_Selected, INDEX(Scenario_Table,0,1), INDEX(Scenario_Table,0,4))</f>
        <v/>
      </c>
      <c r="W237" s="11">
        <f t="array" ref="W237">LET(ev,$J237, ch,$L237, et,$I237, dr,$Q237, hpday,Assumptions!$B$2, hpw,Assumptions!$B$3, w,$M237,hm,INDIRECT("R[0]C[0]",FALSE),hrs, IF(et="Hours", ev, IF(et="Days", ev*IF(dr&gt;0, dr/$P237, hpday), IF(et="FTE", ev*hpw*w, ch))), IF(hrs="", "", hrs*hm))</f>
        <v/>
      </c>
      <c r="X237" s="11">
        <f>IF($P237="","", $P237*INDIRECT("R[0]C[-3]",FALSE))</f>
        <v/>
      </c>
      <c r="Y237" s="11">
        <f>IF(INDIRECT("R[0]C[-1]",FALSE)="","", INDIRECT("R[0]C[-2]",FALSE)*INDIRECT("R[0]C[-1]",FALSE)*(1+INDIRECT("R[0]C[-3]",FALSE)))</f>
        <v/>
      </c>
      <c r="Z237" s="13" t="n"/>
    </row>
    <row r="238" ht="15.75" customHeight="1" s="74">
      <c r="A238" s="11" t="n">
        <v>238</v>
      </c>
      <c r="C238" s="11">
        <f t="array" ref="C238">IFERROR(INDEX(Milestones!$A:$A, MATCH($B238, Milestones!$B:$B, 0)), "")</f>
        <v/>
      </c>
      <c r="D238" s="11">
        <f t="array" ref="D238">IFERROR(INDEX(Milestones!$C:$C, MATCH($B238, Milestones!$B:$B, 0)), "")</f>
        <v/>
      </c>
      <c r="F238" s="11">
        <f t="array" ref="F238">IFERROR(INDEX(Milestones!$E:$E, MATCH($B238, Milestones!$B:$B, 0)), "")</f>
        <v/>
      </c>
      <c r="I238" s="11" t="n"/>
      <c r="J238" s="20" t="n"/>
      <c r="K238" s="11" t="n"/>
      <c r="L238" s="11">
        <f t="array" ref="L238">IF($K238="","", IFERROR(IFS($K238="Low", INDEX('Lookups - Complexity'!$C:$C, MATCH($B238, 'Lookups - Complexity'!$B:$B,0)), $K238="Medium", INDEX('Lookups - Complexity'!$D:$D, MATCH($B238, 'Lookups - Complexity'!$B:$B,0)), $K238="High", INDEX('Lookups - Complexity'!$E:$E, MATCH($B238, 'Lookups - Complexity'!$B:$B,0))), ""))</f>
        <v/>
      </c>
      <c r="M238" s="11">
        <f>IF($I238="FTE", Assumptions!$B$3, "")</f>
        <v/>
      </c>
      <c r="N238" s="11">
        <f t="array" ref="N238">IFERROR(INDEX(Milestones!$F:$F, MATCH($B238, Milestones!$B:$B, 0)), "")</f>
        <v/>
      </c>
      <c r="O238" s="11">
        <f t="array" ref="O238">IFERROR(INDEX(Milestones!$G:$G, MATCH($B238, Milestones!$B:$B, 0)), "")</f>
        <v/>
      </c>
      <c r="P238" s="11">
        <f t="array" ref="P238">IFERROR(INDEX('Lookups - Rates'!$D:$D, MATCH($G238&amp;"|"&amp;$H238, 'Lookups - Rates'!$Z:$Z, 0)), "")</f>
        <v/>
      </c>
      <c r="Q238" s="11">
        <f t="array" ref="Q238">IFERROR(INDEX('Lookups - Rates'!$E:$E, MATCH($G238&amp;"|"&amp;$H238, 'Lookups - Rates'!$Z:$Z, 0)), "")</f>
        <v/>
      </c>
      <c r="R238" s="11">
        <f>LET(ev,$J238, ch,$L238, hr,$P238, dr,$Q238, hpday,Assumptions!$B$2, hpw,Assumptions!$B$3, w,$M238, hrs, IF($I238="Hours", ev, IF($I238="Days", ev*IF(dr&gt;0, dr/hr, hpday), IF($I238="FTE", ev*hpw*w, ch))), IF(hrs="", "", hrs*hr))</f>
        <v/>
      </c>
      <c r="S238" s="13" t="n"/>
      <c r="T238" s="11">
        <f t="array" ref="T238">XLOOKUP(Scenario_Selected, INDEX(Scenario_Table,0,1), INDEX(Scenario_Table,0,2))</f>
        <v/>
      </c>
      <c r="U238" s="11">
        <f t="array" ref="U238">XLOOKUP(Scenario_Selected, INDEX(Scenario_Table,0,1), INDEX(Scenario_Table,0,3))</f>
        <v/>
      </c>
      <c r="V238" s="11">
        <f t="array" ref="V238">XLOOKUP(Scenario_Selected, INDEX(Scenario_Table,0,1), INDEX(Scenario_Table,0,4))</f>
        <v/>
      </c>
      <c r="W238" s="11">
        <f t="array" ref="W238">LET(ev,$J238, ch,$L238, et,$I238, dr,$Q238, hpday,Assumptions!$B$2, hpw,Assumptions!$B$3, w,$M238,hm,INDIRECT("R[0]C[0]",FALSE),hrs, IF(et="Hours", ev, IF(et="Days", ev*IF(dr&gt;0, dr/$P238, hpday), IF(et="FTE", ev*hpw*w, ch))), IF(hrs="", "", hrs*hm))</f>
        <v/>
      </c>
      <c r="X238" s="11">
        <f>IF($P238="","", $P238*INDIRECT("R[0]C[-3]",FALSE))</f>
        <v/>
      </c>
      <c r="Y238" s="11">
        <f>IF(INDIRECT("R[0]C[-1]",FALSE)="","", INDIRECT("R[0]C[-2]",FALSE)*INDIRECT("R[0]C[-1]",FALSE)*(1+INDIRECT("R[0]C[-3]",FALSE)))</f>
        <v/>
      </c>
      <c r="Z238" s="13" t="n"/>
    </row>
    <row r="239" ht="15.75" customHeight="1" s="74">
      <c r="A239" s="11" t="n">
        <v>239</v>
      </c>
      <c r="C239" s="11">
        <f t="array" ref="C239">IFERROR(INDEX(Milestones!$A:$A, MATCH($B239, Milestones!$B:$B, 0)), "")</f>
        <v/>
      </c>
      <c r="D239" s="11">
        <f t="array" ref="D239">IFERROR(INDEX(Milestones!$C:$C, MATCH($B239, Milestones!$B:$B, 0)), "")</f>
        <v/>
      </c>
      <c r="F239" s="11">
        <f t="array" ref="F239">IFERROR(INDEX(Milestones!$E:$E, MATCH($B239, Milestones!$B:$B, 0)), "")</f>
        <v/>
      </c>
      <c r="I239" s="11" t="n"/>
      <c r="J239" s="20" t="n"/>
      <c r="K239" s="11" t="n"/>
      <c r="L239" s="11">
        <f t="array" ref="L239">IF($K239="","", IFERROR(IFS($K239="Low", INDEX('Lookups - Complexity'!$C:$C, MATCH($B239, 'Lookups - Complexity'!$B:$B,0)), $K239="Medium", INDEX('Lookups - Complexity'!$D:$D, MATCH($B239, 'Lookups - Complexity'!$B:$B,0)), $K239="High", INDEX('Lookups - Complexity'!$E:$E, MATCH($B239, 'Lookups - Complexity'!$B:$B,0))), ""))</f>
        <v/>
      </c>
      <c r="M239" s="11">
        <f>IF($I239="FTE", Assumptions!$B$3, "")</f>
        <v/>
      </c>
      <c r="N239" s="11">
        <f t="array" ref="N239">IFERROR(INDEX(Milestones!$F:$F, MATCH($B239, Milestones!$B:$B, 0)), "")</f>
        <v/>
      </c>
      <c r="O239" s="11">
        <f t="array" ref="O239">IFERROR(INDEX(Milestones!$G:$G, MATCH($B239, Milestones!$B:$B, 0)), "")</f>
        <v/>
      </c>
      <c r="P239" s="11">
        <f t="array" ref="P239">IFERROR(INDEX('Lookups - Rates'!$D:$D, MATCH($G239&amp;"|"&amp;$H239, 'Lookups - Rates'!$Z:$Z, 0)), "")</f>
        <v/>
      </c>
      <c r="Q239" s="11">
        <f t="array" ref="Q239">IFERROR(INDEX('Lookups - Rates'!$E:$E, MATCH($G239&amp;"|"&amp;$H239, 'Lookups - Rates'!$Z:$Z, 0)), "")</f>
        <v/>
      </c>
      <c r="R239" s="11">
        <f>LET(ev,$J239, ch,$L239, hr,$P239, dr,$Q239, hpday,Assumptions!$B$2, hpw,Assumptions!$B$3, w,$M239, hrs, IF($I239="Hours", ev, IF($I239="Days", ev*IF(dr&gt;0, dr/hr, hpday), IF($I239="FTE", ev*hpw*w, ch))), IF(hrs="", "", hrs*hr))</f>
        <v/>
      </c>
      <c r="S239" s="13" t="n"/>
      <c r="T239" s="11">
        <f t="array" ref="T239">XLOOKUP(Scenario_Selected, INDEX(Scenario_Table,0,1), INDEX(Scenario_Table,0,2))</f>
        <v/>
      </c>
      <c r="U239" s="11">
        <f t="array" ref="U239">XLOOKUP(Scenario_Selected, INDEX(Scenario_Table,0,1), INDEX(Scenario_Table,0,3))</f>
        <v/>
      </c>
      <c r="V239" s="11">
        <f t="array" ref="V239">XLOOKUP(Scenario_Selected, INDEX(Scenario_Table,0,1), INDEX(Scenario_Table,0,4))</f>
        <v/>
      </c>
      <c r="W239" s="11">
        <f t="array" ref="W239">LET(ev,$J239, ch,$L239, et,$I239, dr,$Q239, hpday,Assumptions!$B$2, hpw,Assumptions!$B$3, w,$M239,hm,INDIRECT("R[0]C[0]",FALSE),hrs, IF(et="Hours", ev, IF(et="Days", ev*IF(dr&gt;0, dr/$P239, hpday), IF(et="FTE", ev*hpw*w, ch))), IF(hrs="", "", hrs*hm))</f>
        <v/>
      </c>
      <c r="X239" s="11">
        <f>IF($P239="","", $P239*INDIRECT("R[0]C[-3]",FALSE))</f>
        <v/>
      </c>
      <c r="Y239" s="11">
        <f>IF(INDIRECT("R[0]C[-1]",FALSE)="","", INDIRECT("R[0]C[-2]",FALSE)*INDIRECT("R[0]C[-1]",FALSE)*(1+INDIRECT("R[0]C[-3]",FALSE)))</f>
        <v/>
      </c>
      <c r="Z239" s="13" t="n"/>
    </row>
    <row r="240" ht="15.75" customHeight="1" s="74">
      <c r="A240" s="11" t="n">
        <v>240</v>
      </c>
      <c r="C240" s="11">
        <f t="array" ref="C240">IFERROR(INDEX(Milestones!$A:$A, MATCH($B240, Milestones!$B:$B, 0)), "")</f>
        <v/>
      </c>
      <c r="D240" s="11">
        <f t="array" ref="D240">IFERROR(INDEX(Milestones!$C:$C, MATCH($B240, Milestones!$B:$B, 0)), "")</f>
        <v/>
      </c>
      <c r="F240" s="11">
        <f t="array" ref="F240">IFERROR(INDEX(Milestones!$E:$E, MATCH($B240, Milestones!$B:$B, 0)), "")</f>
        <v/>
      </c>
      <c r="I240" s="11" t="n"/>
      <c r="J240" s="20" t="n"/>
      <c r="K240" s="11" t="n"/>
      <c r="L240" s="11">
        <f t="array" ref="L240">IF($K240="","", IFERROR(IFS($K240="Low", INDEX('Lookups - Complexity'!$C:$C, MATCH($B240, 'Lookups - Complexity'!$B:$B,0)), $K240="Medium", INDEX('Lookups - Complexity'!$D:$D, MATCH($B240, 'Lookups - Complexity'!$B:$B,0)), $K240="High", INDEX('Lookups - Complexity'!$E:$E, MATCH($B240, 'Lookups - Complexity'!$B:$B,0))), ""))</f>
        <v/>
      </c>
      <c r="M240" s="11">
        <f>IF($I240="FTE", Assumptions!$B$3, "")</f>
        <v/>
      </c>
      <c r="N240" s="11">
        <f t="array" ref="N240">IFERROR(INDEX(Milestones!$F:$F, MATCH($B240, Milestones!$B:$B, 0)), "")</f>
        <v/>
      </c>
      <c r="O240" s="11">
        <f t="array" ref="O240">IFERROR(INDEX(Milestones!$G:$G, MATCH($B240, Milestones!$B:$B, 0)), "")</f>
        <v/>
      </c>
      <c r="P240" s="11">
        <f t="array" ref="P240">IFERROR(INDEX('Lookups - Rates'!$D:$D, MATCH($G240&amp;"|"&amp;$H240, 'Lookups - Rates'!$Z:$Z, 0)), "")</f>
        <v/>
      </c>
      <c r="Q240" s="11">
        <f t="array" ref="Q240">IFERROR(INDEX('Lookups - Rates'!$E:$E, MATCH($G240&amp;"|"&amp;$H240, 'Lookups - Rates'!$Z:$Z, 0)), "")</f>
        <v/>
      </c>
      <c r="R240" s="11">
        <f>LET(ev,$J240, ch,$L240, hr,$P240, dr,$Q240, hpday,Assumptions!$B$2, hpw,Assumptions!$B$3, w,$M240, hrs, IF($I240="Hours", ev, IF($I240="Days", ev*IF(dr&gt;0, dr/hr, hpday), IF($I240="FTE", ev*hpw*w, ch))), IF(hrs="", "", hrs*hr))</f>
        <v/>
      </c>
      <c r="S240" s="13" t="n"/>
      <c r="T240" s="11">
        <f t="array" ref="T240">XLOOKUP(Scenario_Selected, INDEX(Scenario_Table,0,1), INDEX(Scenario_Table,0,2))</f>
        <v/>
      </c>
      <c r="U240" s="11">
        <f t="array" ref="U240">XLOOKUP(Scenario_Selected, INDEX(Scenario_Table,0,1), INDEX(Scenario_Table,0,3))</f>
        <v/>
      </c>
      <c r="V240" s="11">
        <f t="array" ref="V240">XLOOKUP(Scenario_Selected, INDEX(Scenario_Table,0,1), INDEX(Scenario_Table,0,4))</f>
        <v/>
      </c>
      <c r="W240" s="11">
        <f t="array" ref="W240">LET(ev,$J240, ch,$L240, et,$I240, dr,$Q240, hpday,Assumptions!$B$2, hpw,Assumptions!$B$3, w,$M240,hm,INDIRECT("R[0]C[0]",FALSE),hrs, IF(et="Hours", ev, IF(et="Days", ev*IF(dr&gt;0, dr/$P240, hpday), IF(et="FTE", ev*hpw*w, ch))), IF(hrs="", "", hrs*hm))</f>
        <v/>
      </c>
      <c r="X240" s="11">
        <f>IF($P240="","", $P240*INDIRECT("R[0]C[-3]",FALSE))</f>
        <v/>
      </c>
      <c r="Y240" s="11">
        <f>IF(INDIRECT("R[0]C[-1]",FALSE)="","", INDIRECT("R[0]C[-2]",FALSE)*INDIRECT("R[0]C[-1]",FALSE)*(1+INDIRECT("R[0]C[-3]",FALSE)))</f>
        <v/>
      </c>
      <c r="Z240" s="13" t="n"/>
    </row>
    <row r="241" ht="15.75" customHeight="1" s="74">
      <c r="A241" s="11" t="n">
        <v>241</v>
      </c>
      <c r="C241" s="11">
        <f t="array" ref="C241">IFERROR(INDEX(Milestones!$A:$A, MATCH($B241, Milestones!$B:$B, 0)), "")</f>
        <v/>
      </c>
      <c r="D241" s="11">
        <f t="array" ref="D241">IFERROR(INDEX(Milestones!$C:$C, MATCH($B241, Milestones!$B:$B, 0)), "")</f>
        <v/>
      </c>
      <c r="F241" s="11">
        <f t="array" ref="F241">IFERROR(INDEX(Milestones!$E:$E, MATCH($B241, Milestones!$B:$B, 0)), "")</f>
        <v/>
      </c>
      <c r="I241" s="11" t="n"/>
      <c r="J241" s="20" t="n"/>
      <c r="K241" s="11" t="n"/>
      <c r="L241" s="11">
        <f t="array" ref="L241">IF($K241="","", IFERROR(IFS($K241="Low", INDEX('Lookups - Complexity'!$C:$C, MATCH($B241, 'Lookups - Complexity'!$B:$B,0)), $K241="Medium", INDEX('Lookups - Complexity'!$D:$D, MATCH($B241, 'Lookups - Complexity'!$B:$B,0)), $K241="High", INDEX('Lookups - Complexity'!$E:$E, MATCH($B241, 'Lookups - Complexity'!$B:$B,0))), ""))</f>
        <v/>
      </c>
      <c r="M241" s="11">
        <f>IF($I241="FTE", Assumptions!$B$3, "")</f>
        <v/>
      </c>
      <c r="N241" s="11">
        <f t="array" ref="N241">IFERROR(INDEX(Milestones!$F:$F, MATCH($B241, Milestones!$B:$B, 0)), "")</f>
        <v/>
      </c>
      <c r="O241" s="11">
        <f t="array" ref="O241">IFERROR(INDEX(Milestones!$G:$G, MATCH($B241, Milestones!$B:$B, 0)), "")</f>
        <v/>
      </c>
      <c r="P241" s="11">
        <f t="array" ref="P241">IFERROR(INDEX('Lookups - Rates'!$D:$D, MATCH($G241&amp;"|"&amp;$H241, 'Lookups - Rates'!$Z:$Z, 0)), "")</f>
        <v/>
      </c>
      <c r="Q241" s="11">
        <f t="array" ref="Q241">IFERROR(INDEX('Lookups - Rates'!$E:$E, MATCH($G241&amp;"|"&amp;$H241, 'Lookups - Rates'!$Z:$Z, 0)), "")</f>
        <v/>
      </c>
      <c r="R241" s="11">
        <f>LET(ev,$J241, ch,$L241, hr,$P241, dr,$Q241, hpday,Assumptions!$B$2, hpw,Assumptions!$B$3, w,$M241, hrs, IF($I241="Hours", ev, IF($I241="Days", ev*IF(dr&gt;0, dr/hr, hpday), IF($I241="FTE", ev*hpw*w, ch))), IF(hrs="", "", hrs*hr))</f>
        <v/>
      </c>
      <c r="S241" s="13" t="n"/>
      <c r="T241" s="11">
        <f t="array" ref="T241">XLOOKUP(Scenario_Selected, INDEX(Scenario_Table,0,1), INDEX(Scenario_Table,0,2))</f>
        <v/>
      </c>
      <c r="U241" s="11">
        <f t="array" ref="U241">XLOOKUP(Scenario_Selected, INDEX(Scenario_Table,0,1), INDEX(Scenario_Table,0,3))</f>
        <v/>
      </c>
      <c r="V241" s="11">
        <f t="array" ref="V241">XLOOKUP(Scenario_Selected, INDEX(Scenario_Table,0,1), INDEX(Scenario_Table,0,4))</f>
        <v/>
      </c>
      <c r="W241" s="11">
        <f t="array" ref="W241">LET(ev,$J241, ch,$L241, et,$I241, dr,$Q241, hpday,Assumptions!$B$2, hpw,Assumptions!$B$3, w,$M241,hm,INDIRECT("R[0]C[0]",FALSE),hrs, IF(et="Hours", ev, IF(et="Days", ev*IF(dr&gt;0, dr/$P241, hpday), IF(et="FTE", ev*hpw*w, ch))), IF(hrs="", "", hrs*hm))</f>
        <v/>
      </c>
      <c r="X241" s="11">
        <f>IF($P241="","", $P241*INDIRECT("R[0]C[-3]",FALSE))</f>
        <v/>
      </c>
      <c r="Y241" s="11">
        <f>IF(INDIRECT("R[0]C[-1]",FALSE)="","", INDIRECT("R[0]C[-2]",FALSE)*INDIRECT("R[0]C[-1]",FALSE)*(1+INDIRECT("R[0]C[-3]",FALSE)))</f>
        <v/>
      </c>
      <c r="Z241" s="13" t="n"/>
    </row>
    <row r="242" ht="15.75" customHeight="1" s="74">
      <c r="A242" s="11" t="n">
        <v>242</v>
      </c>
      <c r="C242" s="11">
        <f t="array" ref="C242">IFERROR(INDEX(Milestones!$A:$A, MATCH($B242, Milestones!$B:$B, 0)), "")</f>
        <v/>
      </c>
      <c r="D242" s="11">
        <f t="array" ref="D242">IFERROR(INDEX(Milestones!$C:$C, MATCH($B242, Milestones!$B:$B, 0)), "")</f>
        <v/>
      </c>
      <c r="F242" s="11">
        <f t="array" ref="F242">IFERROR(INDEX(Milestones!$E:$E, MATCH($B242, Milestones!$B:$B, 0)), "")</f>
        <v/>
      </c>
      <c r="I242" s="11" t="n"/>
      <c r="J242" s="20" t="n"/>
      <c r="K242" s="11" t="n"/>
      <c r="L242" s="11">
        <f t="array" ref="L242">IF($K242="","", IFERROR(IFS($K242="Low", INDEX('Lookups - Complexity'!$C:$C, MATCH($B242, 'Lookups - Complexity'!$B:$B,0)), $K242="Medium", INDEX('Lookups - Complexity'!$D:$D, MATCH($B242, 'Lookups - Complexity'!$B:$B,0)), $K242="High", INDEX('Lookups - Complexity'!$E:$E, MATCH($B242, 'Lookups - Complexity'!$B:$B,0))), ""))</f>
        <v/>
      </c>
      <c r="M242" s="11">
        <f>IF($I242="FTE", Assumptions!$B$3, "")</f>
        <v/>
      </c>
      <c r="N242" s="11">
        <f t="array" ref="N242">IFERROR(INDEX(Milestones!$F:$F, MATCH($B242, Milestones!$B:$B, 0)), "")</f>
        <v/>
      </c>
      <c r="O242" s="11">
        <f t="array" ref="O242">IFERROR(INDEX(Milestones!$G:$G, MATCH($B242, Milestones!$B:$B, 0)), "")</f>
        <v/>
      </c>
      <c r="P242" s="11">
        <f t="array" ref="P242">IFERROR(INDEX('Lookups - Rates'!$D:$D, MATCH($G242&amp;"|"&amp;$H242, 'Lookups - Rates'!$Z:$Z, 0)), "")</f>
        <v/>
      </c>
      <c r="Q242" s="11">
        <f t="array" ref="Q242">IFERROR(INDEX('Lookups - Rates'!$E:$E, MATCH($G242&amp;"|"&amp;$H242, 'Lookups - Rates'!$Z:$Z, 0)), "")</f>
        <v/>
      </c>
      <c r="R242" s="11">
        <f>LET(ev,$J242, ch,$L242, hr,$P242, dr,$Q242, hpday,Assumptions!$B$2, hpw,Assumptions!$B$3, w,$M242, hrs, IF($I242="Hours", ev, IF($I242="Days", ev*IF(dr&gt;0, dr/hr, hpday), IF($I242="FTE", ev*hpw*w, ch))), IF(hrs="", "", hrs*hr))</f>
        <v/>
      </c>
      <c r="S242" s="13" t="n"/>
      <c r="T242" s="11">
        <f t="array" ref="T242">XLOOKUP(Scenario_Selected, INDEX(Scenario_Table,0,1), INDEX(Scenario_Table,0,2))</f>
        <v/>
      </c>
      <c r="U242" s="11">
        <f t="array" ref="U242">XLOOKUP(Scenario_Selected, INDEX(Scenario_Table,0,1), INDEX(Scenario_Table,0,3))</f>
        <v/>
      </c>
      <c r="V242" s="11">
        <f t="array" ref="V242">XLOOKUP(Scenario_Selected, INDEX(Scenario_Table,0,1), INDEX(Scenario_Table,0,4))</f>
        <v/>
      </c>
      <c r="W242" s="11">
        <f t="array" ref="W242">LET(ev,$J242, ch,$L242, et,$I242, dr,$Q242, hpday,Assumptions!$B$2, hpw,Assumptions!$B$3, w,$M242,hm,INDIRECT("R[0]C[0]",FALSE),hrs, IF(et="Hours", ev, IF(et="Days", ev*IF(dr&gt;0, dr/$P242, hpday), IF(et="FTE", ev*hpw*w, ch))), IF(hrs="", "", hrs*hm))</f>
        <v/>
      </c>
      <c r="X242" s="11">
        <f>IF($P242="","", $P242*INDIRECT("R[0]C[-3]",FALSE))</f>
        <v/>
      </c>
      <c r="Y242" s="11">
        <f>IF(INDIRECT("R[0]C[-1]",FALSE)="","", INDIRECT("R[0]C[-2]",FALSE)*INDIRECT("R[0]C[-1]",FALSE)*(1+INDIRECT("R[0]C[-3]",FALSE)))</f>
        <v/>
      </c>
      <c r="Z242" s="13" t="n"/>
    </row>
    <row r="243" ht="15.75" customHeight="1" s="74">
      <c r="A243" s="11" t="n">
        <v>243</v>
      </c>
      <c r="C243" s="11">
        <f t="array" ref="C243">IFERROR(INDEX(Milestones!$A:$A, MATCH($B243, Milestones!$B:$B, 0)), "")</f>
        <v/>
      </c>
      <c r="D243" s="11">
        <f t="array" ref="D243">IFERROR(INDEX(Milestones!$C:$C, MATCH($B243, Milestones!$B:$B, 0)), "")</f>
        <v/>
      </c>
      <c r="F243" s="11">
        <f t="array" ref="F243">IFERROR(INDEX(Milestones!$E:$E, MATCH($B243, Milestones!$B:$B, 0)), "")</f>
        <v/>
      </c>
      <c r="I243" s="11" t="n"/>
      <c r="J243" s="20" t="n"/>
      <c r="K243" s="11" t="n"/>
      <c r="L243" s="11">
        <f t="array" ref="L243">IF($K243="","", IFERROR(IFS($K243="Low", INDEX('Lookups - Complexity'!$C:$C, MATCH($B243, 'Lookups - Complexity'!$B:$B,0)), $K243="Medium", INDEX('Lookups - Complexity'!$D:$D, MATCH($B243, 'Lookups - Complexity'!$B:$B,0)), $K243="High", INDEX('Lookups - Complexity'!$E:$E, MATCH($B243, 'Lookups - Complexity'!$B:$B,0))), ""))</f>
        <v/>
      </c>
      <c r="M243" s="11">
        <f>IF($I243="FTE", Assumptions!$B$3, "")</f>
        <v/>
      </c>
      <c r="N243" s="11">
        <f t="array" ref="N243">IFERROR(INDEX(Milestones!$F:$F, MATCH($B243, Milestones!$B:$B, 0)), "")</f>
        <v/>
      </c>
      <c r="O243" s="11">
        <f t="array" ref="O243">IFERROR(INDEX(Milestones!$G:$G, MATCH($B243, Milestones!$B:$B, 0)), "")</f>
        <v/>
      </c>
      <c r="P243" s="11">
        <f t="array" ref="P243">IFERROR(INDEX('Lookups - Rates'!$D:$D, MATCH($G243&amp;"|"&amp;$H243, 'Lookups - Rates'!$Z:$Z, 0)), "")</f>
        <v/>
      </c>
      <c r="Q243" s="11">
        <f t="array" ref="Q243">IFERROR(INDEX('Lookups - Rates'!$E:$E, MATCH($G243&amp;"|"&amp;$H243, 'Lookups - Rates'!$Z:$Z, 0)), "")</f>
        <v/>
      </c>
      <c r="R243" s="11">
        <f>LET(ev,$J243, ch,$L243, hr,$P243, dr,$Q243, hpday,Assumptions!$B$2, hpw,Assumptions!$B$3, w,$M243, hrs, IF($I243="Hours", ev, IF($I243="Days", ev*IF(dr&gt;0, dr/hr, hpday), IF($I243="FTE", ev*hpw*w, ch))), IF(hrs="", "", hrs*hr))</f>
        <v/>
      </c>
      <c r="S243" s="13" t="n"/>
      <c r="T243" s="11">
        <f t="array" ref="T243">XLOOKUP(Scenario_Selected, INDEX(Scenario_Table,0,1), INDEX(Scenario_Table,0,2))</f>
        <v/>
      </c>
      <c r="U243" s="11">
        <f t="array" ref="U243">XLOOKUP(Scenario_Selected, INDEX(Scenario_Table,0,1), INDEX(Scenario_Table,0,3))</f>
        <v/>
      </c>
      <c r="V243" s="11">
        <f t="array" ref="V243">XLOOKUP(Scenario_Selected, INDEX(Scenario_Table,0,1), INDEX(Scenario_Table,0,4))</f>
        <v/>
      </c>
      <c r="W243" s="11">
        <f t="array" ref="W243">LET(ev,$J243, ch,$L243, et,$I243, dr,$Q243, hpday,Assumptions!$B$2, hpw,Assumptions!$B$3, w,$M243,hm,INDIRECT("R[0]C[0]",FALSE),hrs, IF(et="Hours", ev, IF(et="Days", ev*IF(dr&gt;0, dr/$P243, hpday), IF(et="FTE", ev*hpw*w, ch))), IF(hrs="", "", hrs*hm))</f>
        <v/>
      </c>
      <c r="X243" s="11">
        <f>IF($P243="","", $P243*INDIRECT("R[0]C[-3]",FALSE))</f>
        <v/>
      </c>
      <c r="Y243" s="11">
        <f>IF(INDIRECT("R[0]C[-1]",FALSE)="","", INDIRECT("R[0]C[-2]",FALSE)*INDIRECT("R[0]C[-1]",FALSE)*(1+INDIRECT("R[0]C[-3]",FALSE)))</f>
        <v/>
      </c>
      <c r="Z243" s="13" t="n"/>
    </row>
    <row r="244" ht="15.75" customHeight="1" s="74">
      <c r="A244" s="11" t="n">
        <v>244</v>
      </c>
      <c r="C244" s="11">
        <f t="array" ref="C244">IFERROR(INDEX(Milestones!$A:$A, MATCH($B244, Milestones!$B:$B, 0)), "")</f>
        <v/>
      </c>
      <c r="D244" s="11">
        <f t="array" ref="D244">IFERROR(INDEX(Milestones!$C:$C, MATCH($B244, Milestones!$B:$B, 0)), "")</f>
        <v/>
      </c>
      <c r="F244" s="11">
        <f t="array" ref="F244">IFERROR(INDEX(Milestones!$E:$E, MATCH($B244, Milestones!$B:$B, 0)), "")</f>
        <v/>
      </c>
      <c r="I244" s="11" t="n"/>
      <c r="J244" s="20" t="n"/>
      <c r="K244" s="11" t="n"/>
      <c r="L244" s="11">
        <f t="array" ref="L244">IF($K244="","", IFERROR(IFS($K244="Low", INDEX('Lookups - Complexity'!$C:$C, MATCH($B244, 'Lookups - Complexity'!$B:$B,0)), $K244="Medium", INDEX('Lookups - Complexity'!$D:$D, MATCH($B244, 'Lookups - Complexity'!$B:$B,0)), $K244="High", INDEX('Lookups - Complexity'!$E:$E, MATCH($B244, 'Lookups - Complexity'!$B:$B,0))), ""))</f>
        <v/>
      </c>
      <c r="M244" s="11">
        <f>IF($I244="FTE", Assumptions!$B$3, "")</f>
        <v/>
      </c>
      <c r="N244" s="11">
        <f t="array" ref="N244">IFERROR(INDEX(Milestones!$F:$F, MATCH($B244, Milestones!$B:$B, 0)), "")</f>
        <v/>
      </c>
      <c r="O244" s="11">
        <f t="array" ref="O244">IFERROR(INDEX(Milestones!$G:$G, MATCH($B244, Milestones!$B:$B, 0)), "")</f>
        <v/>
      </c>
      <c r="P244" s="11">
        <f t="array" ref="P244">IFERROR(INDEX('Lookups - Rates'!$D:$D, MATCH($G244&amp;"|"&amp;$H244, 'Lookups - Rates'!$Z:$Z, 0)), "")</f>
        <v/>
      </c>
      <c r="Q244" s="11">
        <f t="array" ref="Q244">IFERROR(INDEX('Lookups - Rates'!$E:$E, MATCH($G244&amp;"|"&amp;$H244, 'Lookups - Rates'!$Z:$Z, 0)), "")</f>
        <v/>
      </c>
      <c r="R244" s="11">
        <f>LET(ev,$J244, ch,$L244, hr,$P244, dr,$Q244, hpday,Assumptions!$B$2, hpw,Assumptions!$B$3, w,$M244, hrs, IF($I244="Hours", ev, IF($I244="Days", ev*IF(dr&gt;0, dr/hr, hpday), IF($I244="FTE", ev*hpw*w, ch))), IF(hrs="", "", hrs*hr))</f>
        <v/>
      </c>
      <c r="S244" s="13" t="n"/>
      <c r="T244" s="11">
        <f t="array" ref="T244">XLOOKUP(Scenario_Selected, INDEX(Scenario_Table,0,1), INDEX(Scenario_Table,0,2))</f>
        <v/>
      </c>
      <c r="U244" s="11">
        <f t="array" ref="U244">XLOOKUP(Scenario_Selected, INDEX(Scenario_Table,0,1), INDEX(Scenario_Table,0,3))</f>
        <v/>
      </c>
      <c r="V244" s="11">
        <f t="array" ref="V244">XLOOKUP(Scenario_Selected, INDEX(Scenario_Table,0,1), INDEX(Scenario_Table,0,4))</f>
        <v/>
      </c>
      <c r="W244" s="11">
        <f t="array" ref="W244">LET(ev,$J244, ch,$L244, et,$I244, dr,$Q244, hpday,Assumptions!$B$2, hpw,Assumptions!$B$3, w,$M244,hm,INDIRECT("R[0]C[0]",FALSE),hrs, IF(et="Hours", ev, IF(et="Days", ev*IF(dr&gt;0, dr/$P244, hpday), IF(et="FTE", ev*hpw*w, ch))), IF(hrs="", "", hrs*hm))</f>
        <v/>
      </c>
      <c r="X244" s="11">
        <f>IF($P244="","", $P244*INDIRECT("R[0]C[-3]",FALSE))</f>
        <v/>
      </c>
      <c r="Y244" s="11">
        <f>IF(INDIRECT("R[0]C[-1]",FALSE)="","", INDIRECT("R[0]C[-2]",FALSE)*INDIRECT("R[0]C[-1]",FALSE)*(1+INDIRECT("R[0]C[-3]",FALSE)))</f>
        <v/>
      </c>
      <c r="Z244" s="13" t="n"/>
    </row>
    <row r="245" ht="15.75" customHeight="1" s="74">
      <c r="A245" s="11" t="n">
        <v>245</v>
      </c>
      <c r="C245" s="11">
        <f t="array" ref="C245">IFERROR(INDEX(Milestones!$A:$A, MATCH($B245, Milestones!$B:$B, 0)), "")</f>
        <v/>
      </c>
      <c r="D245" s="11">
        <f t="array" ref="D245">IFERROR(INDEX(Milestones!$C:$C, MATCH($B245, Milestones!$B:$B, 0)), "")</f>
        <v/>
      </c>
      <c r="F245" s="11">
        <f t="array" ref="F245">IFERROR(INDEX(Milestones!$E:$E, MATCH($B245, Milestones!$B:$B, 0)), "")</f>
        <v/>
      </c>
      <c r="I245" s="11" t="n"/>
      <c r="J245" s="20" t="n"/>
      <c r="K245" s="11" t="n"/>
      <c r="L245" s="11">
        <f t="array" ref="L245">IF($K245="","", IFERROR(IFS($K245="Low", INDEX('Lookups - Complexity'!$C:$C, MATCH($B245, 'Lookups - Complexity'!$B:$B,0)), $K245="Medium", INDEX('Lookups - Complexity'!$D:$D, MATCH($B245, 'Lookups - Complexity'!$B:$B,0)), $K245="High", INDEX('Lookups - Complexity'!$E:$E, MATCH($B245, 'Lookups - Complexity'!$B:$B,0))), ""))</f>
        <v/>
      </c>
      <c r="M245" s="11">
        <f>IF($I245="FTE", Assumptions!$B$3, "")</f>
        <v/>
      </c>
      <c r="N245" s="11">
        <f t="array" ref="N245">IFERROR(INDEX(Milestones!$F:$F, MATCH($B245, Milestones!$B:$B, 0)), "")</f>
        <v/>
      </c>
      <c r="O245" s="11">
        <f t="array" ref="O245">IFERROR(INDEX(Milestones!$G:$G, MATCH($B245, Milestones!$B:$B, 0)), "")</f>
        <v/>
      </c>
      <c r="P245" s="11">
        <f t="array" ref="P245">IFERROR(INDEX('Lookups - Rates'!$D:$D, MATCH($G245&amp;"|"&amp;$H245, 'Lookups - Rates'!$Z:$Z, 0)), "")</f>
        <v/>
      </c>
      <c r="Q245" s="11">
        <f t="array" ref="Q245">IFERROR(INDEX('Lookups - Rates'!$E:$E, MATCH($G245&amp;"|"&amp;$H245, 'Lookups - Rates'!$Z:$Z, 0)), "")</f>
        <v/>
      </c>
      <c r="R245" s="11">
        <f>LET(ev,$J245, ch,$L245, hr,$P245, dr,$Q245, hpday,Assumptions!$B$2, hpw,Assumptions!$B$3, w,$M245, hrs, IF($I245="Hours", ev, IF($I245="Days", ev*IF(dr&gt;0, dr/hr, hpday), IF($I245="FTE", ev*hpw*w, ch))), IF(hrs="", "", hrs*hr))</f>
        <v/>
      </c>
      <c r="S245" s="13" t="n"/>
      <c r="T245" s="11">
        <f t="array" ref="T245">XLOOKUP(Scenario_Selected, INDEX(Scenario_Table,0,1), INDEX(Scenario_Table,0,2))</f>
        <v/>
      </c>
      <c r="U245" s="11">
        <f t="array" ref="U245">XLOOKUP(Scenario_Selected, INDEX(Scenario_Table,0,1), INDEX(Scenario_Table,0,3))</f>
        <v/>
      </c>
      <c r="V245" s="11">
        <f t="array" ref="V245">XLOOKUP(Scenario_Selected, INDEX(Scenario_Table,0,1), INDEX(Scenario_Table,0,4))</f>
        <v/>
      </c>
      <c r="W245" s="11">
        <f t="array" ref="W245">LET(ev,$J245, ch,$L245, et,$I245, dr,$Q245, hpday,Assumptions!$B$2, hpw,Assumptions!$B$3, w,$M245,hm,INDIRECT("R[0]C[0]",FALSE),hrs, IF(et="Hours", ev, IF(et="Days", ev*IF(dr&gt;0, dr/$P245, hpday), IF(et="FTE", ev*hpw*w, ch))), IF(hrs="", "", hrs*hm))</f>
        <v/>
      </c>
      <c r="X245" s="11">
        <f>IF($P245="","", $P245*INDIRECT("R[0]C[-3]",FALSE))</f>
        <v/>
      </c>
      <c r="Y245" s="11">
        <f>IF(INDIRECT("R[0]C[-1]",FALSE)="","", INDIRECT("R[0]C[-2]",FALSE)*INDIRECT("R[0]C[-1]",FALSE)*(1+INDIRECT("R[0]C[-3]",FALSE)))</f>
        <v/>
      </c>
      <c r="Z245" s="13" t="n"/>
    </row>
    <row r="246" ht="15.75" customHeight="1" s="74">
      <c r="A246" s="11" t="n">
        <v>246</v>
      </c>
      <c r="C246" s="11">
        <f t="array" ref="C246">IFERROR(INDEX(Milestones!$A:$A, MATCH($B246, Milestones!$B:$B, 0)), "")</f>
        <v/>
      </c>
      <c r="D246" s="11">
        <f t="array" ref="D246">IFERROR(INDEX(Milestones!$C:$C, MATCH($B246, Milestones!$B:$B, 0)), "")</f>
        <v/>
      </c>
      <c r="F246" s="11">
        <f t="array" ref="F246">IFERROR(INDEX(Milestones!$E:$E, MATCH($B246, Milestones!$B:$B, 0)), "")</f>
        <v/>
      </c>
      <c r="I246" s="11" t="n"/>
      <c r="J246" s="20" t="n"/>
      <c r="K246" s="11" t="n"/>
      <c r="L246" s="11">
        <f t="array" ref="L246">IF($K246="","", IFERROR(IFS($K246="Low", INDEX('Lookups - Complexity'!$C:$C, MATCH($B246, 'Lookups - Complexity'!$B:$B,0)), $K246="Medium", INDEX('Lookups - Complexity'!$D:$D, MATCH($B246, 'Lookups - Complexity'!$B:$B,0)), $K246="High", INDEX('Lookups - Complexity'!$E:$E, MATCH($B246, 'Lookups - Complexity'!$B:$B,0))), ""))</f>
        <v/>
      </c>
      <c r="M246" s="11">
        <f>IF($I246="FTE", Assumptions!$B$3, "")</f>
        <v/>
      </c>
      <c r="N246" s="11">
        <f t="array" ref="N246">IFERROR(INDEX(Milestones!$F:$F, MATCH($B246, Milestones!$B:$B, 0)), "")</f>
        <v/>
      </c>
      <c r="O246" s="11">
        <f t="array" ref="O246">IFERROR(INDEX(Milestones!$G:$G, MATCH($B246, Milestones!$B:$B, 0)), "")</f>
        <v/>
      </c>
      <c r="P246" s="11">
        <f t="array" ref="P246">IFERROR(INDEX('Lookups - Rates'!$D:$D, MATCH($G246&amp;"|"&amp;$H246, 'Lookups - Rates'!$Z:$Z, 0)), "")</f>
        <v/>
      </c>
      <c r="Q246" s="11">
        <f t="array" ref="Q246">IFERROR(INDEX('Lookups - Rates'!$E:$E, MATCH($G246&amp;"|"&amp;$H246, 'Lookups - Rates'!$Z:$Z, 0)), "")</f>
        <v/>
      </c>
      <c r="R246" s="11">
        <f>LET(ev,$J246, ch,$L246, hr,$P246, dr,$Q246, hpday,Assumptions!$B$2, hpw,Assumptions!$B$3, w,$M246, hrs, IF($I246="Hours", ev, IF($I246="Days", ev*IF(dr&gt;0, dr/hr, hpday), IF($I246="FTE", ev*hpw*w, ch))), IF(hrs="", "", hrs*hr))</f>
        <v/>
      </c>
      <c r="S246" s="13" t="n"/>
      <c r="T246" s="11">
        <f t="array" ref="T246">XLOOKUP(Scenario_Selected, INDEX(Scenario_Table,0,1), INDEX(Scenario_Table,0,2))</f>
        <v/>
      </c>
      <c r="U246" s="11">
        <f t="array" ref="U246">XLOOKUP(Scenario_Selected, INDEX(Scenario_Table,0,1), INDEX(Scenario_Table,0,3))</f>
        <v/>
      </c>
      <c r="V246" s="11">
        <f t="array" ref="V246">XLOOKUP(Scenario_Selected, INDEX(Scenario_Table,0,1), INDEX(Scenario_Table,0,4))</f>
        <v/>
      </c>
      <c r="W246" s="11">
        <f t="array" ref="W246">LET(ev,$J246, ch,$L246, et,$I246, dr,$Q246, hpday,Assumptions!$B$2, hpw,Assumptions!$B$3, w,$M246,hm,INDIRECT("R[0]C[0]",FALSE),hrs, IF(et="Hours", ev, IF(et="Days", ev*IF(dr&gt;0, dr/$P246, hpday), IF(et="FTE", ev*hpw*w, ch))), IF(hrs="", "", hrs*hm))</f>
        <v/>
      </c>
      <c r="X246" s="11">
        <f>IF($P246="","", $P246*INDIRECT("R[0]C[-3]",FALSE))</f>
        <v/>
      </c>
      <c r="Y246" s="11">
        <f>IF(INDIRECT("R[0]C[-1]",FALSE)="","", INDIRECT("R[0]C[-2]",FALSE)*INDIRECT("R[0]C[-1]",FALSE)*(1+INDIRECT("R[0]C[-3]",FALSE)))</f>
        <v/>
      </c>
      <c r="Z246" s="13" t="n"/>
    </row>
    <row r="247" ht="15.75" customHeight="1" s="74">
      <c r="A247" s="11" t="n">
        <v>247</v>
      </c>
      <c r="C247" s="11">
        <f t="array" ref="C247">IFERROR(INDEX(Milestones!$A:$A, MATCH($B247, Milestones!$B:$B, 0)), "")</f>
        <v/>
      </c>
      <c r="D247" s="11">
        <f t="array" ref="D247">IFERROR(INDEX(Milestones!$C:$C, MATCH($B247, Milestones!$B:$B, 0)), "")</f>
        <v/>
      </c>
      <c r="F247" s="11">
        <f t="array" ref="F247">IFERROR(INDEX(Milestones!$E:$E, MATCH($B247, Milestones!$B:$B, 0)), "")</f>
        <v/>
      </c>
      <c r="I247" s="11" t="n"/>
      <c r="J247" s="20" t="n"/>
      <c r="K247" s="11" t="n"/>
      <c r="L247" s="11">
        <f t="array" ref="L247">IF($K247="","", IFERROR(IFS($K247="Low", INDEX('Lookups - Complexity'!$C:$C, MATCH($B247, 'Lookups - Complexity'!$B:$B,0)), $K247="Medium", INDEX('Lookups - Complexity'!$D:$D, MATCH($B247, 'Lookups - Complexity'!$B:$B,0)), $K247="High", INDEX('Lookups - Complexity'!$E:$E, MATCH($B247, 'Lookups - Complexity'!$B:$B,0))), ""))</f>
        <v/>
      </c>
      <c r="M247" s="11">
        <f>IF($I247="FTE", Assumptions!$B$3, "")</f>
        <v/>
      </c>
      <c r="N247" s="11">
        <f t="array" ref="N247">IFERROR(INDEX(Milestones!$F:$F, MATCH($B247, Milestones!$B:$B, 0)), "")</f>
        <v/>
      </c>
      <c r="O247" s="11">
        <f t="array" ref="O247">IFERROR(INDEX(Milestones!$G:$G, MATCH($B247, Milestones!$B:$B, 0)), "")</f>
        <v/>
      </c>
      <c r="P247" s="11">
        <f t="array" ref="P247">IFERROR(INDEX('Lookups - Rates'!$D:$D, MATCH($G247&amp;"|"&amp;$H247, 'Lookups - Rates'!$Z:$Z, 0)), "")</f>
        <v/>
      </c>
      <c r="Q247" s="11">
        <f t="array" ref="Q247">IFERROR(INDEX('Lookups - Rates'!$E:$E, MATCH($G247&amp;"|"&amp;$H247, 'Lookups - Rates'!$Z:$Z, 0)), "")</f>
        <v/>
      </c>
      <c r="R247" s="11">
        <f>LET(ev,$J247, ch,$L247, hr,$P247, dr,$Q247, hpday,Assumptions!$B$2, hpw,Assumptions!$B$3, w,$M247, hrs, IF($I247="Hours", ev, IF($I247="Days", ev*IF(dr&gt;0, dr/hr, hpday), IF($I247="FTE", ev*hpw*w, ch))), IF(hrs="", "", hrs*hr))</f>
        <v/>
      </c>
      <c r="S247" s="13" t="n"/>
      <c r="T247" s="11">
        <f t="array" ref="T247">XLOOKUP(Scenario_Selected, INDEX(Scenario_Table,0,1), INDEX(Scenario_Table,0,2))</f>
        <v/>
      </c>
      <c r="U247" s="11">
        <f t="array" ref="U247">XLOOKUP(Scenario_Selected, INDEX(Scenario_Table,0,1), INDEX(Scenario_Table,0,3))</f>
        <v/>
      </c>
      <c r="V247" s="11">
        <f t="array" ref="V247">XLOOKUP(Scenario_Selected, INDEX(Scenario_Table,0,1), INDEX(Scenario_Table,0,4))</f>
        <v/>
      </c>
      <c r="W247" s="11">
        <f t="array" ref="W247">LET(ev,$J247, ch,$L247, et,$I247, dr,$Q247, hpday,Assumptions!$B$2, hpw,Assumptions!$B$3, w,$M247,hm,INDIRECT("R[0]C[0]",FALSE),hrs, IF(et="Hours", ev, IF(et="Days", ev*IF(dr&gt;0, dr/$P247, hpday), IF(et="FTE", ev*hpw*w, ch))), IF(hrs="", "", hrs*hm))</f>
        <v/>
      </c>
      <c r="X247" s="11">
        <f>IF($P247="","", $P247*INDIRECT("R[0]C[-3]",FALSE))</f>
        <v/>
      </c>
      <c r="Y247" s="11">
        <f>IF(INDIRECT("R[0]C[-1]",FALSE)="","", INDIRECT("R[0]C[-2]",FALSE)*INDIRECT("R[0]C[-1]",FALSE)*(1+INDIRECT("R[0]C[-3]",FALSE)))</f>
        <v/>
      </c>
      <c r="Z247" s="13" t="n"/>
    </row>
    <row r="248" ht="15.75" customHeight="1" s="74">
      <c r="A248" s="11" t="n">
        <v>248</v>
      </c>
      <c r="C248" s="11">
        <f t="array" ref="C248">IFERROR(INDEX(Milestones!$A:$A, MATCH($B248, Milestones!$B:$B, 0)), "")</f>
        <v/>
      </c>
      <c r="D248" s="11">
        <f t="array" ref="D248">IFERROR(INDEX(Milestones!$C:$C, MATCH($B248, Milestones!$B:$B, 0)), "")</f>
        <v/>
      </c>
      <c r="F248" s="11">
        <f t="array" ref="F248">IFERROR(INDEX(Milestones!$E:$E, MATCH($B248, Milestones!$B:$B, 0)), "")</f>
        <v/>
      </c>
      <c r="I248" s="11" t="n"/>
      <c r="J248" s="20" t="n"/>
      <c r="K248" s="11" t="n"/>
      <c r="L248" s="11">
        <f t="array" ref="L248">IF($K248="","", IFERROR(IFS($K248="Low", INDEX('Lookups - Complexity'!$C:$C, MATCH($B248, 'Lookups - Complexity'!$B:$B,0)), $K248="Medium", INDEX('Lookups - Complexity'!$D:$D, MATCH($B248, 'Lookups - Complexity'!$B:$B,0)), $K248="High", INDEX('Lookups - Complexity'!$E:$E, MATCH($B248, 'Lookups - Complexity'!$B:$B,0))), ""))</f>
        <v/>
      </c>
      <c r="M248" s="11">
        <f>IF($I248="FTE", Assumptions!$B$3, "")</f>
        <v/>
      </c>
      <c r="N248" s="11">
        <f t="array" ref="N248">IFERROR(INDEX(Milestones!$F:$F, MATCH($B248, Milestones!$B:$B, 0)), "")</f>
        <v/>
      </c>
      <c r="O248" s="11">
        <f t="array" ref="O248">IFERROR(INDEX(Milestones!$G:$G, MATCH($B248, Milestones!$B:$B, 0)), "")</f>
        <v/>
      </c>
      <c r="P248" s="11">
        <f t="array" ref="P248">IFERROR(INDEX('Lookups - Rates'!$D:$D, MATCH($G248&amp;"|"&amp;$H248, 'Lookups - Rates'!$Z:$Z, 0)), "")</f>
        <v/>
      </c>
      <c r="Q248" s="11">
        <f t="array" ref="Q248">IFERROR(INDEX('Lookups - Rates'!$E:$E, MATCH($G248&amp;"|"&amp;$H248, 'Lookups - Rates'!$Z:$Z, 0)), "")</f>
        <v/>
      </c>
      <c r="R248" s="11">
        <f>LET(ev,$J248, ch,$L248, hr,$P248, dr,$Q248, hpday,Assumptions!$B$2, hpw,Assumptions!$B$3, w,$M248, hrs, IF($I248="Hours", ev, IF($I248="Days", ev*IF(dr&gt;0, dr/hr, hpday), IF($I248="FTE", ev*hpw*w, ch))), IF(hrs="", "", hrs*hr))</f>
        <v/>
      </c>
      <c r="S248" s="13" t="n"/>
      <c r="T248" s="11">
        <f t="array" ref="T248">XLOOKUP(Scenario_Selected, INDEX(Scenario_Table,0,1), INDEX(Scenario_Table,0,2))</f>
        <v/>
      </c>
      <c r="U248" s="11">
        <f t="array" ref="U248">XLOOKUP(Scenario_Selected, INDEX(Scenario_Table,0,1), INDEX(Scenario_Table,0,3))</f>
        <v/>
      </c>
      <c r="V248" s="11">
        <f t="array" ref="V248">XLOOKUP(Scenario_Selected, INDEX(Scenario_Table,0,1), INDEX(Scenario_Table,0,4))</f>
        <v/>
      </c>
      <c r="W248" s="11">
        <f t="array" ref="W248">LET(ev,$J248, ch,$L248, et,$I248, dr,$Q248, hpday,Assumptions!$B$2, hpw,Assumptions!$B$3, w,$M248,hm,INDIRECT("R[0]C[0]",FALSE),hrs, IF(et="Hours", ev, IF(et="Days", ev*IF(dr&gt;0, dr/$P248, hpday), IF(et="FTE", ev*hpw*w, ch))), IF(hrs="", "", hrs*hm))</f>
        <v/>
      </c>
      <c r="X248" s="11">
        <f>IF($P248="","", $P248*INDIRECT("R[0]C[-3]",FALSE))</f>
        <v/>
      </c>
      <c r="Y248" s="11">
        <f>IF(INDIRECT("R[0]C[-1]",FALSE)="","", INDIRECT("R[0]C[-2]",FALSE)*INDIRECT("R[0]C[-1]",FALSE)*(1+INDIRECT("R[0]C[-3]",FALSE)))</f>
        <v/>
      </c>
      <c r="Z248" s="13" t="n"/>
    </row>
    <row r="249" ht="15.75" customHeight="1" s="74">
      <c r="A249" s="11" t="n">
        <v>249</v>
      </c>
      <c r="C249" s="11">
        <f t="array" ref="C249">IFERROR(INDEX(Milestones!$A:$A, MATCH($B249, Milestones!$B:$B, 0)), "")</f>
        <v/>
      </c>
      <c r="D249" s="11">
        <f t="array" ref="D249">IFERROR(INDEX(Milestones!$C:$C, MATCH($B249, Milestones!$B:$B, 0)), "")</f>
        <v/>
      </c>
      <c r="F249" s="11">
        <f t="array" ref="F249">IFERROR(INDEX(Milestones!$E:$E, MATCH($B249, Milestones!$B:$B, 0)), "")</f>
        <v/>
      </c>
      <c r="I249" s="11" t="n"/>
      <c r="J249" s="20" t="n"/>
      <c r="K249" s="11" t="n"/>
      <c r="L249" s="11">
        <f t="array" ref="L249">IF($K249="","", IFERROR(IFS($K249="Low", INDEX('Lookups - Complexity'!$C:$C, MATCH($B249, 'Lookups - Complexity'!$B:$B,0)), $K249="Medium", INDEX('Lookups - Complexity'!$D:$D, MATCH($B249, 'Lookups - Complexity'!$B:$B,0)), $K249="High", INDEX('Lookups - Complexity'!$E:$E, MATCH($B249, 'Lookups - Complexity'!$B:$B,0))), ""))</f>
        <v/>
      </c>
      <c r="M249" s="11">
        <f>IF($I249="FTE", Assumptions!$B$3, "")</f>
        <v/>
      </c>
      <c r="N249" s="11">
        <f t="array" ref="N249">IFERROR(INDEX(Milestones!$F:$F, MATCH($B249, Milestones!$B:$B, 0)), "")</f>
        <v/>
      </c>
      <c r="O249" s="11">
        <f t="array" ref="O249">IFERROR(INDEX(Milestones!$G:$G, MATCH($B249, Milestones!$B:$B, 0)), "")</f>
        <v/>
      </c>
      <c r="P249" s="11">
        <f t="array" ref="P249">IFERROR(INDEX('Lookups - Rates'!$D:$D, MATCH($G249&amp;"|"&amp;$H249, 'Lookups - Rates'!$Z:$Z, 0)), "")</f>
        <v/>
      </c>
      <c r="Q249" s="11">
        <f t="array" ref="Q249">IFERROR(INDEX('Lookups - Rates'!$E:$E, MATCH($G249&amp;"|"&amp;$H249, 'Lookups - Rates'!$Z:$Z, 0)), "")</f>
        <v/>
      </c>
      <c r="R249" s="11">
        <f>LET(ev,$J249, ch,$L249, hr,$P249, dr,$Q249, hpday,Assumptions!$B$2, hpw,Assumptions!$B$3, w,$M249, hrs, IF($I249="Hours", ev, IF($I249="Days", ev*IF(dr&gt;0, dr/hr, hpday), IF($I249="FTE", ev*hpw*w, ch))), IF(hrs="", "", hrs*hr))</f>
        <v/>
      </c>
      <c r="S249" s="13" t="n"/>
      <c r="T249" s="11">
        <f t="array" ref="T249">XLOOKUP(Scenario_Selected, INDEX(Scenario_Table,0,1), INDEX(Scenario_Table,0,2))</f>
        <v/>
      </c>
      <c r="U249" s="11">
        <f t="array" ref="U249">XLOOKUP(Scenario_Selected, INDEX(Scenario_Table,0,1), INDEX(Scenario_Table,0,3))</f>
        <v/>
      </c>
      <c r="V249" s="11">
        <f t="array" ref="V249">XLOOKUP(Scenario_Selected, INDEX(Scenario_Table,0,1), INDEX(Scenario_Table,0,4))</f>
        <v/>
      </c>
      <c r="W249" s="11">
        <f t="array" ref="W249">LET(ev,$J249, ch,$L249, et,$I249, dr,$Q249, hpday,Assumptions!$B$2, hpw,Assumptions!$B$3, w,$M249,hm,INDIRECT("R[0]C[0]",FALSE),hrs, IF(et="Hours", ev, IF(et="Days", ev*IF(dr&gt;0, dr/$P249, hpday), IF(et="FTE", ev*hpw*w, ch))), IF(hrs="", "", hrs*hm))</f>
        <v/>
      </c>
      <c r="X249" s="11">
        <f>IF($P249="","", $P249*INDIRECT("R[0]C[-3]",FALSE))</f>
        <v/>
      </c>
      <c r="Y249" s="11">
        <f>IF(INDIRECT("R[0]C[-1]",FALSE)="","", INDIRECT("R[0]C[-2]",FALSE)*INDIRECT("R[0]C[-1]",FALSE)*(1+INDIRECT("R[0]C[-3]",FALSE)))</f>
        <v/>
      </c>
      <c r="Z249" s="13" t="n"/>
    </row>
    <row r="250" ht="15.75" customHeight="1" s="74">
      <c r="A250" s="11" t="n">
        <v>250</v>
      </c>
      <c r="C250" s="11">
        <f t="array" ref="C250">IFERROR(INDEX(Milestones!$A:$A, MATCH($B250, Milestones!$B:$B, 0)), "")</f>
        <v/>
      </c>
      <c r="D250" s="11">
        <f t="array" ref="D250">IFERROR(INDEX(Milestones!$C:$C, MATCH($B250, Milestones!$B:$B, 0)), "")</f>
        <v/>
      </c>
      <c r="F250" s="11">
        <f t="array" ref="F250">IFERROR(INDEX(Milestones!$E:$E, MATCH($B250, Milestones!$B:$B, 0)), "")</f>
        <v/>
      </c>
      <c r="I250" s="11" t="n"/>
      <c r="J250" s="20" t="n"/>
      <c r="K250" s="11" t="n"/>
      <c r="L250" s="11">
        <f t="array" ref="L250">IF($K250="","", IFERROR(IFS($K250="Low", INDEX('Lookups - Complexity'!$C:$C, MATCH($B250, 'Lookups - Complexity'!$B:$B,0)), $K250="Medium", INDEX('Lookups - Complexity'!$D:$D, MATCH($B250, 'Lookups - Complexity'!$B:$B,0)), $K250="High", INDEX('Lookups - Complexity'!$E:$E, MATCH($B250, 'Lookups - Complexity'!$B:$B,0))), ""))</f>
        <v/>
      </c>
      <c r="M250" s="11">
        <f>IF($I250="FTE", Assumptions!$B$3, "")</f>
        <v/>
      </c>
      <c r="N250" s="11">
        <f t="array" ref="N250">IFERROR(INDEX(Milestones!$F:$F, MATCH($B250, Milestones!$B:$B, 0)), "")</f>
        <v/>
      </c>
      <c r="O250" s="11">
        <f t="array" ref="O250">IFERROR(INDEX(Milestones!$G:$G, MATCH($B250, Milestones!$B:$B, 0)), "")</f>
        <v/>
      </c>
      <c r="P250" s="11">
        <f t="array" ref="P250">IFERROR(INDEX('Lookups - Rates'!$D:$D, MATCH($G250&amp;"|"&amp;$H250, 'Lookups - Rates'!$Z:$Z, 0)), "")</f>
        <v/>
      </c>
      <c r="Q250" s="11">
        <f t="array" ref="Q250">IFERROR(INDEX('Lookups - Rates'!$E:$E, MATCH($G250&amp;"|"&amp;$H250, 'Lookups - Rates'!$Z:$Z, 0)), "")</f>
        <v/>
      </c>
      <c r="R250" s="11">
        <f>LET(ev,$J250, ch,$L250, hr,$P250, dr,$Q250, hpday,Assumptions!$B$2, hpw,Assumptions!$B$3, w,$M250, hrs, IF($I250="Hours", ev, IF($I250="Days", ev*IF(dr&gt;0, dr/hr, hpday), IF($I250="FTE", ev*hpw*w, ch))), IF(hrs="", "", hrs*hr))</f>
        <v/>
      </c>
      <c r="S250" s="13" t="n"/>
      <c r="T250" s="11">
        <f t="array" ref="T250">XLOOKUP(Scenario_Selected, INDEX(Scenario_Table,0,1), INDEX(Scenario_Table,0,2))</f>
        <v/>
      </c>
      <c r="U250" s="11">
        <f t="array" ref="U250">XLOOKUP(Scenario_Selected, INDEX(Scenario_Table,0,1), INDEX(Scenario_Table,0,3))</f>
        <v/>
      </c>
      <c r="V250" s="11">
        <f t="array" ref="V250">XLOOKUP(Scenario_Selected, INDEX(Scenario_Table,0,1), INDEX(Scenario_Table,0,4))</f>
        <v/>
      </c>
      <c r="W250" s="11">
        <f t="array" ref="W250">LET(ev,$J250, ch,$L250, et,$I250, dr,$Q250, hpday,Assumptions!$B$2, hpw,Assumptions!$B$3, w,$M250,hm,INDIRECT("R[0]C[0]",FALSE),hrs, IF(et="Hours", ev, IF(et="Days", ev*IF(dr&gt;0, dr/$P250, hpday), IF(et="FTE", ev*hpw*w, ch))), IF(hrs="", "", hrs*hm))</f>
        <v/>
      </c>
      <c r="X250" s="11">
        <f>IF($P250="","", $P250*INDIRECT("R[0]C[-3]",FALSE))</f>
        <v/>
      </c>
      <c r="Y250" s="11">
        <f>IF(INDIRECT("R[0]C[-1]",FALSE)="","", INDIRECT("R[0]C[-2]",FALSE)*INDIRECT("R[0]C[-1]",FALSE)*(1+INDIRECT("R[0]C[-3]",FALSE)))</f>
        <v/>
      </c>
      <c r="Z250" s="13" t="n"/>
    </row>
    <row r="251" ht="15.75" customHeight="1" s="74">
      <c r="A251" s="11" t="n">
        <v>251</v>
      </c>
      <c r="C251" s="11">
        <f t="array" ref="C251">IFERROR(INDEX(Milestones!$A:$A, MATCH($B251, Milestones!$B:$B, 0)), "")</f>
        <v/>
      </c>
      <c r="D251" s="11">
        <f t="array" ref="D251">IFERROR(INDEX(Milestones!$C:$C, MATCH($B251, Milestones!$B:$B, 0)), "")</f>
        <v/>
      </c>
      <c r="F251" s="11">
        <f t="array" ref="F251">IFERROR(INDEX(Milestones!$E:$E, MATCH($B251, Milestones!$B:$B, 0)), "")</f>
        <v/>
      </c>
      <c r="I251" s="11" t="n"/>
      <c r="J251" s="20" t="n"/>
      <c r="K251" s="11" t="n"/>
      <c r="L251" s="11">
        <f t="array" ref="L251">IF($K251="","", IFERROR(IFS($K251="Low", INDEX('Lookups - Complexity'!$C:$C, MATCH($B251, 'Lookups - Complexity'!$B:$B,0)), $K251="Medium", INDEX('Lookups - Complexity'!$D:$D, MATCH($B251, 'Lookups - Complexity'!$B:$B,0)), $K251="High", INDEX('Lookups - Complexity'!$E:$E, MATCH($B251, 'Lookups - Complexity'!$B:$B,0))), ""))</f>
        <v/>
      </c>
      <c r="M251" s="11">
        <f>IF($I251="FTE", Assumptions!$B$3, "")</f>
        <v/>
      </c>
      <c r="N251" s="11">
        <f t="array" ref="N251">IFERROR(INDEX(Milestones!$F:$F, MATCH($B251, Milestones!$B:$B, 0)), "")</f>
        <v/>
      </c>
      <c r="O251" s="11">
        <f t="array" ref="O251">IFERROR(INDEX(Milestones!$G:$G, MATCH($B251, Milestones!$B:$B, 0)), "")</f>
        <v/>
      </c>
      <c r="P251" s="11">
        <f t="array" ref="P251">IFERROR(INDEX('Lookups - Rates'!$D:$D, MATCH($G251&amp;"|"&amp;$H251, 'Lookups - Rates'!$Z:$Z, 0)), "")</f>
        <v/>
      </c>
      <c r="Q251" s="11">
        <f t="array" ref="Q251">IFERROR(INDEX('Lookups - Rates'!$E:$E, MATCH($G251&amp;"|"&amp;$H251, 'Lookups - Rates'!$Z:$Z, 0)), "")</f>
        <v/>
      </c>
      <c r="R251" s="11">
        <f>LET(ev,$J251, ch,$L251, hr,$P251, dr,$Q251, hpday,Assumptions!$B$2, hpw,Assumptions!$B$3, w,$M251, hrs, IF($I251="Hours", ev, IF($I251="Days", ev*IF(dr&gt;0, dr/hr, hpday), IF($I251="FTE", ev*hpw*w, ch))), IF(hrs="", "", hrs*hr))</f>
        <v/>
      </c>
      <c r="S251" s="13" t="n"/>
      <c r="T251" s="11">
        <f t="array" ref="T251">XLOOKUP(Scenario_Selected, INDEX(Scenario_Table,0,1), INDEX(Scenario_Table,0,2))</f>
        <v/>
      </c>
      <c r="U251" s="11">
        <f t="array" ref="U251">XLOOKUP(Scenario_Selected, INDEX(Scenario_Table,0,1), INDEX(Scenario_Table,0,3))</f>
        <v/>
      </c>
      <c r="V251" s="11">
        <f t="array" ref="V251">XLOOKUP(Scenario_Selected, INDEX(Scenario_Table,0,1), INDEX(Scenario_Table,0,4))</f>
        <v/>
      </c>
      <c r="W251" s="11">
        <f t="array" ref="W251">LET(ev,$J251, ch,$L251, et,$I251, dr,$Q251, hpday,Assumptions!$B$2, hpw,Assumptions!$B$3, w,$M251,hm,INDIRECT("R[0]C[0]",FALSE),hrs, IF(et="Hours", ev, IF(et="Days", ev*IF(dr&gt;0, dr/$P251, hpday), IF(et="FTE", ev*hpw*w, ch))), IF(hrs="", "", hrs*hm))</f>
        <v/>
      </c>
      <c r="X251" s="11">
        <f>IF($P251="","", $P251*INDIRECT("R[0]C[-3]",FALSE))</f>
        <v/>
      </c>
      <c r="Y251" s="11">
        <f>IF(INDIRECT("R[0]C[-1]",FALSE)="","", INDIRECT("R[0]C[-2]",FALSE)*INDIRECT("R[0]C[-1]",FALSE)*(1+INDIRECT("R[0]C[-3]",FALSE)))</f>
        <v/>
      </c>
      <c r="Z251" s="13" t="n"/>
    </row>
    <row r="252" ht="15.75" customHeight="1" s="74">
      <c r="A252" s="11" t="n">
        <v>252</v>
      </c>
      <c r="C252" s="11">
        <f t="array" ref="C252">IFERROR(INDEX(Milestones!$A:$A, MATCH($B252, Milestones!$B:$B, 0)), "")</f>
        <v/>
      </c>
      <c r="D252" s="11">
        <f t="array" ref="D252">IFERROR(INDEX(Milestones!$C:$C, MATCH($B252, Milestones!$B:$B, 0)), "")</f>
        <v/>
      </c>
      <c r="F252" s="11">
        <f t="array" ref="F252">IFERROR(INDEX(Milestones!$E:$E, MATCH($B252, Milestones!$B:$B, 0)), "")</f>
        <v/>
      </c>
      <c r="I252" s="11" t="n"/>
      <c r="J252" s="20" t="n"/>
      <c r="K252" s="11" t="n"/>
      <c r="L252" s="11">
        <f t="array" ref="L252">IF($K252="","", IFERROR(IFS($K252="Low", INDEX('Lookups - Complexity'!$C:$C, MATCH($B252, 'Lookups - Complexity'!$B:$B,0)), $K252="Medium", INDEX('Lookups - Complexity'!$D:$D, MATCH($B252, 'Lookups - Complexity'!$B:$B,0)), $K252="High", INDEX('Lookups - Complexity'!$E:$E, MATCH($B252, 'Lookups - Complexity'!$B:$B,0))), ""))</f>
        <v/>
      </c>
      <c r="M252" s="11">
        <f>IF($I252="FTE", Assumptions!$B$3, "")</f>
        <v/>
      </c>
      <c r="N252" s="11">
        <f t="array" ref="N252">IFERROR(INDEX(Milestones!$F:$F, MATCH($B252, Milestones!$B:$B, 0)), "")</f>
        <v/>
      </c>
      <c r="O252" s="11">
        <f t="array" ref="O252">IFERROR(INDEX(Milestones!$G:$G, MATCH($B252, Milestones!$B:$B, 0)), "")</f>
        <v/>
      </c>
      <c r="P252" s="11">
        <f t="array" ref="P252">IFERROR(INDEX('Lookups - Rates'!$D:$D, MATCH($G252&amp;"|"&amp;$H252, 'Lookups - Rates'!$Z:$Z, 0)), "")</f>
        <v/>
      </c>
      <c r="Q252" s="11">
        <f t="array" ref="Q252">IFERROR(INDEX('Lookups - Rates'!$E:$E, MATCH($G252&amp;"|"&amp;$H252, 'Lookups - Rates'!$Z:$Z, 0)), "")</f>
        <v/>
      </c>
      <c r="R252" s="11">
        <f>LET(ev,$J252, ch,$L252, hr,$P252, dr,$Q252, hpday,Assumptions!$B$2, hpw,Assumptions!$B$3, w,$M252, hrs, IF($I252="Hours", ev, IF($I252="Days", ev*IF(dr&gt;0, dr/hr, hpday), IF($I252="FTE", ev*hpw*w, ch))), IF(hrs="", "", hrs*hr))</f>
        <v/>
      </c>
      <c r="S252" s="13" t="n"/>
      <c r="T252" s="11">
        <f t="array" ref="T252">XLOOKUP(Scenario_Selected, INDEX(Scenario_Table,0,1), INDEX(Scenario_Table,0,2))</f>
        <v/>
      </c>
      <c r="U252" s="11">
        <f t="array" ref="U252">XLOOKUP(Scenario_Selected, INDEX(Scenario_Table,0,1), INDEX(Scenario_Table,0,3))</f>
        <v/>
      </c>
      <c r="V252" s="11">
        <f t="array" ref="V252">XLOOKUP(Scenario_Selected, INDEX(Scenario_Table,0,1), INDEX(Scenario_Table,0,4))</f>
        <v/>
      </c>
      <c r="W252" s="11">
        <f t="array" ref="W252">LET(ev,$J252, ch,$L252, et,$I252, dr,$Q252, hpday,Assumptions!$B$2, hpw,Assumptions!$B$3, w,$M252,hm,INDIRECT("R[0]C[0]",FALSE),hrs, IF(et="Hours", ev, IF(et="Days", ev*IF(dr&gt;0, dr/$P252, hpday), IF(et="FTE", ev*hpw*w, ch))), IF(hrs="", "", hrs*hm))</f>
        <v/>
      </c>
      <c r="X252" s="11">
        <f>IF($P252="","", $P252*INDIRECT("R[0]C[-3]",FALSE))</f>
        <v/>
      </c>
      <c r="Y252" s="11">
        <f>IF(INDIRECT("R[0]C[-1]",FALSE)="","", INDIRECT("R[0]C[-2]",FALSE)*INDIRECT("R[0]C[-1]",FALSE)*(1+INDIRECT("R[0]C[-3]",FALSE)))</f>
        <v/>
      </c>
      <c r="Z252" s="13" t="n"/>
    </row>
    <row r="253" ht="15.75" customHeight="1" s="74">
      <c r="A253" s="11" t="n">
        <v>253</v>
      </c>
      <c r="C253" s="11">
        <f t="array" ref="C253">IFERROR(INDEX(Milestones!$A:$A, MATCH($B253, Milestones!$B:$B, 0)), "")</f>
        <v/>
      </c>
      <c r="D253" s="11">
        <f t="array" ref="D253">IFERROR(INDEX(Milestones!$C:$C, MATCH($B253, Milestones!$B:$B, 0)), "")</f>
        <v/>
      </c>
      <c r="F253" s="11">
        <f t="array" ref="F253">IFERROR(INDEX(Milestones!$E:$E, MATCH($B253, Milestones!$B:$B, 0)), "")</f>
        <v/>
      </c>
      <c r="I253" s="11" t="n"/>
      <c r="J253" s="20" t="n"/>
      <c r="K253" s="11" t="n"/>
      <c r="L253" s="11">
        <f t="array" ref="L253">IF($K253="","", IFERROR(IFS($K253="Low", INDEX('Lookups - Complexity'!$C:$C, MATCH($B253, 'Lookups - Complexity'!$B:$B,0)), $K253="Medium", INDEX('Lookups - Complexity'!$D:$D, MATCH($B253, 'Lookups - Complexity'!$B:$B,0)), $K253="High", INDEX('Lookups - Complexity'!$E:$E, MATCH($B253, 'Lookups - Complexity'!$B:$B,0))), ""))</f>
        <v/>
      </c>
      <c r="M253" s="11">
        <f>IF($I253="FTE", Assumptions!$B$3, "")</f>
        <v/>
      </c>
      <c r="N253" s="11">
        <f t="array" ref="N253">IFERROR(INDEX(Milestones!$F:$F, MATCH($B253, Milestones!$B:$B, 0)), "")</f>
        <v/>
      </c>
      <c r="O253" s="11">
        <f t="array" ref="O253">IFERROR(INDEX(Milestones!$G:$G, MATCH($B253, Milestones!$B:$B, 0)), "")</f>
        <v/>
      </c>
      <c r="P253" s="11">
        <f t="array" ref="P253">IFERROR(INDEX('Lookups - Rates'!$D:$D, MATCH($G253&amp;"|"&amp;$H253, 'Lookups - Rates'!$Z:$Z, 0)), "")</f>
        <v/>
      </c>
      <c r="Q253" s="11">
        <f t="array" ref="Q253">IFERROR(INDEX('Lookups - Rates'!$E:$E, MATCH($G253&amp;"|"&amp;$H253, 'Lookups - Rates'!$Z:$Z, 0)), "")</f>
        <v/>
      </c>
      <c r="R253" s="11">
        <f>LET(ev,$J253, ch,$L253, hr,$P253, dr,$Q253, hpday,Assumptions!$B$2, hpw,Assumptions!$B$3, w,$M253, hrs, IF($I253="Hours", ev, IF($I253="Days", ev*IF(dr&gt;0, dr/hr, hpday), IF($I253="FTE", ev*hpw*w, ch))), IF(hrs="", "", hrs*hr))</f>
        <v/>
      </c>
      <c r="S253" s="13" t="n"/>
      <c r="T253" s="11">
        <f t="array" ref="T253">XLOOKUP(Scenario_Selected, INDEX(Scenario_Table,0,1), INDEX(Scenario_Table,0,2))</f>
        <v/>
      </c>
      <c r="U253" s="11">
        <f t="array" ref="U253">XLOOKUP(Scenario_Selected, INDEX(Scenario_Table,0,1), INDEX(Scenario_Table,0,3))</f>
        <v/>
      </c>
      <c r="V253" s="11">
        <f t="array" ref="V253">XLOOKUP(Scenario_Selected, INDEX(Scenario_Table,0,1), INDEX(Scenario_Table,0,4))</f>
        <v/>
      </c>
      <c r="W253" s="11">
        <f t="array" ref="W253">LET(ev,$J253, ch,$L253, et,$I253, dr,$Q253, hpday,Assumptions!$B$2, hpw,Assumptions!$B$3, w,$M253,hm,INDIRECT("R[0]C[0]",FALSE),hrs, IF(et="Hours", ev, IF(et="Days", ev*IF(dr&gt;0, dr/$P253, hpday), IF(et="FTE", ev*hpw*w, ch))), IF(hrs="", "", hrs*hm))</f>
        <v/>
      </c>
      <c r="X253" s="11">
        <f>IF($P253="","", $P253*INDIRECT("R[0]C[-3]",FALSE))</f>
        <v/>
      </c>
      <c r="Y253" s="11">
        <f>IF(INDIRECT("R[0]C[-1]",FALSE)="","", INDIRECT("R[0]C[-2]",FALSE)*INDIRECT("R[0]C[-1]",FALSE)*(1+INDIRECT("R[0]C[-3]",FALSE)))</f>
        <v/>
      </c>
      <c r="Z253" s="13" t="n"/>
    </row>
    <row r="254" ht="15.75" customHeight="1" s="74">
      <c r="A254" s="11" t="n">
        <v>254</v>
      </c>
      <c r="C254" s="11">
        <f t="array" ref="C254">IFERROR(INDEX(Milestones!$A:$A, MATCH($B254, Milestones!$B:$B, 0)), "")</f>
        <v/>
      </c>
      <c r="D254" s="11">
        <f t="array" ref="D254">IFERROR(INDEX(Milestones!$C:$C, MATCH($B254, Milestones!$B:$B, 0)), "")</f>
        <v/>
      </c>
      <c r="F254" s="11">
        <f t="array" ref="F254">IFERROR(INDEX(Milestones!$E:$E, MATCH($B254, Milestones!$B:$B, 0)), "")</f>
        <v/>
      </c>
      <c r="I254" s="11" t="n"/>
      <c r="J254" s="20" t="n"/>
      <c r="K254" s="11" t="n"/>
      <c r="L254" s="11">
        <f t="array" ref="L254">IF($K254="","", IFERROR(IFS($K254="Low", INDEX('Lookups - Complexity'!$C:$C, MATCH($B254, 'Lookups - Complexity'!$B:$B,0)), $K254="Medium", INDEX('Lookups - Complexity'!$D:$D, MATCH($B254, 'Lookups - Complexity'!$B:$B,0)), $K254="High", INDEX('Lookups - Complexity'!$E:$E, MATCH($B254, 'Lookups - Complexity'!$B:$B,0))), ""))</f>
        <v/>
      </c>
      <c r="M254" s="11">
        <f>IF($I254="FTE", Assumptions!$B$3, "")</f>
        <v/>
      </c>
      <c r="N254" s="11">
        <f t="array" ref="N254">IFERROR(INDEX(Milestones!$F:$F, MATCH($B254, Milestones!$B:$B, 0)), "")</f>
        <v/>
      </c>
      <c r="O254" s="11">
        <f t="array" ref="O254">IFERROR(INDEX(Milestones!$G:$G, MATCH($B254, Milestones!$B:$B, 0)), "")</f>
        <v/>
      </c>
      <c r="P254" s="11">
        <f t="array" ref="P254">IFERROR(INDEX('Lookups - Rates'!$D:$D, MATCH($G254&amp;"|"&amp;$H254, 'Lookups - Rates'!$Z:$Z, 0)), "")</f>
        <v/>
      </c>
      <c r="Q254" s="11">
        <f t="array" ref="Q254">IFERROR(INDEX('Lookups - Rates'!$E:$E, MATCH($G254&amp;"|"&amp;$H254, 'Lookups - Rates'!$Z:$Z, 0)), "")</f>
        <v/>
      </c>
      <c r="R254" s="11">
        <f>LET(ev,$J254, ch,$L254, hr,$P254, dr,$Q254, hpday,Assumptions!$B$2, hpw,Assumptions!$B$3, w,$M254, hrs, IF($I254="Hours", ev, IF($I254="Days", ev*IF(dr&gt;0, dr/hr, hpday), IF($I254="FTE", ev*hpw*w, ch))), IF(hrs="", "", hrs*hr))</f>
        <v/>
      </c>
      <c r="S254" s="13" t="n"/>
      <c r="T254" s="11">
        <f t="array" ref="T254">XLOOKUP(Scenario_Selected, INDEX(Scenario_Table,0,1), INDEX(Scenario_Table,0,2))</f>
        <v/>
      </c>
      <c r="U254" s="11">
        <f t="array" ref="U254">XLOOKUP(Scenario_Selected, INDEX(Scenario_Table,0,1), INDEX(Scenario_Table,0,3))</f>
        <v/>
      </c>
      <c r="V254" s="11">
        <f t="array" ref="V254">XLOOKUP(Scenario_Selected, INDEX(Scenario_Table,0,1), INDEX(Scenario_Table,0,4))</f>
        <v/>
      </c>
      <c r="W254" s="11">
        <f t="array" ref="W254">LET(ev,$J254, ch,$L254, et,$I254, dr,$Q254, hpday,Assumptions!$B$2, hpw,Assumptions!$B$3, w,$M254,hm,INDIRECT("R[0]C[0]",FALSE),hrs, IF(et="Hours", ev, IF(et="Days", ev*IF(dr&gt;0, dr/$P254, hpday), IF(et="FTE", ev*hpw*w, ch))), IF(hrs="", "", hrs*hm))</f>
        <v/>
      </c>
      <c r="X254" s="11">
        <f>IF($P254="","", $P254*INDIRECT("R[0]C[-3]",FALSE))</f>
        <v/>
      </c>
      <c r="Y254" s="11">
        <f>IF(INDIRECT("R[0]C[-1]",FALSE)="","", INDIRECT("R[0]C[-2]",FALSE)*INDIRECT("R[0]C[-1]",FALSE)*(1+INDIRECT("R[0]C[-3]",FALSE)))</f>
        <v/>
      </c>
      <c r="Z254" s="13" t="n"/>
    </row>
    <row r="255" ht="15.75" customHeight="1" s="74">
      <c r="A255" s="11" t="n">
        <v>255</v>
      </c>
      <c r="C255" s="11">
        <f t="array" ref="C255">IFERROR(INDEX(Milestones!$A:$A, MATCH($B255, Milestones!$B:$B, 0)), "")</f>
        <v/>
      </c>
      <c r="D255" s="11">
        <f t="array" ref="D255">IFERROR(INDEX(Milestones!$C:$C, MATCH($B255, Milestones!$B:$B, 0)), "")</f>
        <v/>
      </c>
      <c r="F255" s="11">
        <f t="array" ref="F255">IFERROR(INDEX(Milestones!$E:$E, MATCH($B255, Milestones!$B:$B, 0)), "")</f>
        <v/>
      </c>
      <c r="I255" s="11" t="n"/>
      <c r="J255" s="20" t="n"/>
      <c r="K255" s="11" t="n"/>
      <c r="L255" s="11">
        <f t="array" ref="L255">IF($K255="","", IFERROR(IFS($K255="Low", INDEX('Lookups - Complexity'!$C:$C, MATCH($B255, 'Lookups - Complexity'!$B:$B,0)), $K255="Medium", INDEX('Lookups - Complexity'!$D:$D, MATCH($B255, 'Lookups - Complexity'!$B:$B,0)), $K255="High", INDEX('Lookups - Complexity'!$E:$E, MATCH($B255, 'Lookups - Complexity'!$B:$B,0))), ""))</f>
        <v/>
      </c>
      <c r="M255" s="11">
        <f>IF($I255="FTE", Assumptions!$B$3, "")</f>
        <v/>
      </c>
      <c r="N255" s="11">
        <f t="array" ref="N255">IFERROR(INDEX(Milestones!$F:$F, MATCH($B255, Milestones!$B:$B, 0)), "")</f>
        <v/>
      </c>
      <c r="O255" s="11">
        <f t="array" ref="O255">IFERROR(INDEX(Milestones!$G:$G, MATCH($B255, Milestones!$B:$B, 0)), "")</f>
        <v/>
      </c>
      <c r="P255" s="11">
        <f t="array" ref="P255">IFERROR(INDEX('Lookups - Rates'!$D:$D, MATCH($G255&amp;"|"&amp;$H255, 'Lookups - Rates'!$Z:$Z, 0)), "")</f>
        <v/>
      </c>
      <c r="Q255" s="11">
        <f t="array" ref="Q255">IFERROR(INDEX('Lookups - Rates'!$E:$E, MATCH($G255&amp;"|"&amp;$H255, 'Lookups - Rates'!$Z:$Z, 0)), "")</f>
        <v/>
      </c>
      <c r="R255" s="11">
        <f>LET(ev,$J255, ch,$L255, hr,$P255, dr,$Q255, hpday,Assumptions!$B$2, hpw,Assumptions!$B$3, w,$M255, hrs, IF($I255="Hours", ev, IF($I255="Days", ev*IF(dr&gt;0, dr/hr, hpday), IF($I255="FTE", ev*hpw*w, ch))), IF(hrs="", "", hrs*hr))</f>
        <v/>
      </c>
      <c r="S255" s="13" t="n"/>
      <c r="T255" s="11">
        <f t="array" ref="T255">XLOOKUP(Scenario_Selected, INDEX(Scenario_Table,0,1), INDEX(Scenario_Table,0,2))</f>
        <v/>
      </c>
      <c r="U255" s="11">
        <f t="array" ref="U255">XLOOKUP(Scenario_Selected, INDEX(Scenario_Table,0,1), INDEX(Scenario_Table,0,3))</f>
        <v/>
      </c>
      <c r="V255" s="11">
        <f t="array" ref="V255">XLOOKUP(Scenario_Selected, INDEX(Scenario_Table,0,1), INDEX(Scenario_Table,0,4))</f>
        <v/>
      </c>
      <c r="W255" s="11">
        <f t="array" ref="W255">LET(ev,$J255, ch,$L255, et,$I255, dr,$Q255, hpday,Assumptions!$B$2, hpw,Assumptions!$B$3, w,$M255,hm,INDIRECT("R[0]C[0]",FALSE),hrs, IF(et="Hours", ev, IF(et="Days", ev*IF(dr&gt;0, dr/$P255, hpday), IF(et="FTE", ev*hpw*w, ch))), IF(hrs="", "", hrs*hm))</f>
        <v/>
      </c>
      <c r="X255" s="11">
        <f>IF($P255="","", $P255*INDIRECT("R[0]C[-3]",FALSE))</f>
        <v/>
      </c>
      <c r="Y255" s="11">
        <f>IF(INDIRECT("R[0]C[-1]",FALSE)="","", INDIRECT("R[0]C[-2]",FALSE)*INDIRECT("R[0]C[-1]",FALSE)*(1+INDIRECT("R[0]C[-3]",FALSE)))</f>
        <v/>
      </c>
      <c r="Z255" s="13" t="n"/>
    </row>
    <row r="256" ht="15.75" customHeight="1" s="74">
      <c r="A256" s="11" t="n">
        <v>256</v>
      </c>
      <c r="C256" s="11">
        <f t="array" ref="C256">IFERROR(INDEX(Milestones!$A:$A, MATCH($B256, Milestones!$B:$B, 0)), "")</f>
        <v/>
      </c>
      <c r="D256" s="11">
        <f t="array" ref="D256">IFERROR(INDEX(Milestones!$C:$C, MATCH($B256, Milestones!$B:$B, 0)), "")</f>
        <v/>
      </c>
      <c r="F256" s="11">
        <f t="array" ref="F256">IFERROR(INDEX(Milestones!$E:$E, MATCH($B256, Milestones!$B:$B, 0)), "")</f>
        <v/>
      </c>
      <c r="I256" s="11" t="n"/>
      <c r="J256" s="20" t="n"/>
      <c r="K256" s="11" t="n"/>
      <c r="L256" s="11">
        <f t="array" ref="L256">IF($K256="","", IFERROR(IFS($K256="Low", INDEX('Lookups - Complexity'!$C:$C, MATCH($B256, 'Lookups - Complexity'!$B:$B,0)), $K256="Medium", INDEX('Lookups - Complexity'!$D:$D, MATCH($B256, 'Lookups - Complexity'!$B:$B,0)), $K256="High", INDEX('Lookups - Complexity'!$E:$E, MATCH($B256, 'Lookups - Complexity'!$B:$B,0))), ""))</f>
        <v/>
      </c>
      <c r="M256" s="11">
        <f>IF($I256="FTE", Assumptions!$B$3, "")</f>
        <v/>
      </c>
      <c r="N256" s="11">
        <f t="array" ref="N256">IFERROR(INDEX(Milestones!$F:$F, MATCH($B256, Milestones!$B:$B, 0)), "")</f>
        <v/>
      </c>
      <c r="O256" s="11">
        <f t="array" ref="O256">IFERROR(INDEX(Milestones!$G:$G, MATCH($B256, Milestones!$B:$B, 0)), "")</f>
        <v/>
      </c>
      <c r="P256" s="11">
        <f t="array" ref="P256">IFERROR(INDEX('Lookups - Rates'!$D:$D, MATCH($G256&amp;"|"&amp;$H256, 'Lookups - Rates'!$Z:$Z, 0)), "")</f>
        <v/>
      </c>
      <c r="Q256" s="11">
        <f t="array" ref="Q256">IFERROR(INDEX('Lookups - Rates'!$E:$E, MATCH($G256&amp;"|"&amp;$H256, 'Lookups - Rates'!$Z:$Z, 0)), "")</f>
        <v/>
      </c>
      <c r="R256" s="11">
        <f>LET(ev,$J256, ch,$L256, hr,$P256, dr,$Q256, hpday,Assumptions!$B$2, hpw,Assumptions!$B$3, w,$M256, hrs, IF($I256="Hours", ev, IF($I256="Days", ev*IF(dr&gt;0, dr/hr, hpday), IF($I256="FTE", ev*hpw*w, ch))), IF(hrs="", "", hrs*hr))</f>
        <v/>
      </c>
      <c r="S256" s="13" t="n"/>
      <c r="T256" s="11">
        <f t="array" ref="T256">XLOOKUP(Scenario_Selected, INDEX(Scenario_Table,0,1), INDEX(Scenario_Table,0,2))</f>
        <v/>
      </c>
      <c r="U256" s="11">
        <f t="array" ref="U256">XLOOKUP(Scenario_Selected, INDEX(Scenario_Table,0,1), INDEX(Scenario_Table,0,3))</f>
        <v/>
      </c>
      <c r="V256" s="11">
        <f t="array" ref="V256">XLOOKUP(Scenario_Selected, INDEX(Scenario_Table,0,1), INDEX(Scenario_Table,0,4))</f>
        <v/>
      </c>
      <c r="W256" s="11">
        <f t="array" ref="W256">LET(ev,$J256, ch,$L256, et,$I256, dr,$Q256, hpday,Assumptions!$B$2, hpw,Assumptions!$B$3, w,$M256,hm,INDIRECT("R[0]C[0]",FALSE),hrs, IF(et="Hours", ev, IF(et="Days", ev*IF(dr&gt;0, dr/$P256, hpday), IF(et="FTE", ev*hpw*w, ch))), IF(hrs="", "", hrs*hm))</f>
        <v/>
      </c>
      <c r="X256" s="11">
        <f>IF($P256="","", $P256*INDIRECT("R[0]C[-3]",FALSE))</f>
        <v/>
      </c>
      <c r="Y256" s="11">
        <f>IF(INDIRECT("R[0]C[-1]",FALSE)="","", INDIRECT("R[0]C[-2]",FALSE)*INDIRECT("R[0]C[-1]",FALSE)*(1+INDIRECT("R[0]C[-3]",FALSE)))</f>
        <v/>
      </c>
      <c r="Z256" s="13" t="n"/>
    </row>
    <row r="257" ht="15.75" customHeight="1" s="74">
      <c r="A257" s="11" t="n">
        <v>257</v>
      </c>
      <c r="C257" s="11">
        <f t="array" ref="C257">IFERROR(INDEX(Milestones!$A:$A, MATCH($B257, Milestones!$B:$B, 0)), "")</f>
        <v/>
      </c>
      <c r="D257" s="11">
        <f t="array" ref="D257">IFERROR(INDEX(Milestones!$C:$C, MATCH($B257, Milestones!$B:$B, 0)), "")</f>
        <v/>
      </c>
      <c r="F257" s="11">
        <f t="array" ref="F257">IFERROR(INDEX(Milestones!$E:$E, MATCH($B257, Milestones!$B:$B, 0)), "")</f>
        <v/>
      </c>
      <c r="I257" s="11" t="n"/>
      <c r="J257" s="20" t="n"/>
      <c r="K257" s="11" t="n"/>
      <c r="L257" s="11">
        <f t="array" ref="L257">IF($K257="","", IFERROR(IFS($K257="Low", INDEX('Lookups - Complexity'!$C:$C, MATCH($B257, 'Lookups - Complexity'!$B:$B,0)), $K257="Medium", INDEX('Lookups - Complexity'!$D:$D, MATCH($B257, 'Lookups - Complexity'!$B:$B,0)), $K257="High", INDEX('Lookups - Complexity'!$E:$E, MATCH($B257, 'Lookups - Complexity'!$B:$B,0))), ""))</f>
        <v/>
      </c>
      <c r="M257" s="11">
        <f>IF($I257="FTE", Assumptions!$B$3, "")</f>
        <v/>
      </c>
      <c r="N257" s="11">
        <f t="array" ref="N257">IFERROR(INDEX(Milestones!$F:$F, MATCH($B257, Milestones!$B:$B, 0)), "")</f>
        <v/>
      </c>
      <c r="O257" s="11">
        <f t="array" ref="O257">IFERROR(INDEX(Milestones!$G:$G, MATCH($B257, Milestones!$B:$B, 0)), "")</f>
        <v/>
      </c>
      <c r="P257" s="11">
        <f t="array" ref="P257">IFERROR(INDEX('Lookups - Rates'!$D:$D, MATCH($G257&amp;"|"&amp;$H257, 'Lookups - Rates'!$Z:$Z, 0)), "")</f>
        <v/>
      </c>
      <c r="Q257" s="11">
        <f t="array" ref="Q257">IFERROR(INDEX('Lookups - Rates'!$E:$E, MATCH($G257&amp;"|"&amp;$H257, 'Lookups - Rates'!$Z:$Z, 0)), "")</f>
        <v/>
      </c>
      <c r="R257" s="11">
        <f>LET(ev,$J257, ch,$L257, hr,$P257, dr,$Q257, hpday,Assumptions!$B$2, hpw,Assumptions!$B$3, w,$M257, hrs, IF($I257="Hours", ev, IF($I257="Days", ev*IF(dr&gt;0, dr/hr, hpday), IF($I257="FTE", ev*hpw*w, ch))), IF(hrs="", "", hrs*hr))</f>
        <v/>
      </c>
      <c r="S257" s="13" t="n"/>
      <c r="T257" s="11">
        <f t="array" ref="T257">XLOOKUP(Scenario_Selected, INDEX(Scenario_Table,0,1), INDEX(Scenario_Table,0,2))</f>
        <v/>
      </c>
      <c r="U257" s="11">
        <f t="array" ref="U257">XLOOKUP(Scenario_Selected, INDEX(Scenario_Table,0,1), INDEX(Scenario_Table,0,3))</f>
        <v/>
      </c>
      <c r="V257" s="11">
        <f t="array" ref="V257">XLOOKUP(Scenario_Selected, INDEX(Scenario_Table,0,1), INDEX(Scenario_Table,0,4))</f>
        <v/>
      </c>
      <c r="W257" s="11">
        <f t="array" ref="W257">LET(ev,$J257, ch,$L257, et,$I257, dr,$Q257, hpday,Assumptions!$B$2, hpw,Assumptions!$B$3, w,$M257,hm,INDIRECT("R[0]C[0]",FALSE),hrs, IF(et="Hours", ev, IF(et="Days", ev*IF(dr&gt;0, dr/$P257, hpday), IF(et="FTE", ev*hpw*w, ch))), IF(hrs="", "", hrs*hm))</f>
        <v/>
      </c>
      <c r="X257" s="11">
        <f>IF($P257="","", $P257*INDIRECT("R[0]C[-3]",FALSE))</f>
        <v/>
      </c>
      <c r="Y257" s="11">
        <f>IF(INDIRECT("R[0]C[-1]",FALSE)="","", INDIRECT("R[0]C[-2]",FALSE)*INDIRECT("R[0]C[-1]",FALSE)*(1+INDIRECT("R[0]C[-3]",FALSE)))</f>
        <v/>
      </c>
      <c r="Z257" s="13" t="n"/>
    </row>
    <row r="258" ht="15.75" customHeight="1" s="74">
      <c r="A258" s="11" t="n">
        <v>258</v>
      </c>
      <c r="C258" s="11">
        <f t="array" ref="C258">IFERROR(INDEX(Milestones!$A:$A, MATCH($B258, Milestones!$B:$B, 0)), "")</f>
        <v/>
      </c>
      <c r="D258" s="11">
        <f t="array" ref="D258">IFERROR(INDEX(Milestones!$C:$C, MATCH($B258, Milestones!$B:$B, 0)), "")</f>
        <v/>
      </c>
      <c r="F258" s="11">
        <f t="array" ref="F258">IFERROR(INDEX(Milestones!$E:$E, MATCH($B258, Milestones!$B:$B, 0)), "")</f>
        <v/>
      </c>
      <c r="I258" s="11" t="n"/>
      <c r="J258" s="20" t="n"/>
      <c r="K258" s="11" t="n"/>
      <c r="L258" s="11">
        <f t="array" ref="L258">IF($K258="","", IFERROR(IFS($K258="Low", INDEX('Lookups - Complexity'!$C:$C, MATCH($B258, 'Lookups - Complexity'!$B:$B,0)), $K258="Medium", INDEX('Lookups - Complexity'!$D:$D, MATCH($B258, 'Lookups - Complexity'!$B:$B,0)), $K258="High", INDEX('Lookups - Complexity'!$E:$E, MATCH($B258, 'Lookups - Complexity'!$B:$B,0))), ""))</f>
        <v/>
      </c>
      <c r="M258" s="11">
        <f>IF($I258="FTE", Assumptions!$B$3, "")</f>
        <v/>
      </c>
      <c r="N258" s="11">
        <f t="array" ref="N258">IFERROR(INDEX(Milestones!$F:$F, MATCH($B258, Milestones!$B:$B, 0)), "")</f>
        <v/>
      </c>
      <c r="O258" s="11">
        <f t="array" ref="O258">IFERROR(INDEX(Milestones!$G:$G, MATCH($B258, Milestones!$B:$B, 0)), "")</f>
        <v/>
      </c>
      <c r="P258" s="11">
        <f t="array" ref="P258">IFERROR(INDEX('Lookups - Rates'!$D:$D, MATCH($G258&amp;"|"&amp;$H258, 'Lookups - Rates'!$Z:$Z, 0)), "")</f>
        <v/>
      </c>
      <c r="Q258" s="11">
        <f t="array" ref="Q258">IFERROR(INDEX('Lookups - Rates'!$E:$E, MATCH($G258&amp;"|"&amp;$H258, 'Lookups - Rates'!$Z:$Z, 0)), "")</f>
        <v/>
      </c>
      <c r="R258" s="11">
        <f>LET(ev,$J258, ch,$L258, hr,$P258, dr,$Q258, hpday,Assumptions!$B$2, hpw,Assumptions!$B$3, w,$M258, hrs, IF($I258="Hours", ev, IF($I258="Days", ev*IF(dr&gt;0, dr/hr, hpday), IF($I258="FTE", ev*hpw*w, ch))), IF(hrs="", "", hrs*hr))</f>
        <v/>
      </c>
      <c r="S258" s="13" t="n"/>
      <c r="T258" s="11">
        <f t="array" ref="T258">XLOOKUP(Scenario_Selected, INDEX(Scenario_Table,0,1), INDEX(Scenario_Table,0,2))</f>
        <v/>
      </c>
      <c r="U258" s="11">
        <f t="array" ref="U258">XLOOKUP(Scenario_Selected, INDEX(Scenario_Table,0,1), INDEX(Scenario_Table,0,3))</f>
        <v/>
      </c>
      <c r="V258" s="11">
        <f t="array" ref="V258">XLOOKUP(Scenario_Selected, INDEX(Scenario_Table,0,1), INDEX(Scenario_Table,0,4))</f>
        <v/>
      </c>
      <c r="W258" s="11">
        <f t="array" ref="W258">LET(ev,$J258, ch,$L258, et,$I258, dr,$Q258, hpday,Assumptions!$B$2, hpw,Assumptions!$B$3, w,$M258,hm,INDIRECT("R[0]C[0]",FALSE),hrs, IF(et="Hours", ev, IF(et="Days", ev*IF(dr&gt;0, dr/$P258, hpday), IF(et="FTE", ev*hpw*w, ch))), IF(hrs="", "", hrs*hm))</f>
        <v/>
      </c>
      <c r="X258" s="11">
        <f>IF($P258="","", $P258*INDIRECT("R[0]C[-3]",FALSE))</f>
        <v/>
      </c>
      <c r="Y258" s="11">
        <f>IF(INDIRECT("R[0]C[-1]",FALSE)="","", INDIRECT("R[0]C[-2]",FALSE)*INDIRECT("R[0]C[-1]",FALSE)*(1+INDIRECT("R[0]C[-3]",FALSE)))</f>
        <v/>
      </c>
      <c r="Z258" s="13" t="n"/>
    </row>
    <row r="259" ht="15.75" customHeight="1" s="74">
      <c r="A259" s="11" t="n">
        <v>259</v>
      </c>
      <c r="C259" s="11">
        <f t="array" ref="C259">IFERROR(INDEX(Milestones!$A:$A, MATCH($B259, Milestones!$B:$B, 0)), "")</f>
        <v/>
      </c>
      <c r="D259" s="11">
        <f t="array" ref="D259">IFERROR(INDEX(Milestones!$C:$C, MATCH($B259, Milestones!$B:$B, 0)), "")</f>
        <v/>
      </c>
      <c r="F259" s="11">
        <f t="array" ref="F259">IFERROR(INDEX(Milestones!$E:$E, MATCH($B259, Milestones!$B:$B, 0)), "")</f>
        <v/>
      </c>
      <c r="I259" s="11" t="n"/>
      <c r="J259" s="20" t="n"/>
      <c r="K259" s="11" t="n"/>
      <c r="L259" s="11">
        <f t="array" ref="L259">IF($K259="","", IFERROR(IFS($K259="Low", INDEX('Lookups - Complexity'!$C:$C, MATCH($B259, 'Lookups - Complexity'!$B:$B,0)), $K259="Medium", INDEX('Lookups - Complexity'!$D:$D, MATCH($B259, 'Lookups - Complexity'!$B:$B,0)), $K259="High", INDEX('Lookups - Complexity'!$E:$E, MATCH($B259, 'Lookups - Complexity'!$B:$B,0))), ""))</f>
        <v/>
      </c>
      <c r="M259" s="11">
        <f>IF($I259="FTE", Assumptions!$B$3, "")</f>
        <v/>
      </c>
      <c r="N259" s="11">
        <f t="array" ref="N259">IFERROR(INDEX(Milestones!$F:$F, MATCH($B259, Milestones!$B:$B, 0)), "")</f>
        <v/>
      </c>
      <c r="O259" s="11">
        <f t="array" ref="O259">IFERROR(INDEX(Milestones!$G:$G, MATCH($B259, Milestones!$B:$B, 0)), "")</f>
        <v/>
      </c>
      <c r="P259" s="11">
        <f t="array" ref="P259">IFERROR(INDEX('Lookups - Rates'!$D:$D, MATCH($G259&amp;"|"&amp;$H259, 'Lookups - Rates'!$Z:$Z, 0)), "")</f>
        <v/>
      </c>
      <c r="Q259" s="11">
        <f t="array" ref="Q259">IFERROR(INDEX('Lookups - Rates'!$E:$E, MATCH($G259&amp;"|"&amp;$H259, 'Lookups - Rates'!$Z:$Z, 0)), "")</f>
        <v/>
      </c>
      <c r="R259" s="11">
        <f>LET(ev,$J259, ch,$L259, hr,$P259, dr,$Q259, hpday,Assumptions!$B$2, hpw,Assumptions!$B$3, w,$M259, hrs, IF($I259="Hours", ev, IF($I259="Days", ev*IF(dr&gt;0, dr/hr, hpday), IF($I259="FTE", ev*hpw*w, ch))), IF(hrs="", "", hrs*hr))</f>
        <v/>
      </c>
      <c r="S259" s="13" t="n"/>
      <c r="T259" s="11">
        <f t="array" ref="T259">XLOOKUP(Scenario_Selected, INDEX(Scenario_Table,0,1), INDEX(Scenario_Table,0,2))</f>
        <v/>
      </c>
      <c r="U259" s="11">
        <f t="array" ref="U259">XLOOKUP(Scenario_Selected, INDEX(Scenario_Table,0,1), INDEX(Scenario_Table,0,3))</f>
        <v/>
      </c>
      <c r="V259" s="11">
        <f t="array" ref="V259">XLOOKUP(Scenario_Selected, INDEX(Scenario_Table,0,1), INDEX(Scenario_Table,0,4))</f>
        <v/>
      </c>
      <c r="W259" s="11">
        <f t="array" ref="W259">LET(ev,$J259, ch,$L259, et,$I259, dr,$Q259, hpday,Assumptions!$B$2, hpw,Assumptions!$B$3, w,$M259,hm,INDIRECT("R[0]C[0]",FALSE),hrs, IF(et="Hours", ev, IF(et="Days", ev*IF(dr&gt;0, dr/$P259, hpday), IF(et="FTE", ev*hpw*w, ch))), IF(hrs="", "", hrs*hm))</f>
        <v/>
      </c>
      <c r="X259" s="11">
        <f>IF($P259="","", $P259*INDIRECT("R[0]C[-3]",FALSE))</f>
        <v/>
      </c>
      <c r="Y259" s="11">
        <f>IF(INDIRECT("R[0]C[-1]",FALSE)="","", INDIRECT("R[0]C[-2]",FALSE)*INDIRECT("R[0]C[-1]",FALSE)*(1+INDIRECT("R[0]C[-3]",FALSE)))</f>
        <v/>
      </c>
      <c r="Z259" s="13" t="n"/>
    </row>
    <row r="260" ht="15.75" customHeight="1" s="74">
      <c r="A260" s="11" t="n">
        <v>260</v>
      </c>
      <c r="C260" s="11">
        <f t="array" ref="C260">IFERROR(INDEX(Milestones!$A:$A, MATCH($B260, Milestones!$B:$B, 0)), "")</f>
        <v/>
      </c>
      <c r="D260" s="11">
        <f t="array" ref="D260">IFERROR(INDEX(Milestones!$C:$C, MATCH($B260, Milestones!$B:$B, 0)), "")</f>
        <v/>
      </c>
      <c r="F260" s="11">
        <f t="array" ref="F260">IFERROR(INDEX(Milestones!$E:$E, MATCH($B260, Milestones!$B:$B, 0)), "")</f>
        <v/>
      </c>
      <c r="I260" s="11" t="n"/>
      <c r="J260" s="20" t="n"/>
      <c r="K260" s="11" t="n"/>
      <c r="L260" s="11">
        <f t="array" ref="L260">IF($K260="","", IFERROR(IFS($K260="Low", INDEX('Lookups - Complexity'!$C:$C, MATCH($B260, 'Lookups - Complexity'!$B:$B,0)), $K260="Medium", INDEX('Lookups - Complexity'!$D:$D, MATCH($B260, 'Lookups - Complexity'!$B:$B,0)), $K260="High", INDEX('Lookups - Complexity'!$E:$E, MATCH($B260, 'Lookups - Complexity'!$B:$B,0))), ""))</f>
        <v/>
      </c>
      <c r="M260" s="11">
        <f>IF($I260="FTE", Assumptions!$B$3, "")</f>
        <v/>
      </c>
      <c r="N260" s="11">
        <f t="array" ref="N260">IFERROR(INDEX(Milestones!$F:$F, MATCH($B260, Milestones!$B:$B, 0)), "")</f>
        <v/>
      </c>
      <c r="O260" s="11">
        <f t="array" ref="O260">IFERROR(INDEX(Milestones!$G:$G, MATCH($B260, Milestones!$B:$B, 0)), "")</f>
        <v/>
      </c>
      <c r="P260" s="11">
        <f t="array" ref="P260">IFERROR(INDEX('Lookups - Rates'!$D:$D, MATCH($G260&amp;"|"&amp;$H260, 'Lookups - Rates'!$Z:$Z, 0)), "")</f>
        <v/>
      </c>
      <c r="Q260" s="11">
        <f t="array" ref="Q260">IFERROR(INDEX('Lookups - Rates'!$E:$E, MATCH($G260&amp;"|"&amp;$H260, 'Lookups - Rates'!$Z:$Z, 0)), "")</f>
        <v/>
      </c>
      <c r="R260" s="11">
        <f>LET(ev,$J260, ch,$L260, hr,$P260, dr,$Q260, hpday,Assumptions!$B$2, hpw,Assumptions!$B$3, w,$M260, hrs, IF($I260="Hours", ev, IF($I260="Days", ev*IF(dr&gt;0, dr/hr, hpday), IF($I260="FTE", ev*hpw*w, ch))), IF(hrs="", "", hrs*hr))</f>
        <v/>
      </c>
      <c r="S260" s="13" t="n"/>
      <c r="T260" s="11">
        <f t="array" ref="T260">XLOOKUP(Scenario_Selected, INDEX(Scenario_Table,0,1), INDEX(Scenario_Table,0,2))</f>
        <v/>
      </c>
      <c r="U260" s="11">
        <f t="array" ref="U260">XLOOKUP(Scenario_Selected, INDEX(Scenario_Table,0,1), INDEX(Scenario_Table,0,3))</f>
        <v/>
      </c>
      <c r="V260" s="11">
        <f t="array" ref="V260">XLOOKUP(Scenario_Selected, INDEX(Scenario_Table,0,1), INDEX(Scenario_Table,0,4))</f>
        <v/>
      </c>
      <c r="W260" s="11">
        <f t="array" ref="W260">LET(ev,$J260, ch,$L260, et,$I260, dr,$Q260, hpday,Assumptions!$B$2, hpw,Assumptions!$B$3, w,$M260,hm,INDIRECT("R[0]C[0]",FALSE),hrs, IF(et="Hours", ev, IF(et="Days", ev*IF(dr&gt;0, dr/$P260, hpday), IF(et="FTE", ev*hpw*w, ch))), IF(hrs="", "", hrs*hm))</f>
        <v/>
      </c>
      <c r="X260" s="11">
        <f>IF($P260="","", $P260*INDIRECT("R[0]C[-3]",FALSE))</f>
        <v/>
      </c>
      <c r="Y260" s="11">
        <f>IF(INDIRECT("R[0]C[-1]",FALSE)="","", INDIRECT("R[0]C[-2]",FALSE)*INDIRECT("R[0]C[-1]",FALSE)*(1+INDIRECT("R[0]C[-3]",FALSE)))</f>
        <v/>
      </c>
      <c r="Z260" s="13" t="n"/>
    </row>
    <row r="261" ht="15.75" customHeight="1" s="74">
      <c r="A261" s="11" t="n">
        <v>261</v>
      </c>
      <c r="C261" s="11">
        <f t="array" ref="C261">IFERROR(INDEX(Milestones!$A:$A, MATCH($B261, Milestones!$B:$B, 0)), "")</f>
        <v/>
      </c>
      <c r="D261" s="11">
        <f t="array" ref="D261">IFERROR(INDEX(Milestones!$C:$C, MATCH($B261, Milestones!$B:$B, 0)), "")</f>
        <v/>
      </c>
      <c r="F261" s="11">
        <f t="array" ref="F261">IFERROR(INDEX(Milestones!$E:$E, MATCH($B261, Milestones!$B:$B, 0)), "")</f>
        <v/>
      </c>
      <c r="I261" s="11" t="n"/>
      <c r="J261" s="20" t="n"/>
      <c r="K261" s="11" t="n"/>
      <c r="L261" s="11">
        <f t="array" ref="L261">IF($K261="","", IFERROR(IFS($K261="Low", INDEX('Lookups - Complexity'!$C:$C, MATCH($B261, 'Lookups - Complexity'!$B:$B,0)), $K261="Medium", INDEX('Lookups - Complexity'!$D:$D, MATCH($B261, 'Lookups - Complexity'!$B:$B,0)), $K261="High", INDEX('Lookups - Complexity'!$E:$E, MATCH($B261, 'Lookups - Complexity'!$B:$B,0))), ""))</f>
        <v/>
      </c>
      <c r="M261" s="11">
        <f>IF($I261="FTE", Assumptions!$B$3, "")</f>
        <v/>
      </c>
      <c r="N261" s="11">
        <f t="array" ref="N261">IFERROR(INDEX(Milestones!$F:$F, MATCH($B261, Milestones!$B:$B, 0)), "")</f>
        <v/>
      </c>
      <c r="O261" s="11">
        <f t="array" ref="O261">IFERROR(INDEX(Milestones!$G:$G, MATCH($B261, Milestones!$B:$B, 0)), "")</f>
        <v/>
      </c>
      <c r="P261" s="11">
        <f t="array" ref="P261">IFERROR(INDEX('Lookups - Rates'!$D:$D, MATCH($G261&amp;"|"&amp;$H261, 'Lookups - Rates'!$Z:$Z, 0)), "")</f>
        <v/>
      </c>
      <c r="Q261" s="11">
        <f t="array" ref="Q261">IFERROR(INDEX('Lookups - Rates'!$E:$E, MATCH($G261&amp;"|"&amp;$H261, 'Lookups - Rates'!$Z:$Z, 0)), "")</f>
        <v/>
      </c>
      <c r="R261" s="11">
        <f>LET(ev,$J261, ch,$L261, hr,$P261, dr,$Q261, hpday,Assumptions!$B$2, hpw,Assumptions!$B$3, w,$M261, hrs, IF($I261="Hours", ev, IF($I261="Days", ev*IF(dr&gt;0, dr/hr, hpday), IF($I261="FTE", ev*hpw*w, ch))), IF(hrs="", "", hrs*hr))</f>
        <v/>
      </c>
      <c r="S261" s="13" t="n"/>
      <c r="T261" s="11">
        <f t="array" ref="T261">XLOOKUP(Scenario_Selected, INDEX(Scenario_Table,0,1), INDEX(Scenario_Table,0,2))</f>
        <v/>
      </c>
      <c r="U261" s="11">
        <f t="array" ref="U261">XLOOKUP(Scenario_Selected, INDEX(Scenario_Table,0,1), INDEX(Scenario_Table,0,3))</f>
        <v/>
      </c>
      <c r="V261" s="11">
        <f t="array" ref="V261">XLOOKUP(Scenario_Selected, INDEX(Scenario_Table,0,1), INDEX(Scenario_Table,0,4))</f>
        <v/>
      </c>
      <c r="W261" s="11">
        <f t="array" ref="W261">LET(ev,$J261, ch,$L261, et,$I261, dr,$Q261, hpday,Assumptions!$B$2, hpw,Assumptions!$B$3, w,$M261,hm,INDIRECT("R[0]C[0]",FALSE),hrs, IF(et="Hours", ev, IF(et="Days", ev*IF(dr&gt;0, dr/$P261, hpday), IF(et="FTE", ev*hpw*w, ch))), IF(hrs="", "", hrs*hm))</f>
        <v/>
      </c>
      <c r="X261" s="11">
        <f>IF($P261="","", $P261*INDIRECT("R[0]C[-3]",FALSE))</f>
        <v/>
      </c>
      <c r="Y261" s="11">
        <f>IF(INDIRECT("R[0]C[-1]",FALSE)="","", INDIRECT("R[0]C[-2]",FALSE)*INDIRECT("R[0]C[-1]",FALSE)*(1+INDIRECT("R[0]C[-3]",FALSE)))</f>
        <v/>
      </c>
      <c r="Z261" s="13" t="n"/>
    </row>
    <row r="262" ht="15.75" customHeight="1" s="74">
      <c r="A262" s="11" t="n">
        <v>262</v>
      </c>
      <c r="C262" s="11">
        <f t="array" ref="C262">IFERROR(INDEX(Milestones!$A:$A, MATCH($B262, Milestones!$B:$B, 0)), "")</f>
        <v/>
      </c>
      <c r="D262" s="11">
        <f t="array" ref="D262">IFERROR(INDEX(Milestones!$C:$C, MATCH($B262, Milestones!$B:$B, 0)), "")</f>
        <v/>
      </c>
      <c r="F262" s="11">
        <f t="array" ref="F262">IFERROR(INDEX(Milestones!$E:$E, MATCH($B262, Milestones!$B:$B, 0)), "")</f>
        <v/>
      </c>
      <c r="I262" s="11" t="n"/>
      <c r="J262" s="20" t="n"/>
      <c r="K262" s="11" t="n"/>
      <c r="L262" s="11">
        <f t="array" ref="L262">IF($K262="","", IFERROR(IFS($K262="Low", INDEX('Lookups - Complexity'!$C:$C, MATCH($B262, 'Lookups - Complexity'!$B:$B,0)), $K262="Medium", INDEX('Lookups - Complexity'!$D:$D, MATCH($B262, 'Lookups - Complexity'!$B:$B,0)), $K262="High", INDEX('Lookups - Complexity'!$E:$E, MATCH($B262, 'Lookups - Complexity'!$B:$B,0))), ""))</f>
        <v/>
      </c>
      <c r="M262" s="11">
        <f>IF($I262="FTE", Assumptions!$B$3, "")</f>
        <v/>
      </c>
      <c r="N262" s="11">
        <f t="array" ref="N262">IFERROR(INDEX(Milestones!$F:$F, MATCH($B262, Milestones!$B:$B, 0)), "")</f>
        <v/>
      </c>
      <c r="O262" s="11">
        <f t="array" ref="O262">IFERROR(INDEX(Milestones!$G:$G, MATCH($B262, Milestones!$B:$B, 0)), "")</f>
        <v/>
      </c>
      <c r="P262" s="11">
        <f t="array" ref="P262">IFERROR(INDEX('Lookups - Rates'!$D:$D, MATCH($G262&amp;"|"&amp;$H262, 'Lookups - Rates'!$Z:$Z, 0)), "")</f>
        <v/>
      </c>
      <c r="Q262" s="11">
        <f t="array" ref="Q262">IFERROR(INDEX('Lookups - Rates'!$E:$E, MATCH($G262&amp;"|"&amp;$H262, 'Lookups - Rates'!$Z:$Z, 0)), "")</f>
        <v/>
      </c>
      <c r="R262" s="11">
        <f>LET(ev,$J262, ch,$L262, hr,$P262, dr,$Q262, hpday,Assumptions!$B$2, hpw,Assumptions!$B$3, w,$M262, hrs, IF($I262="Hours", ev, IF($I262="Days", ev*IF(dr&gt;0, dr/hr, hpday), IF($I262="FTE", ev*hpw*w, ch))), IF(hrs="", "", hrs*hr))</f>
        <v/>
      </c>
      <c r="S262" s="13" t="n"/>
      <c r="T262" s="11">
        <f t="array" ref="T262">XLOOKUP(Scenario_Selected, INDEX(Scenario_Table,0,1), INDEX(Scenario_Table,0,2))</f>
        <v/>
      </c>
      <c r="U262" s="11">
        <f t="array" ref="U262">XLOOKUP(Scenario_Selected, INDEX(Scenario_Table,0,1), INDEX(Scenario_Table,0,3))</f>
        <v/>
      </c>
      <c r="V262" s="11">
        <f t="array" ref="V262">XLOOKUP(Scenario_Selected, INDEX(Scenario_Table,0,1), INDEX(Scenario_Table,0,4))</f>
        <v/>
      </c>
      <c r="W262" s="11">
        <f t="array" ref="W262">LET(ev,$J262, ch,$L262, et,$I262, dr,$Q262, hpday,Assumptions!$B$2, hpw,Assumptions!$B$3, w,$M262,hm,INDIRECT("R[0]C[0]",FALSE),hrs, IF(et="Hours", ev, IF(et="Days", ev*IF(dr&gt;0, dr/$P262, hpday), IF(et="FTE", ev*hpw*w, ch))), IF(hrs="", "", hrs*hm))</f>
        <v/>
      </c>
      <c r="X262" s="11">
        <f>IF($P262="","", $P262*INDIRECT("R[0]C[-3]",FALSE))</f>
        <v/>
      </c>
      <c r="Y262" s="11">
        <f>IF(INDIRECT("R[0]C[-1]",FALSE)="","", INDIRECT("R[0]C[-2]",FALSE)*INDIRECT("R[0]C[-1]",FALSE)*(1+INDIRECT("R[0]C[-3]",FALSE)))</f>
        <v/>
      </c>
      <c r="Z262" s="13" t="n"/>
    </row>
    <row r="263" ht="15.75" customHeight="1" s="74">
      <c r="A263" s="11" t="n">
        <v>263</v>
      </c>
      <c r="C263" s="11">
        <f t="array" ref="C263">IFERROR(INDEX(Milestones!$A:$A, MATCH($B263, Milestones!$B:$B, 0)), "")</f>
        <v/>
      </c>
      <c r="D263" s="11">
        <f t="array" ref="D263">IFERROR(INDEX(Milestones!$C:$C, MATCH($B263, Milestones!$B:$B, 0)), "")</f>
        <v/>
      </c>
      <c r="F263" s="11">
        <f t="array" ref="F263">IFERROR(INDEX(Milestones!$E:$E, MATCH($B263, Milestones!$B:$B, 0)), "")</f>
        <v/>
      </c>
      <c r="I263" s="11" t="n"/>
      <c r="J263" s="20" t="n"/>
      <c r="K263" s="11" t="n"/>
      <c r="L263" s="11">
        <f t="array" ref="L263">IF($K263="","", IFERROR(IFS($K263="Low", INDEX('Lookups - Complexity'!$C:$C, MATCH($B263, 'Lookups - Complexity'!$B:$B,0)), $K263="Medium", INDEX('Lookups - Complexity'!$D:$D, MATCH($B263, 'Lookups - Complexity'!$B:$B,0)), $K263="High", INDEX('Lookups - Complexity'!$E:$E, MATCH($B263, 'Lookups - Complexity'!$B:$B,0))), ""))</f>
        <v/>
      </c>
      <c r="M263" s="11">
        <f>IF($I263="FTE", Assumptions!$B$3, "")</f>
        <v/>
      </c>
      <c r="N263" s="11">
        <f t="array" ref="N263">IFERROR(INDEX(Milestones!$F:$F, MATCH($B263, Milestones!$B:$B, 0)), "")</f>
        <v/>
      </c>
      <c r="O263" s="11">
        <f t="array" ref="O263">IFERROR(INDEX(Milestones!$G:$G, MATCH($B263, Milestones!$B:$B, 0)), "")</f>
        <v/>
      </c>
      <c r="P263" s="11">
        <f t="array" ref="P263">IFERROR(INDEX('Lookups - Rates'!$D:$D, MATCH($G263&amp;"|"&amp;$H263, 'Lookups - Rates'!$Z:$Z, 0)), "")</f>
        <v/>
      </c>
      <c r="Q263" s="11">
        <f t="array" ref="Q263">IFERROR(INDEX('Lookups - Rates'!$E:$E, MATCH($G263&amp;"|"&amp;$H263, 'Lookups - Rates'!$Z:$Z, 0)), "")</f>
        <v/>
      </c>
      <c r="R263" s="11">
        <f>LET(ev,$J263, ch,$L263, hr,$P263, dr,$Q263, hpday,Assumptions!$B$2, hpw,Assumptions!$B$3, w,$M263, hrs, IF($I263="Hours", ev, IF($I263="Days", ev*IF(dr&gt;0, dr/hr, hpday), IF($I263="FTE", ev*hpw*w, ch))), IF(hrs="", "", hrs*hr))</f>
        <v/>
      </c>
      <c r="S263" s="13" t="n"/>
      <c r="T263" s="11">
        <f t="array" ref="T263">XLOOKUP(Scenario_Selected, INDEX(Scenario_Table,0,1), INDEX(Scenario_Table,0,2))</f>
        <v/>
      </c>
      <c r="U263" s="11">
        <f t="array" ref="U263">XLOOKUP(Scenario_Selected, INDEX(Scenario_Table,0,1), INDEX(Scenario_Table,0,3))</f>
        <v/>
      </c>
      <c r="V263" s="11">
        <f t="array" ref="V263">XLOOKUP(Scenario_Selected, INDEX(Scenario_Table,0,1), INDEX(Scenario_Table,0,4))</f>
        <v/>
      </c>
      <c r="W263" s="11">
        <f t="array" ref="W263">LET(ev,$J263, ch,$L263, et,$I263, dr,$Q263, hpday,Assumptions!$B$2, hpw,Assumptions!$B$3, w,$M263,hm,INDIRECT("R[0]C[0]",FALSE),hrs, IF(et="Hours", ev, IF(et="Days", ev*IF(dr&gt;0, dr/$P263, hpday), IF(et="FTE", ev*hpw*w, ch))), IF(hrs="", "", hrs*hm))</f>
        <v/>
      </c>
      <c r="X263" s="11">
        <f>IF($P263="","", $P263*INDIRECT("R[0]C[-3]",FALSE))</f>
        <v/>
      </c>
      <c r="Y263" s="11">
        <f>IF(INDIRECT("R[0]C[-1]",FALSE)="","", INDIRECT("R[0]C[-2]",FALSE)*INDIRECT("R[0]C[-1]",FALSE)*(1+INDIRECT("R[0]C[-3]",FALSE)))</f>
        <v/>
      </c>
      <c r="Z263" s="13" t="n"/>
    </row>
    <row r="264" ht="15.75" customHeight="1" s="74">
      <c r="A264" s="11" t="n">
        <v>264</v>
      </c>
      <c r="C264" s="11">
        <f t="array" ref="C264">IFERROR(INDEX(Milestones!$A:$A, MATCH($B264, Milestones!$B:$B, 0)), "")</f>
        <v/>
      </c>
      <c r="D264" s="11">
        <f t="array" ref="D264">IFERROR(INDEX(Milestones!$C:$C, MATCH($B264, Milestones!$B:$B, 0)), "")</f>
        <v/>
      </c>
      <c r="F264" s="11">
        <f t="array" ref="F264">IFERROR(INDEX(Milestones!$E:$E, MATCH($B264, Milestones!$B:$B, 0)), "")</f>
        <v/>
      </c>
      <c r="I264" s="11" t="n"/>
      <c r="J264" s="20" t="n"/>
      <c r="K264" s="11" t="n"/>
      <c r="L264" s="11">
        <f t="array" ref="L264">IF($K264="","", IFERROR(IFS($K264="Low", INDEX('Lookups - Complexity'!$C:$C, MATCH($B264, 'Lookups - Complexity'!$B:$B,0)), $K264="Medium", INDEX('Lookups - Complexity'!$D:$D, MATCH($B264, 'Lookups - Complexity'!$B:$B,0)), $K264="High", INDEX('Lookups - Complexity'!$E:$E, MATCH($B264, 'Lookups - Complexity'!$B:$B,0))), ""))</f>
        <v/>
      </c>
      <c r="M264" s="11">
        <f>IF($I264="FTE", Assumptions!$B$3, "")</f>
        <v/>
      </c>
      <c r="N264" s="11">
        <f t="array" ref="N264">IFERROR(INDEX(Milestones!$F:$F, MATCH($B264, Milestones!$B:$B, 0)), "")</f>
        <v/>
      </c>
      <c r="O264" s="11">
        <f t="array" ref="O264">IFERROR(INDEX(Milestones!$G:$G, MATCH($B264, Milestones!$B:$B, 0)), "")</f>
        <v/>
      </c>
      <c r="P264" s="11">
        <f t="array" ref="P264">IFERROR(INDEX('Lookups - Rates'!$D:$D, MATCH($G264&amp;"|"&amp;$H264, 'Lookups - Rates'!$Z:$Z, 0)), "")</f>
        <v/>
      </c>
      <c r="Q264" s="11">
        <f t="array" ref="Q264">IFERROR(INDEX('Lookups - Rates'!$E:$E, MATCH($G264&amp;"|"&amp;$H264, 'Lookups - Rates'!$Z:$Z, 0)), "")</f>
        <v/>
      </c>
      <c r="R264" s="11">
        <f>LET(ev,$J264, ch,$L264, hr,$P264, dr,$Q264, hpday,Assumptions!$B$2, hpw,Assumptions!$B$3, w,$M264, hrs, IF($I264="Hours", ev, IF($I264="Days", ev*IF(dr&gt;0, dr/hr, hpday), IF($I264="FTE", ev*hpw*w, ch))), IF(hrs="", "", hrs*hr))</f>
        <v/>
      </c>
      <c r="S264" s="13" t="n"/>
      <c r="T264" s="11">
        <f t="array" ref="T264">XLOOKUP(Scenario_Selected, INDEX(Scenario_Table,0,1), INDEX(Scenario_Table,0,2))</f>
        <v/>
      </c>
      <c r="U264" s="11">
        <f t="array" ref="U264">XLOOKUP(Scenario_Selected, INDEX(Scenario_Table,0,1), INDEX(Scenario_Table,0,3))</f>
        <v/>
      </c>
      <c r="V264" s="11">
        <f t="array" ref="V264">XLOOKUP(Scenario_Selected, INDEX(Scenario_Table,0,1), INDEX(Scenario_Table,0,4))</f>
        <v/>
      </c>
      <c r="W264" s="11">
        <f t="array" ref="W264">LET(ev,$J264, ch,$L264, et,$I264, dr,$Q264, hpday,Assumptions!$B$2, hpw,Assumptions!$B$3, w,$M264,hm,INDIRECT("R[0]C[0]",FALSE),hrs, IF(et="Hours", ev, IF(et="Days", ev*IF(dr&gt;0, dr/$P264, hpday), IF(et="FTE", ev*hpw*w, ch))), IF(hrs="", "", hrs*hm))</f>
        <v/>
      </c>
      <c r="X264" s="11">
        <f>IF($P264="","", $P264*INDIRECT("R[0]C[-3]",FALSE))</f>
        <v/>
      </c>
      <c r="Y264" s="11">
        <f>IF(INDIRECT("R[0]C[-1]",FALSE)="","", INDIRECT("R[0]C[-2]",FALSE)*INDIRECT("R[0]C[-1]",FALSE)*(1+INDIRECT("R[0]C[-3]",FALSE)))</f>
        <v/>
      </c>
      <c r="Z264" s="13" t="n"/>
    </row>
    <row r="265" ht="15.75" customHeight="1" s="74">
      <c r="A265" s="11" t="n">
        <v>265</v>
      </c>
      <c r="C265" s="11">
        <f t="array" ref="C265">IFERROR(INDEX(Milestones!$A:$A, MATCH($B265, Milestones!$B:$B, 0)), "")</f>
        <v/>
      </c>
      <c r="D265" s="11">
        <f t="array" ref="D265">IFERROR(INDEX(Milestones!$C:$C, MATCH($B265, Milestones!$B:$B, 0)), "")</f>
        <v/>
      </c>
      <c r="F265" s="11">
        <f t="array" ref="F265">IFERROR(INDEX(Milestones!$E:$E, MATCH($B265, Milestones!$B:$B, 0)), "")</f>
        <v/>
      </c>
      <c r="I265" s="11" t="n"/>
      <c r="J265" s="20" t="n"/>
      <c r="K265" s="11" t="n"/>
      <c r="L265" s="11">
        <f t="array" ref="L265">IF($K265="","", IFERROR(IFS($K265="Low", INDEX('Lookups - Complexity'!$C:$C, MATCH($B265, 'Lookups - Complexity'!$B:$B,0)), $K265="Medium", INDEX('Lookups - Complexity'!$D:$D, MATCH($B265, 'Lookups - Complexity'!$B:$B,0)), $K265="High", INDEX('Lookups - Complexity'!$E:$E, MATCH($B265, 'Lookups - Complexity'!$B:$B,0))), ""))</f>
        <v/>
      </c>
      <c r="M265" s="11">
        <f>IF($I265="FTE", Assumptions!$B$3, "")</f>
        <v/>
      </c>
      <c r="N265" s="11">
        <f t="array" ref="N265">IFERROR(INDEX(Milestones!$F:$F, MATCH($B265, Milestones!$B:$B, 0)), "")</f>
        <v/>
      </c>
      <c r="O265" s="11">
        <f t="array" ref="O265">IFERROR(INDEX(Milestones!$G:$G, MATCH($B265, Milestones!$B:$B, 0)), "")</f>
        <v/>
      </c>
      <c r="P265" s="11">
        <f t="array" ref="P265">IFERROR(INDEX('Lookups - Rates'!$D:$D, MATCH($G265&amp;"|"&amp;$H265, 'Lookups - Rates'!$Z:$Z, 0)), "")</f>
        <v/>
      </c>
      <c r="Q265" s="11">
        <f t="array" ref="Q265">IFERROR(INDEX('Lookups - Rates'!$E:$E, MATCH($G265&amp;"|"&amp;$H265, 'Lookups - Rates'!$Z:$Z, 0)), "")</f>
        <v/>
      </c>
      <c r="R265" s="11">
        <f>LET(ev,$J265, ch,$L265, hr,$P265, dr,$Q265, hpday,Assumptions!$B$2, hpw,Assumptions!$B$3, w,$M265, hrs, IF($I265="Hours", ev, IF($I265="Days", ev*IF(dr&gt;0, dr/hr, hpday), IF($I265="FTE", ev*hpw*w, ch))), IF(hrs="", "", hrs*hr))</f>
        <v/>
      </c>
      <c r="S265" s="13" t="n"/>
      <c r="T265" s="11">
        <f t="array" ref="T265">XLOOKUP(Scenario_Selected, INDEX(Scenario_Table,0,1), INDEX(Scenario_Table,0,2))</f>
        <v/>
      </c>
      <c r="U265" s="11">
        <f t="array" ref="U265">XLOOKUP(Scenario_Selected, INDEX(Scenario_Table,0,1), INDEX(Scenario_Table,0,3))</f>
        <v/>
      </c>
      <c r="V265" s="11">
        <f t="array" ref="V265">XLOOKUP(Scenario_Selected, INDEX(Scenario_Table,0,1), INDEX(Scenario_Table,0,4))</f>
        <v/>
      </c>
      <c r="W265" s="11">
        <f t="array" ref="W265">LET(ev,$J265, ch,$L265, et,$I265, dr,$Q265, hpday,Assumptions!$B$2, hpw,Assumptions!$B$3, w,$M265,hm,INDIRECT("R[0]C[0]",FALSE),hrs, IF(et="Hours", ev, IF(et="Days", ev*IF(dr&gt;0, dr/$P265, hpday), IF(et="FTE", ev*hpw*w, ch))), IF(hrs="", "", hrs*hm))</f>
        <v/>
      </c>
      <c r="X265" s="11">
        <f>IF($P265="","", $P265*INDIRECT("R[0]C[-3]",FALSE))</f>
        <v/>
      </c>
      <c r="Y265" s="11">
        <f>IF(INDIRECT("R[0]C[-1]",FALSE)="","", INDIRECT("R[0]C[-2]",FALSE)*INDIRECT("R[0]C[-1]",FALSE)*(1+INDIRECT("R[0]C[-3]",FALSE)))</f>
        <v/>
      </c>
      <c r="Z265" s="13" t="n"/>
    </row>
    <row r="266" ht="15.75" customHeight="1" s="74">
      <c r="A266" s="11" t="n">
        <v>266</v>
      </c>
      <c r="C266" s="11">
        <f t="array" ref="C266">IFERROR(INDEX(Milestones!$A:$A, MATCH($B266, Milestones!$B:$B, 0)), "")</f>
        <v/>
      </c>
      <c r="D266" s="11">
        <f t="array" ref="D266">IFERROR(INDEX(Milestones!$C:$C, MATCH($B266, Milestones!$B:$B, 0)), "")</f>
        <v/>
      </c>
      <c r="F266" s="11">
        <f t="array" ref="F266">IFERROR(INDEX(Milestones!$E:$E, MATCH($B266, Milestones!$B:$B, 0)), "")</f>
        <v/>
      </c>
      <c r="I266" s="11" t="n"/>
      <c r="J266" s="20" t="n"/>
      <c r="K266" s="11" t="n"/>
      <c r="L266" s="11">
        <f t="array" ref="L266">IF($K266="","", IFERROR(IFS($K266="Low", INDEX('Lookups - Complexity'!$C:$C, MATCH($B266, 'Lookups - Complexity'!$B:$B,0)), $K266="Medium", INDEX('Lookups - Complexity'!$D:$D, MATCH($B266, 'Lookups - Complexity'!$B:$B,0)), $K266="High", INDEX('Lookups - Complexity'!$E:$E, MATCH($B266, 'Lookups - Complexity'!$B:$B,0))), ""))</f>
        <v/>
      </c>
      <c r="M266" s="11">
        <f>IF($I266="FTE", Assumptions!$B$3, "")</f>
        <v/>
      </c>
      <c r="N266" s="11">
        <f t="array" ref="N266">IFERROR(INDEX(Milestones!$F:$F, MATCH($B266, Milestones!$B:$B, 0)), "")</f>
        <v/>
      </c>
      <c r="O266" s="11">
        <f t="array" ref="O266">IFERROR(INDEX(Milestones!$G:$G, MATCH($B266, Milestones!$B:$B, 0)), "")</f>
        <v/>
      </c>
      <c r="P266" s="11">
        <f t="array" ref="P266">IFERROR(INDEX('Lookups - Rates'!$D:$D, MATCH($G266&amp;"|"&amp;$H266, 'Lookups - Rates'!$Z:$Z, 0)), "")</f>
        <v/>
      </c>
      <c r="Q266" s="11">
        <f t="array" ref="Q266">IFERROR(INDEX('Lookups - Rates'!$E:$E, MATCH($G266&amp;"|"&amp;$H266, 'Lookups - Rates'!$Z:$Z, 0)), "")</f>
        <v/>
      </c>
      <c r="R266" s="11">
        <f>LET(ev,$J266, ch,$L266, hr,$P266, dr,$Q266, hpday,Assumptions!$B$2, hpw,Assumptions!$B$3, w,$M266, hrs, IF($I266="Hours", ev, IF($I266="Days", ev*IF(dr&gt;0, dr/hr, hpday), IF($I266="FTE", ev*hpw*w, ch))), IF(hrs="", "", hrs*hr))</f>
        <v/>
      </c>
      <c r="S266" s="13" t="n"/>
      <c r="T266" s="11">
        <f t="array" ref="T266">XLOOKUP(Scenario_Selected, INDEX(Scenario_Table,0,1), INDEX(Scenario_Table,0,2))</f>
        <v/>
      </c>
      <c r="U266" s="11">
        <f t="array" ref="U266">XLOOKUP(Scenario_Selected, INDEX(Scenario_Table,0,1), INDEX(Scenario_Table,0,3))</f>
        <v/>
      </c>
      <c r="V266" s="11">
        <f t="array" ref="V266">XLOOKUP(Scenario_Selected, INDEX(Scenario_Table,0,1), INDEX(Scenario_Table,0,4))</f>
        <v/>
      </c>
      <c r="W266" s="11">
        <f t="array" ref="W266">LET(ev,$J266, ch,$L266, et,$I266, dr,$Q266, hpday,Assumptions!$B$2, hpw,Assumptions!$B$3, w,$M266,hm,INDIRECT("R[0]C[0]",FALSE),hrs, IF(et="Hours", ev, IF(et="Days", ev*IF(dr&gt;0, dr/$P266, hpday), IF(et="FTE", ev*hpw*w, ch))), IF(hrs="", "", hrs*hm))</f>
        <v/>
      </c>
      <c r="X266" s="11">
        <f>IF($P266="","", $P266*INDIRECT("R[0]C[-3]",FALSE))</f>
        <v/>
      </c>
      <c r="Y266" s="11">
        <f>IF(INDIRECT("R[0]C[-1]",FALSE)="","", INDIRECT("R[0]C[-2]",FALSE)*INDIRECT("R[0]C[-1]",FALSE)*(1+INDIRECT("R[0]C[-3]",FALSE)))</f>
        <v/>
      </c>
      <c r="Z266" s="13" t="n"/>
    </row>
    <row r="267" ht="15.75" customHeight="1" s="74">
      <c r="A267" s="11" t="n">
        <v>267</v>
      </c>
      <c r="C267" s="11">
        <f t="array" ref="C267">IFERROR(INDEX(Milestones!$A:$A, MATCH($B267, Milestones!$B:$B, 0)), "")</f>
        <v/>
      </c>
      <c r="D267" s="11">
        <f t="array" ref="D267">IFERROR(INDEX(Milestones!$C:$C, MATCH($B267, Milestones!$B:$B, 0)), "")</f>
        <v/>
      </c>
      <c r="F267" s="11">
        <f t="array" ref="F267">IFERROR(INDEX(Milestones!$E:$E, MATCH($B267, Milestones!$B:$B, 0)), "")</f>
        <v/>
      </c>
      <c r="I267" s="11" t="n"/>
      <c r="J267" s="20" t="n"/>
      <c r="K267" s="11" t="n"/>
      <c r="L267" s="11">
        <f t="array" ref="L267">IF($K267="","", IFERROR(IFS($K267="Low", INDEX('Lookups - Complexity'!$C:$C, MATCH($B267, 'Lookups - Complexity'!$B:$B,0)), $K267="Medium", INDEX('Lookups - Complexity'!$D:$D, MATCH($B267, 'Lookups - Complexity'!$B:$B,0)), $K267="High", INDEX('Lookups - Complexity'!$E:$E, MATCH($B267, 'Lookups - Complexity'!$B:$B,0))), ""))</f>
        <v/>
      </c>
      <c r="M267" s="11">
        <f>IF($I267="FTE", Assumptions!$B$3, "")</f>
        <v/>
      </c>
      <c r="N267" s="11">
        <f t="array" ref="N267">IFERROR(INDEX(Milestones!$F:$F, MATCH($B267, Milestones!$B:$B, 0)), "")</f>
        <v/>
      </c>
      <c r="O267" s="11">
        <f t="array" ref="O267">IFERROR(INDEX(Milestones!$G:$G, MATCH($B267, Milestones!$B:$B, 0)), "")</f>
        <v/>
      </c>
      <c r="P267" s="11">
        <f t="array" ref="P267">IFERROR(INDEX('Lookups - Rates'!$D:$D, MATCH($G267&amp;"|"&amp;$H267, 'Lookups - Rates'!$Z:$Z, 0)), "")</f>
        <v/>
      </c>
      <c r="Q267" s="11">
        <f t="array" ref="Q267">IFERROR(INDEX('Lookups - Rates'!$E:$E, MATCH($G267&amp;"|"&amp;$H267, 'Lookups - Rates'!$Z:$Z, 0)), "")</f>
        <v/>
      </c>
      <c r="R267" s="11">
        <f>LET(ev,$J267, ch,$L267, hr,$P267, dr,$Q267, hpday,Assumptions!$B$2, hpw,Assumptions!$B$3, w,$M267, hrs, IF($I267="Hours", ev, IF($I267="Days", ev*IF(dr&gt;0, dr/hr, hpday), IF($I267="FTE", ev*hpw*w, ch))), IF(hrs="", "", hrs*hr))</f>
        <v/>
      </c>
      <c r="S267" s="13" t="n"/>
      <c r="T267" s="11">
        <f t="array" ref="T267">XLOOKUP(Scenario_Selected, INDEX(Scenario_Table,0,1), INDEX(Scenario_Table,0,2))</f>
        <v/>
      </c>
      <c r="U267" s="11">
        <f t="array" ref="U267">XLOOKUP(Scenario_Selected, INDEX(Scenario_Table,0,1), INDEX(Scenario_Table,0,3))</f>
        <v/>
      </c>
      <c r="V267" s="11">
        <f t="array" ref="V267">XLOOKUP(Scenario_Selected, INDEX(Scenario_Table,0,1), INDEX(Scenario_Table,0,4))</f>
        <v/>
      </c>
      <c r="W267" s="11">
        <f t="array" ref="W267">LET(ev,$J267, ch,$L267, et,$I267, dr,$Q267, hpday,Assumptions!$B$2, hpw,Assumptions!$B$3, w,$M267,hm,INDIRECT("R[0]C[0]",FALSE),hrs, IF(et="Hours", ev, IF(et="Days", ev*IF(dr&gt;0, dr/$P267, hpday), IF(et="FTE", ev*hpw*w, ch))), IF(hrs="", "", hrs*hm))</f>
        <v/>
      </c>
      <c r="X267" s="11">
        <f>IF($P267="","", $P267*INDIRECT("R[0]C[-3]",FALSE))</f>
        <v/>
      </c>
      <c r="Y267" s="11">
        <f>IF(INDIRECT("R[0]C[-1]",FALSE)="","", INDIRECT("R[0]C[-2]",FALSE)*INDIRECT("R[0]C[-1]",FALSE)*(1+INDIRECT("R[0]C[-3]",FALSE)))</f>
        <v/>
      </c>
      <c r="Z267" s="13" t="n"/>
    </row>
    <row r="268" ht="15.75" customHeight="1" s="74">
      <c r="A268" s="11" t="n">
        <v>268</v>
      </c>
      <c r="C268" s="11">
        <f t="array" ref="C268">IFERROR(INDEX(Milestones!$A:$A, MATCH($B268, Milestones!$B:$B, 0)), "")</f>
        <v/>
      </c>
      <c r="D268" s="11">
        <f t="array" ref="D268">IFERROR(INDEX(Milestones!$C:$C, MATCH($B268, Milestones!$B:$B, 0)), "")</f>
        <v/>
      </c>
      <c r="F268" s="11">
        <f t="array" ref="F268">IFERROR(INDEX(Milestones!$E:$E, MATCH($B268, Milestones!$B:$B, 0)), "")</f>
        <v/>
      </c>
      <c r="I268" s="11" t="n"/>
      <c r="J268" s="20" t="n"/>
      <c r="K268" s="11" t="n"/>
      <c r="L268" s="11">
        <f t="array" ref="L268">IF($K268="","", IFERROR(IFS($K268="Low", INDEX('Lookups - Complexity'!$C:$C, MATCH($B268, 'Lookups - Complexity'!$B:$B,0)), $K268="Medium", INDEX('Lookups - Complexity'!$D:$D, MATCH($B268, 'Lookups - Complexity'!$B:$B,0)), $K268="High", INDEX('Lookups - Complexity'!$E:$E, MATCH($B268, 'Lookups - Complexity'!$B:$B,0))), ""))</f>
        <v/>
      </c>
      <c r="M268" s="11">
        <f>IF($I268="FTE", Assumptions!$B$3, "")</f>
        <v/>
      </c>
      <c r="N268" s="11">
        <f t="array" ref="N268">IFERROR(INDEX(Milestones!$F:$F, MATCH($B268, Milestones!$B:$B, 0)), "")</f>
        <v/>
      </c>
      <c r="O268" s="11">
        <f t="array" ref="O268">IFERROR(INDEX(Milestones!$G:$G, MATCH($B268, Milestones!$B:$B, 0)), "")</f>
        <v/>
      </c>
      <c r="P268" s="11">
        <f t="array" ref="P268">IFERROR(INDEX('Lookups - Rates'!$D:$D, MATCH($G268&amp;"|"&amp;$H268, 'Lookups - Rates'!$Z:$Z, 0)), "")</f>
        <v/>
      </c>
      <c r="Q268" s="11">
        <f t="array" ref="Q268">IFERROR(INDEX('Lookups - Rates'!$E:$E, MATCH($G268&amp;"|"&amp;$H268, 'Lookups - Rates'!$Z:$Z, 0)), "")</f>
        <v/>
      </c>
      <c r="R268" s="11">
        <f>LET(ev,$J268, ch,$L268, hr,$P268, dr,$Q268, hpday,Assumptions!$B$2, hpw,Assumptions!$B$3, w,$M268, hrs, IF($I268="Hours", ev, IF($I268="Days", ev*IF(dr&gt;0, dr/hr, hpday), IF($I268="FTE", ev*hpw*w, ch))), IF(hrs="", "", hrs*hr))</f>
        <v/>
      </c>
      <c r="S268" s="13" t="n"/>
      <c r="T268" s="11">
        <f t="array" ref="T268">XLOOKUP(Scenario_Selected, INDEX(Scenario_Table,0,1), INDEX(Scenario_Table,0,2))</f>
        <v/>
      </c>
      <c r="U268" s="11">
        <f t="array" ref="U268">XLOOKUP(Scenario_Selected, INDEX(Scenario_Table,0,1), INDEX(Scenario_Table,0,3))</f>
        <v/>
      </c>
      <c r="V268" s="11">
        <f t="array" ref="V268">XLOOKUP(Scenario_Selected, INDEX(Scenario_Table,0,1), INDEX(Scenario_Table,0,4))</f>
        <v/>
      </c>
      <c r="W268" s="11">
        <f t="array" ref="W268">LET(ev,$J268, ch,$L268, et,$I268, dr,$Q268, hpday,Assumptions!$B$2, hpw,Assumptions!$B$3, w,$M268,hm,INDIRECT("R[0]C[0]",FALSE),hrs, IF(et="Hours", ev, IF(et="Days", ev*IF(dr&gt;0, dr/$P268, hpday), IF(et="FTE", ev*hpw*w, ch))), IF(hrs="", "", hrs*hm))</f>
        <v/>
      </c>
      <c r="X268" s="11">
        <f>IF($P268="","", $P268*INDIRECT("R[0]C[-3]",FALSE))</f>
        <v/>
      </c>
      <c r="Y268" s="11">
        <f>IF(INDIRECT("R[0]C[-1]",FALSE)="","", INDIRECT("R[0]C[-2]",FALSE)*INDIRECT("R[0]C[-1]",FALSE)*(1+INDIRECT("R[0]C[-3]",FALSE)))</f>
        <v/>
      </c>
      <c r="Z268" s="13" t="n"/>
    </row>
    <row r="269" ht="15.75" customHeight="1" s="74">
      <c r="A269" s="11" t="n">
        <v>269</v>
      </c>
      <c r="C269" s="11">
        <f t="array" ref="C269">IFERROR(INDEX(Milestones!$A:$A, MATCH($B269, Milestones!$B:$B, 0)), "")</f>
        <v/>
      </c>
      <c r="D269" s="11">
        <f t="array" ref="D269">IFERROR(INDEX(Milestones!$C:$C, MATCH($B269, Milestones!$B:$B, 0)), "")</f>
        <v/>
      </c>
      <c r="F269" s="11">
        <f t="array" ref="F269">IFERROR(INDEX(Milestones!$E:$E, MATCH($B269, Milestones!$B:$B, 0)), "")</f>
        <v/>
      </c>
      <c r="I269" s="11" t="n"/>
      <c r="J269" s="20" t="n"/>
      <c r="K269" s="11" t="n"/>
      <c r="L269" s="11">
        <f t="array" ref="L269">IF($K269="","", IFERROR(IFS($K269="Low", INDEX('Lookups - Complexity'!$C:$C, MATCH($B269, 'Lookups - Complexity'!$B:$B,0)), $K269="Medium", INDEX('Lookups - Complexity'!$D:$D, MATCH($B269, 'Lookups - Complexity'!$B:$B,0)), $K269="High", INDEX('Lookups - Complexity'!$E:$E, MATCH($B269, 'Lookups - Complexity'!$B:$B,0))), ""))</f>
        <v/>
      </c>
      <c r="M269" s="11">
        <f>IF($I269="FTE", Assumptions!$B$3, "")</f>
        <v/>
      </c>
      <c r="N269" s="11">
        <f t="array" ref="N269">IFERROR(INDEX(Milestones!$F:$F, MATCH($B269, Milestones!$B:$B, 0)), "")</f>
        <v/>
      </c>
      <c r="O269" s="11">
        <f t="array" ref="O269">IFERROR(INDEX(Milestones!$G:$G, MATCH($B269, Milestones!$B:$B, 0)), "")</f>
        <v/>
      </c>
      <c r="P269" s="11">
        <f t="array" ref="P269">IFERROR(INDEX('Lookups - Rates'!$D:$D, MATCH($G269&amp;"|"&amp;$H269, 'Lookups - Rates'!$Z:$Z, 0)), "")</f>
        <v/>
      </c>
      <c r="Q269" s="11">
        <f t="array" ref="Q269">IFERROR(INDEX('Lookups - Rates'!$E:$E, MATCH($G269&amp;"|"&amp;$H269, 'Lookups - Rates'!$Z:$Z, 0)), "")</f>
        <v/>
      </c>
      <c r="R269" s="11">
        <f>LET(ev,$J269, ch,$L269, hr,$P269, dr,$Q269, hpday,Assumptions!$B$2, hpw,Assumptions!$B$3, w,$M269, hrs, IF($I269="Hours", ev, IF($I269="Days", ev*IF(dr&gt;0, dr/hr, hpday), IF($I269="FTE", ev*hpw*w, ch))), IF(hrs="", "", hrs*hr))</f>
        <v/>
      </c>
      <c r="S269" s="13" t="n"/>
      <c r="T269" s="11">
        <f t="array" ref="T269">XLOOKUP(Scenario_Selected, INDEX(Scenario_Table,0,1), INDEX(Scenario_Table,0,2))</f>
        <v/>
      </c>
      <c r="U269" s="11">
        <f t="array" ref="U269">XLOOKUP(Scenario_Selected, INDEX(Scenario_Table,0,1), INDEX(Scenario_Table,0,3))</f>
        <v/>
      </c>
      <c r="V269" s="11">
        <f t="array" ref="V269">XLOOKUP(Scenario_Selected, INDEX(Scenario_Table,0,1), INDEX(Scenario_Table,0,4))</f>
        <v/>
      </c>
      <c r="W269" s="11">
        <f t="array" ref="W269">LET(ev,$J269, ch,$L269, et,$I269, dr,$Q269, hpday,Assumptions!$B$2, hpw,Assumptions!$B$3, w,$M269,hm,INDIRECT("R[0]C[0]",FALSE),hrs, IF(et="Hours", ev, IF(et="Days", ev*IF(dr&gt;0, dr/$P269, hpday), IF(et="FTE", ev*hpw*w, ch))), IF(hrs="", "", hrs*hm))</f>
        <v/>
      </c>
      <c r="X269" s="11">
        <f>IF($P269="","", $P269*INDIRECT("R[0]C[-3]",FALSE))</f>
        <v/>
      </c>
      <c r="Y269" s="11">
        <f>IF(INDIRECT("R[0]C[-1]",FALSE)="","", INDIRECT("R[0]C[-2]",FALSE)*INDIRECT("R[0]C[-1]",FALSE)*(1+INDIRECT("R[0]C[-3]",FALSE)))</f>
        <v/>
      </c>
      <c r="Z269" s="13" t="n"/>
    </row>
    <row r="270" ht="15.75" customHeight="1" s="74">
      <c r="A270" s="11" t="n">
        <v>270</v>
      </c>
      <c r="C270" s="11">
        <f t="array" ref="C270">IFERROR(INDEX(Milestones!$A:$A, MATCH($B270, Milestones!$B:$B, 0)), "")</f>
        <v/>
      </c>
      <c r="D270" s="11">
        <f t="array" ref="D270">IFERROR(INDEX(Milestones!$C:$C, MATCH($B270, Milestones!$B:$B, 0)), "")</f>
        <v/>
      </c>
      <c r="F270" s="11">
        <f t="array" ref="F270">IFERROR(INDEX(Milestones!$E:$E, MATCH($B270, Milestones!$B:$B, 0)), "")</f>
        <v/>
      </c>
      <c r="I270" s="11" t="n"/>
      <c r="J270" s="20" t="n"/>
      <c r="K270" s="11" t="n"/>
      <c r="L270" s="11">
        <f t="array" ref="L270">IF($K270="","", IFERROR(IFS($K270="Low", INDEX('Lookups - Complexity'!$C:$C, MATCH($B270, 'Lookups - Complexity'!$B:$B,0)), $K270="Medium", INDEX('Lookups - Complexity'!$D:$D, MATCH($B270, 'Lookups - Complexity'!$B:$B,0)), $K270="High", INDEX('Lookups - Complexity'!$E:$E, MATCH($B270, 'Lookups - Complexity'!$B:$B,0))), ""))</f>
        <v/>
      </c>
      <c r="M270" s="11">
        <f>IF($I270="FTE", Assumptions!$B$3, "")</f>
        <v/>
      </c>
      <c r="N270" s="11">
        <f t="array" ref="N270">IFERROR(INDEX(Milestones!$F:$F, MATCH($B270, Milestones!$B:$B, 0)), "")</f>
        <v/>
      </c>
      <c r="O270" s="11">
        <f t="array" ref="O270">IFERROR(INDEX(Milestones!$G:$G, MATCH($B270, Milestones!$B:$B, 0)), "")</f>
        <v/>
      </c>
      <c r="P270" s="11">
        <f t="array" ref="P270">IFERROR(INDEX('Lookups - Rates'!$D:$D, MATCH($G270&amp;"|"&amp;$H270, 'Lookups - Rates'!$Z:$Z, 0)), "")</f>
        <v/>
      </c>
      <c r="Q270" s="11">
        <f t="array" ref="Q270">IFERROR(INDEX('Lookups - Rates'!$E:$E, MATCH($G270&amp;"|"&amp;$H270, 'Lookups - Rates'!$Z:$Z, 0)), "")</f>
        <v/>
      </c>
      <c r="R270" s="11">
        <f>LET(ev,$J270, ch,$L270, hr,$P270, dr,$Q270, hpday,Assumptions!$B$2, hpw,Assumptions!$B$3, w,$M270, hrs, IF($I270="Hours", ev, IF($I270="Days", ev*IF(dr&gt;0, dr/hr, hpday), IF($I270="FTE", ev*hpw*w, ch))), IF(hrs="", "", hrs*hr))</f>
        <v/>
      </c>
      <c r="S270" s="13" t="n"/>
      <c r="T270" s="11">
        <f t="array" ref="T270">XLOOKUP(Scenario_Selected, INDEX(Scenario_Table,0,1), INDEX(Scenario_Table,0,2))</f>
        <v/>
      </c>
      <c r="U270" s="11">
        <f t="array" ref="U270">XLOOKUP(Scenario_Selected, INDEX(Scenario_Table,0,1), INDEX(Scenario_Table,0,3))</f>
        <v/>
      </c>
      <c r="V270" s="11">
        <f t="array" ref="V270">XLOOKUP(Scenario_Selected, INDEX(Scenario_Table,0,1), INDEX(Scenario_Table,0,4))</f>
        <v/>
      </c>
      <c r="W270" s="11">
        <f t="array" ref="W270">LET(ev,$J270, ch,$L270, et,$I270, dr,$Q270, hpday,Assumptions!$B$2, hpw,Assumptions!$B$3, w,$M270,hm,INDIRECT("R[0]C[0]",FALSE),hrs, IF(et="Hours", ev, IF(et="Days", ev*IF(dr&gt;0, dr/$P270, hpday), IF(et="FTE", ev*hpw*w, ch))), IF(hrs="", "", hrs*hm))</f>
        <v/>
      </c>
      <c r="X270" s="11">
        <f>IF($P270="","", $P270*INDIRECT("R[0]C[-3]",FALSE))</f>
        <v/>
      </c>
      <c r="Y270" s="11">
        <f>IF(INDIRECT("R[0]C[-1]",FALSE)="","", INDIRECT("R[0]C[-2]",FALSE)*INDIRECT("R[0]C[-1]",FALSE)*(1+INDIRECT("R[0]C[-3]",FALSE)))</f>
        <v/>
      </c>
      <c r="Z270" s="13" t="n"/>
    </row>
    <row r="271" ht="15.75" customHeight="1" s="74">
      <c r="A271" s="11" t="n">
        <v>271</v>
      </c>
      <c r="C271" s="11">
        <f t="array" ref="C271">IFERROR(INDEX(Milestones!$A:$A, MATCH($B271, Milestones!$B:$B, 0)), "")</f>
        <v/>
      </c>
      <c r="D271" s="11">
        <f t="array" ref="D271">IFERROR(INDEX(Milestones!$C:$C, MATCH($B271, Milestones!$B:$B, 0)), "")</f>
        <v/>
      </c>
      <c r="F271" s="11">
        <f t="array" ref="F271">IFERROR(INDEX(Milestones!$E:$E, MATCH($B271, Milestones!$B:$B, 0)), "")</f>
        <v/>
      </c>
      <c r="I271" s="11" t="n"/>
      <c r="J271" s="20" t="n"/>
      <c r="K271" s="11" t="n"/>
      <c r="L271" s="11">
        <f t="array" ref="L271">IF($K271="","", IFERROR(IFS($K271="Low", INDEX('Lookups - Complexity'!$C:$C, MATCH($B271, 'Lookups - Complexity'!$B:$B,0)), $K271="Medium", INDEX('Lookups - Complexity'!$D:$D, MATCH($B271, 'Lookups - Complexity'!$B:$B,0)), $K271="High", INDEX('Lookups - Complexity'!$E:$E, MATCH($B271, 'Lookups - Complexity'!$B:$B,0))), ""))</f>
        <v/>
      </c>
      <c r="M271" s="11">
        <f>IF($I271="FTE", Assumptions!$B$3, "")</f>
        <v/>
      </c>
      <c r="N271" s="11">
        <f t="array" ref="N271">IFERROR(INDEX(Milestones!$F:$F, MATCH($B271, Milestones!$B:$B, 0)), "")</f>
        <v/>
      </c>
      <c r="O271" s="11">
        <f t="array" ref="O271">IFERROR(INDEX(Milestones!$G:$G, MATCH($B271, Milestones!$B:$B, 0)), "")</f>
        <v/>
      </c>
      <c r="P271" s="11">
        <f t="array" ref="P271">IFERROR(INDEX('Lookups - Rates'!$D:$D, MATCH($G271&amp;"|"&amp;$H271, 'Lookups - Rates'!$Z:$Z, 0)), "")</f>
        <v/>
      </c>
      <c r="Q271" s="11">
        <f t="array" ref="Q271">IFERROR(INDEX('Lookups - Rates'!$E:$E, MATCH($G271&amp;"|"&amp;$H271, 'Lookups - Rates'!$Z:$Z, 0)), "")</f>
        <v/>
      </c>
      <c r="R271" s="11">
        <f>LET(ev,$J271, ch,$L271, hr,$P271, dr,$Q271, hpday,Assumptions!$B$2, hpw,Assumptions!$B$3, w,$M271, hrs, IF($I271="Hours", ev, IF($I271="Days", ev*IF(dr&gt;0, dr/hr, hpday), IF($I271="FTE", ev*hpw*w, ch))), IF(hrs="", "", hrs*hr))</f>
        <v/>
      </c>
      <c r="S271" s="13" t="n"/>
      <c r="T271" s="11">
        <f t="array" ref="T271">XLOOKUP(Scenario_Selected, INDEX(Scenario_Table,0,1), INDEX(Scenario_Table,0,2))</f>
        <v/>
      </c>
      <c r="U271" s="11">
        <f t="array" ref="U271">XLOOKUP(Scenario_Selected, INDEX(Scenario_Table,0,1), INDEX(Scenario_Table,0,3))</f>
        <v/>
      </c>
      <c r="V271" s="11">
        <f t="array" ref="V271">XLOOKUP(Scenario_Selected, INDEX(Scenario_Table,0,1), INDEX(Scenario_Table,0,4))</f>
        <v/>
      </c>
      <c r="W271" s="11">
        <f t="array" ref="W271">LET(ev,$J271, ch,$L271, et,$I271, dr,$Q271, hpday,Assumptions!$B$2, hpw,Assumptions!$B$3, w,$M271,hm,INDIRECT("R[0]C[0]",FALSE),hrs, IF(et="Hours", ev, IF(et="Days", ev*IF(dr&gt;0, dr/$P271, hpday), IF(et="FTE", ev*hpw*w, ch))), IF(hrs="", "", hrs*hm))</f>
        <v/>
      </c>
      <c r="X271" s="11">
        <f>IF($P271="","", $P271*INDIRECT("R[0]C[-3]",FALSE))</f>
        <v/>
      </c>
      <c r="Y271" s="11">
        <f>IF(INDIRECT("R[0]C[-1]",FALSE)="","", INDIRECT("R[0]C[-2]",FALSE)*INDIRECT("R[0]C[-1]",FALSE)*(1+INDIRECT("R[0]C[-3]",FALSE)))</f>
        <v/>
      </c>
      <c r="Z271" s="13" t="n"/>
    </row>
    <row r="272" ht="15.75" customHeight="1" s="74">
      <c r="A272" s="11" t="n">
        <v>272</v>
      </c>
      <c r="C272" s="11">
        <f t="array" ref="C272">IFERROR(INDEX(Milestones!$A:$A, MATCH($B272, Milestones!$B:$B, 0)), "")</f>
        <v/>
      </c>
      <c r="D272" s="11">
        <f t="array" ref="D272">IFERROR(INDEX(Milestones!$C:$C, MATCH($B272, Milestones!$B:$B, 0)), "")</f>
        <v/>
      </c>
      <c r="F272" s="11">
        <f t="array" ref="F272">IFERROR(INDEX(Milestones!$E:$E, MATCH($B272, Milestones!$B:$B, 0)), "")</f>
        <v/>
      </c>
      <c r="I272" s="11" t="n"/>
      <c r="J272" s="20" t="n"/>
      <c r="K272" s="11" t="n"/>
      <c r="L272" s="11">
        <f t="array" ref="L272">IF($K272="","", IFERROR(IFS($K272="Low", INDEX('Lookups - Complexity'!$C:$C, MATCH($B272, 'Lookups - Complexity'!$B:$B,0)), $K272="Medium", INDEX('Lookups - Complexity'!$D:$D, MATCH($B272, 'Lookups - Complexity'!$B:$B,0)), $K272="High", INDEX('Lookups - Complexity'!$E:$E, MATCH($B272, 'Lookups - Complexity'!$B:$B,0))), ""))</f>
        <v/>
      </c>
      <c r="M272" s="11">
        <f>IF($I272="FTE", Assumptions!$B$3, "")</f>
        <v/>
      </c>
      <c r="N272" s="11">
        <f t="array" ref="N272">IFERROR(INDEX(Milestones!$F:$F, MATCH($B272, Milestones!$B:$B, 0)), "")</f>
        <v/>
      </c>
      <c r="O272" s="11">
        <f t="array" ref="O272">IFERROR(INDEX(Milestones!$G:$G, MATCH($B272, Milestones!$B:$B, 0)), "")</f>
        <v/>
      </c>
      <c r="P272" s="11">
        <f t="array" ref="P272">IFERROR(INDEX('Lookups - Rates'!$D:$D, MATCH($G272&amp;"|"&amp;$H272, 'Lookups - Rates'!$Z:$Z, 0)), "")</f>
        <v/>
      </c>
      <c r="Q272" s="11">
        <f t="array" ref="Q272">IFERROR(INDEX('Lookups - Rates'!$E:$E, MATCH($G272&amp;"|"&amp;$H272, 'Lookups - Rates'!$Z:$Z, 0)), "")</f>
        <v/>
      </c>
      <c r="R272" s="11">
        <f>LET(ev,$J272, ch,$L272, hr,$P272, dr,$Q272, hpday,Assumptions!$B$2, hpw,Assumptions!$B$3, w,$M272, hrs, IF($I272="Hours", ev, IF($I272="Days", ev*IF(dr&gt;0, dr/hr, hpday), IF($I272="FTE", ev*hpw*w, ch))), IF(hrs="", "", hrs*hr))</f>
        <v/>
      </c>
      <c r="S272" s="13" t="n"/>
      <c r="T272" s="11">
        <f t="array" ref="T272">XLOOKUP(Scenario_Selected, INDEX(Scenario_Table,0,1), INDEX(Scenario_Table,0,2))</f>
        <v/>
      </c>
      <c r="U272" s="11">
        <f t="array" ref="U272">XLOOKUP(Scenario_Selected, INDEX(Scenario_Table,0,1), INDEX(Scenario_Table,0,3))</f>
        <v/>
      </c>
      <c r="V272" s="11">
        <f t="array" ref="V272">XLOOKUP(Scenario_Selected, INDEX(Scenario_Table,0,1), INDEX(Scenario_Table,0,4))</f>
        <v/>
      </c>
      <c r="W272" s="11">
        <f t="array" ref="W272">LET(ev,$J272, ch,$L272, et,$I272, dr,$Q272, hpday,Assumptions!$B$2, hpw,Assumptions!$B$3, w,$M272,hm,INDIRECT("R[0]C[0]",FALSE),hrs, IF(et="Hours", ev, IF(et="Days", ev*IF(dr&gt;0, dr/$P272, hpday), IF(et="FTE", ev*hpw*w, ch))), IF(hrs="", "", hrs*hm))</f>
        <v/>
      </c>
      <c r="X272" s="11">
        <f>IF($P272="","", $P272*INDIRECT("R[0]C[-3]",FALSE))</f>
        <v/>
      </c>
      <c r="Y272" s="11">
        <f>IF(INDIRECT("R[0]C[-1]",FALSE)="","", INDIRECT("R[0]C[-2]",FALSE)*INDIRECT("R[0]C[-1]",FALSE)*(1+INDIRECT("R[0]C[-3]",FALSE)))</f>
        <v/>
      </c>
      <c r="Z272" s="13" t="n"/>
    </row>
    <row r="273" ht="15.75" customHeight="1" s="74">
      <c r="A273" s="11" t="n">
        <v>273</v>
      </c>
      <c r="C273" s="11">
        <f t="array" ref="C273">IFERROR(INDEX(Milestones!$A:$A, MATCH($B273, Milestones!$B:$B, 0)), "")</f>
        <v/>
      </c>
      <c r="D273" s="11">
        <f t="array" ref="D273">IFERROR(INDEX(Milestones!$C:$C, MATCH($B273, Milestones!$B:$B, 0)), "")</f>
        <v/>
      </c>
      <c r="F273" s="11">
        <f t="array" ref="F273">IFERROR(INDEX(Milestones!$E:$E, MATCH($B273, Milestones!$B:$B, 0)), "")</f>
        <v/>
      </c>
      <c r="I273" s="11" t="n"/>
      <c r="J273" s="20" t="n"/>
      <c r="K273" s="11" t="n"/>
      <c r="L273" s="11">
        <f t="array" ref="L273">IF($K273="","", IFERROR(IFS($K273="Low", INDEX('Lookups - Complexity'!$C:$C, MATCH($B273, 'Lookups - Complexity'!$B:$B,0)), $K273="Medium", INDEX('Lookups - Complexity'!$D:$D, MATCH($B273, 'Lookups - Complexity'!$B:$B,0)), $K273="High", INDEX('Lookups - Complexity'!$E:$E, MATCH($B273, 'Lookups - Complexity'!$B:$B,0))), ""))</f>
        <v/>
      </c>
      <c r="M273" s="11">
        <f>IF($I273="FTE", Assumptions!$B$3, "")</f>
        <v/>
      </c>
      <c r="N273" s="11">
        <f t="array" ref="N273">IFERROR(INDEX(Milestones!$F:$F, MATCH($B273, Milestones!$B:$B, 0)), "")</f>
        <v/>
      </c>
      <c r="O273" s="11">
        <f t="array" ref="O273">IFERROR(INDEX(Milestones!$G:$G, MATCH($B273, Milestones!$B:$B, 0)), "")</f>
        <v/>
      </c>
      <c r="P273" s="11">
        <f t="array" ref="P273">IFERROR(INDEX('Lookups - Rates'!$D:$D, MATCH($G273&amp;"|"&amp;$H273, 'Lookups - Rates'!$Z:$Z, 0)), "")</f>
        <v/>
      </c>
      <c r="Q273" s="11">
        <f t="array" ref="Q273">IFERROR(INDEX('Lookups - Rates'!$E:$E, MATCH($G273&amp;"|"&amp;$H273, 'Lookups - Rates'!$Z:$Z, 0)), "")</f>
        <v/>
      </c>
      <c r="R273" s="11">
        <f>LET(ev,$J273, ch,$L273, hr,$P273, dr,$Q273, hpday,Assumptions!$B$2, hpw,Assumptions!$B$3, w,$M273, hrs, IF($I273="Hours", ev, IF($I273="Days", ev*IF(dr&gt;0, dr/hr, hpday), IF($I273="FTE", ev*hpw*w, ch))), IF(hrs="", "", hrs*hr))</f>
        <v/>
      </c>
      <c r="S273" s="13" t="n"/>
      <c r="T273" s="11">
        <f t="array" ref="T273">XLOOKUP(Scenario_Selected, INDEX(Scenario_Table,0,1), INDEX(Scenario_Table,0,2))</f>
        <v/>
      </c>
      <c r="U273" s="11">
        <f t="array" ref="U273">XLOOKUP(Scenario_Selected, INDEX(Scenario_Table,0,1), INDEX(Scenario_Table,0,3))</f>
        <v/>
      </c>
      <c r="V273" s="11">
        <f t="array" ref="V273">XLOOKUP(Scenario_Selected, INDEX(Scenario_Table,0,1), INDEX(Scenario_Table,0,4))</f>
        <v/>
      </c>
      <c r="W273" s="11">
        <f t="array" ref="W273">LET(ev,$J273, ch,$L273, et,$I273, dr,$Q273, hpday,Assumptions!$B$2, hpw,Assumptions!$B$3, w,$M273,hm,INDIRECT("R[0]C[0]",FALSE),hrs, IF(et="Hours", ev, IF(et="Days", ev*IF(dr&gt;0, dr/$P273, hpday), IF(et="FTE", ev*hpw*w, ch))), IF(hrs="", "", hrs*hm))</f>
        <v/>
      </c>
      <c r="X273" s="11">
        <f>IF($P273="","", $P273*INDIRECT("R[0]C[-3]",FALSE))</f>
        <v/>
      </c>
      <c r="Y273" s="11">
        <f>IF(INDIRECT("R[0]C[-1]",FALSE)="","", INDIRECT("R[0]C[-2]",FALSE)*INDIRECT("R[0]C[-1]",FALSE)*(1+INDIRECT("R[0]C[-3]",FALSE)))</f>
        <v/>
      </c>
      <c r="Z273" s="13" t="n"/>
    </row>
    <row r="274" ht="15.75" customHeight="1" s="74">
      <c r="A274" s="11" t="n">
        <v>274</v>
      </c>
      <c r="C274" s="11">
        <f t="array" ref="C274">IFERROR(INDEX(Milestones!$A:$A, MATCH($B274, Milestones!$B:$B, 0)), "")</f>
        <v/>
      </c>
      <c r="D274" s="11">
        <f t="array" ref="D274">IFERROR(INDEX(Milestones!$C:$C, MATCH($B274, Milestones!$B:$B, 0)), "")</f>
        <v/>
      </c>
      <c r="F274" s="11">
        <f t="array" ref="F274">IFERROR(INDEX(Milestones!$E:$E, MATCH($B274, Milestones!$B:$B, 0)), "")</f>
        <v/>
      </c>
      <c r="I274" s="11" t="n"/>
      <c r="J274" s="20" t="n"/>
      <c r="K274" s="11" t="n"/>
      <c r="L274" s="11">
        <f t="array" ref="L274">IF($K274="","", IFERROR(IFS($K274="Low", INDEX('Lookups - Complexity'!$C:$C, MATCH($B274, 'Lookups - Complexity'!$B:$B,0)), $K274="Medium", INDEX('Lookups - Complexity'!$D:$D, MATCH($B274, 'Lookups - Complexity'!$B:$B,0)), $K274="High", INDEX('Lookups - Complexity'!$E:$E, MATCH($B274, 'Lookups - Complexity'!$B:$B,0))), ""))</f>
        <v/>
      </c>
      <c r="M274" s="11">
        <f>IF($I274="FTE", Assumptions!$B$3, "")</f>
        <v/>
      </c>
      <c r="N274" s="11">
        <f t="array" ref="N274">IFERROR(INDEX(Milestones!$F:$F, MATCH($B274, Milestones!$B:$B, 0)), "")</f>
        <v/>
      </c>
      <c r="O274" s="11">
        <f t="array" ref="O274">IFERROR(INDEX(Milestones!$G:$G, MATCH($B274, Milestones!$B:$B, 0)), "")</f>
        <v/>
      </c>
      <c r="P274" s="11">
        <f t="array" ref="P274">IFERROR(INDEX('Lookups - Rates'!$D:$D, MATCH($G274&amp;"|"&amp;$H274, 'Lookups - Rates'!$Z:$Z, 0)), "")</f>
        <v/>
      </c>
      <c r="Q274" s="11">
        <f t="array" ref="Q274">IFERROR(INDEX('Lookups - Rates'!$E:$E, MATCH($G274&amp;"|"&amp;$H274, 'Lookups - Rates'!$Z:$Z, 0)), "")</f>
        <v/>
      </c>
      <c r="R274" s="11">
        <f>LET(ev,$J274, ch,$L274, hr,$P274, dr,$Q274, hpday,Assumptions!$B$2, hpw,Assumptions!$B$3, w,$M274, hrs, IF($I274="Hours", ev, IF($I274="Days", ev*IF(dr&gt;0, dr/hr, hpday), IF($I274="FTE", ev*hpw*w, ch))), IF(hrs="", "", hrs*hr))</f>
        <v/>
      </c>
      <c r="S274" s="13" t="n"/>
      <c r="T274" s="11">
        <f t="array" ref="T274">XLOOKUP(Scenario_Selected, INDEX(Scenario_Table,0,1), INDEX(Scenario_Table,0,2))</f>
        <v/>
      </c>
      <c r="U274" s="11">
        <f t="array" ref="U274">XLOOKUP(Scenario_Selected, INDEX(Scenario_Table,0,1), INDEX(Scenario_Table,0,3))</f>
        <v/>
      </c>
      <c r="V274" s="11">
        <f t="array" ref="V274">XLOOKUP(Scenario_Selected, INDEX(Scenario_Table,0,1), INDEX(Scenario_Table,0,4))</f>
        <v/>
      </c>
      <c r="W274" s="11">
        <f t="array" ref="W274">LET(ev,$J274, ch,$L274, et,$I274, dr,$Q274, hpday,Assumptions!$B$2, hpw,Assumptions!$B$3, w,$M274,hm,INDIRECT("R[0]C[0]",FALSE),hrs, IF(et="Hours", ev, IF(et="Days", ev*IF(dr&gt;0, dr/$P274, hpday), IF(et="FTE", ev*hpw*w, ch))), IF(hrs="", "", hrs*hm))</f>
        <v/>
      </c>
      <c r="X274" s="11">
        <f>IF($P274="","", $P274*INDIRECT("R[0]C[-3]",FALSE))</f>
        <v/>
      </c>
      <c r="Y274" s="11">
        <f>IF(INDIRECT("R[0]C[-1]",FALSE)="","", INDIRECT("R[0]C[-2]",FALSE)*INDIRECT("R[0]C[-1]",FALSE)*(1+INDIRECT("R[0]C[-3]",FALSE)))</f>
        <v/>
      </c>
      <c r="Z274" s="13" t="n"/>
    </row>
    <row r="275" ht="15.75" customHeight="1" s="74">
      <c r="A275" s="11" t="n">
        <v>275</v>
      </c>
      <c r="C275" s="11">
        <f t="array" ref="C275">IFERROR(INDEX(Milestones!$A:$A, MATCH($B275, Milestones!$B:$B, 0)), "")</f>
        <v/>
      </c>
      <c r="D275" s="11">
        <f t="array" ref="D275">IFERROR(INDEX(Milestones!$C:$C, MATCH($B275, Milestones!$B:$B, 0)), "")</f>
        <v/>
      </c>
      <c r="F275" s="11">
        <f t="array" ref="F275">IFERROR(INDEX(Milestones!$E:$E, MATCH($B275, Milestones!$B:$B, 0)), "")</f>
        <v/>
      </c>
      <c r="I275" s="11" t="n"/>
      <c r="J275" s="20" t="n"/>
      <c r="K275" s="11" t="n"/>
      <c r="L275" s="11">
        <f t="array" ref="L275">IF($K275="","", IFERROR(IFS($K275="Low", INDEX('Lookups - Complexity'!$C:$C, MATCH($B275, 'Lookups - Complexity'!$B:$B,0)), $K275="Medium", INDEX('Lookups - Complexity'!$D:$D, MATCH($B275, 'Lookups - Complexity'!$B:$B,0)), $K275="High", INDEX('Lookups - Complexity'!$E:$E, MATCH($B275, 'Lookups - Complexity'!$B:$B,0))), ""))</f>
        <v/>
      </c>
      <c r="M275" s="11">
        <f>IF($I275="FTE", Assumptions!$B$3, "")</f>
        <v/>
      </c>
      <c r="N275" s="11">
        <f t="array" ref="N275">IFERROR(INDEX(Milestones!$F:$F, MATCH($B275, Milestones!$B:$B, 0)), "")</f>
        <v/>
      </c>
      <c r="O275" s="11">
        <f t="array" ref="O275">IFERROR(INDEX(Milestones!$G:$G, MATCH($B275, Milestones!$B:$B, 0)), "")</f>
        <v/>
      </c>
      <c r="P275" s="11">
        <f t="array" ref="P275">IFERROR(INDEX('Lookups - Rates'!$D:$D, MATCH($G275&amp;"|"&amp;$H275, 'Lookups - Rates'!$Z:$Z, 0)), "")</f>
        <v/>
      </c>
      <c r="Q275" s="11">
        <f t="array" ref="Q275">IFERROR(INDEX('Lookups - Rates'!$E:$E, MATCH($G275&amp;"|"&amp;$H275, 'Lookups - Rates'!$Z:$Z, 0)), "")</f>
        <v/>
      </c>
      <c r="R275" s="11">
        <f>LET(ev,$J275, ch,$L275, hr,$P275, dr,$Q275, hpday,Assumptions!$B$2, hpw,Assumptions!$B$3, w,$M275, hrs, IF($I275="Hours", ev, IF($I275="Days", ev*IF(dr&gt;0, dr/hr, hpday), IF($I275="FTE", ev*hpw*w, ch))), IF(hrs="", "", hrs*hr))</f>
        <v/>
      </c>
      <c r="S275" s="13" t="n"/>
      <c r="T275" s="11">
        <f t="array" ref="T275">XLOOKUP(Scenario_Selected, INDEX(Scenario_Table,0,1), INDEX(Scenario_Table,0,2))</f>
        <v/>
      </c>
      <c r="U275" s="11">
        <f t="array" ref="U275">XLOOKUP(Scenario_Selected, INDEX(Scenario_Table,0,1), INDEX(Scenario_Table,0,3))</f>
        <v/>
      </c>
      <c r="V275" s="11">
        <f t="array" ref="V275">XLOOKUP(Scenario_Selected, INDEX(Scenario_Table,0,1), INDEX(Scenario_Table,0,4))</f>
        <v/>
      </c>
      <c r="W275" s="11">
        <f t="array" ref="W275">LET(ev,$J275, ch,$L275, et,$I275, dr,$Q275, hpday,Assumptions!$B$2, hpw,Assumptions!$B$3, w,$M275,hm,INDIRECT("R[0]C[0]",FALSE),hrs, IF(et="Hours", ev, IF(et="Days", ev*IF(dr&gt;0, dr/$P275, hpday), IF(et="FTE", ev*hpw*w, ch))), IF(hrs="", "", hrs*hm))</f>
        <v/>
      </c>
      <c r="X275" s="11">
        <f>IF($P275="","", $P275*INDIRECT("R[0]C[-3]",FALSE))</f>
        <v/>
      </c>
      <c r="Y275" s="11">
        <f>IF(INDIRECT("R[0]C[-1]",FALSE)="","", INDIRECT("R[0]C[-2]",FALSE)*INDIRECT("R[0]C[-1]",FALSE)*(1+INDIRECT("R[0]C[-3]",FALSE)))</f>
        <v/>
      </c>
      <c r="Z275" s="13" t="n"/>
    </row>
    <row r="276" ht="15.75" customHeight="1" s="74">
      <c r="A276" s="11" t="n">
        <v>276</v>
      </c>
      <c r="C276" s="11">
        <f t="array" ref="C276">IFERROR(INDEX(Milestones!$A:$A, MATCH($B276, Milestones!$B:$B, 0)), "")</f>
        <v/>
      </c>
      <c r="D276" s="11">
        <f t="array" ref="D276">IFERROR(INDEX(Milestones!$C:$C, MATCH($B276, Milestones!$B:$B, 0)), "")</f>
        <v/>
      </c>
      <c r="F276" s="11">
        <f t="array" ref="F276">IFERROR(INDEX(Milestones!$E:$E, MATCH($B276, Milestones!$B:$B, 0)), "")</f>
        <v/>
      </c>
      <c r="I276" s="11" t="n"/>
      <c r="J276" s="20" t="n"/>
      <c r="K276" s="11" t="n"/>
      <c r="L276" s="11">
        <f t="array" ref="L276">IF($K276="","", IFERROR(IFS($K276="Low", INDEX('Lookups - Complexity'!$C:$C, MATCH($B276, 'Lookups - Complexity'!$B:$B,0)), $K276="Medium", INDEX('Lookups - Complexity'!$D:$D, MATCH($B276, 'Lookups - Complexity'!$B:$B,0)), $K276="High", INDEX('Lookups - Complexity'!$E:$E, MATCH($B276, 'Lookups - Complexity'!$B:$B,0))), ""))</f>
        <v/>
      </c>
      <c r="M276" s="11">
        <f>IF($I276="FTE", Assumptions!$B$3, "")</f>
        <v/>
      </c>
      <c r="N276" s="11">
        <f t="array" ref="N276">IFERROR(INDEX(Milestones!$F:$F, MATCH($B276, Milestones!$B:$B, 0)), "")</f>
        <v/>
      </c>
      <c r="O276" s="11">
        <f t="array" ref="O276">IFERROR(INDEX(Milestones!$G:$G, MATCH($B276, Milestones!$B:$B, 0)), "")</f>
        <v/>
      </c>
      <c r="P276" s="11">
        <f t="array" ref="P276">IFERROR(INDEX('Lookups - Rates'!$D:$D, MATCH($G276&amp;"|"&amp;$H276, 'Lookups - Rates'!$Z:$Z, 0)), "")</f>
        <v/>
      </c>
      <c r="Q276" s="11">
        <f t="array" ref="Q276">IFERROR(INDEX('Lookups - Rates'!$E:$E, MATCH($G276&amp;"|"&amp;$H276, 'Lookups - Rates'!$Z:$Z, 0)), "")</f>
        <v/>
      </c>
      <c r="R276" s="11">
        <f>LET(ev,$J276, ch,$L276, hr,$P276, dr,$Q276, hpday,Assumptions!$B$2, hpw,Assumptions!$B$3, w,$M276, hrs, IF($I276="Hours", ev, IF($I276="Days", ev*IF(dr&gt;0, dr/hr, hpday), IF($I276="FTE", ev*hpw*w, ch))), IF(hrs="", "", hrs*hr))</f>
        <v/>
      </c>
      <c r="S276" s="13" t="n"/>
      <c r="T276" s="11">
        <f t="array" ref="T276">XLOOKUP(Scenario_Selected, INDEX(Scenario_Table,0,1), INDEX(Scenario_Table,0,2))</f>
        <v/>
      </c>
      <c r="U276" s="11">
        <f t="array" ref="U276">XLOOKUP(Scenario_Selected, INDEX(Scenario_Table,0,1), INDEX(Scenario_Table,0,3))</f>
        <v/>
      </c>
      <c r="V276" s="11">
        <f t="array" ref="V276">XLOOKUP(Scenario_Selected, INDEX(Scenario_Table,0,1), INDEX(Scenario_Table,0,4))</f>
        <v/>
      </c>
      <c r="W276" s="11">
        <f t="array" ref="W276">LET(ev,$J276, ch,$L276, et,$I276, dr,$Q276, hpday,Assumptions!$B$2, hpw,Assumptions!$B$3, w,$M276,hm,INDIRECT("R[0]C[0]",FALSE),hrs, IF(et="Hours", ev, IF(et="Days", ev*IF(dr&gt;0, dr/$P276, hpday), IF(et="FTE", ev*hpw*w, ch))), IF(hrs="", "", hrs*hm))</f>
        <v/>
      </c>
      <c r="X276" s="11">
        <f>IF($P276="","", $P276*INDIRECT("R[0]C[-3]",FALSE))</f>
        <v/>
      </c>
      <c r="Y276" s="11">
        <f>IF(INDIRECT("R[0]C[-1]",FALSE)="","", INDIRECT("R[0]C[-2]",FALSE)*INDIRECT("R[0]C[-1]",FALSE)*(1+INDIRECT("R[0]C[-3]",FALSE)))</f>
        <v/>
      </c>
      <c r="Z276" s="13" t="n"/>
    </row>
    <row r="277" ht="15.75" customHeight="1" s="74">
      <c r="A277" s="11" t="n">
        <v>277</v>
      </c>
      <c r="C277" s="11">
        <f t="array" ref="C277">IFERROR(INDEX(Milestones!$A:$A, MATCH($B277, Milestones!$B:$B, 0)), "")</f>
        <v/>
      </c>
      <c r="D277" s="11">
        <f t="array" ref="D277">IFERROR(INDEX(Milestones!$C:$C, MATCH($B277, Milestones!$B:$B, 0)), "")</f>
        <v/>
      </c>
      <c r="F277" s="11">
        <f t="array" ref="F277">IFERROR(INDEX(Milestones!$E:$E, MATCH($B277, Milestones!$B:$B, 0)), "")</f>
        <v/>
      </c>
      <c r="I277" s="11" t="n"/>
      <c r="J277" s="20" t="n"/>
      <c r="K277" s="11" t="n"/>
      <c r="L277" s="11">
        <f t="array" ref="L277">IF($K277="","", IFERROR(IFS($K277="Low", INDEX('Lookups - Complexity'!$C:$C, MATCH($B277, 'Lookups - Complexity'!$B:$B,0)), $K277="Medium", INDEX('Lookups - Complexity'!$D:$D, MATCH($B277, 'Lookups - Complexity'!$B:$B,0)), $K277="High", INDEX('Lookups - Complexity'!$E:$E, MATCH($B277, 'Lookups - Complexity'!$B:$B,0))), ""))</f>
        <v/>
      </c>
      <c r="M277" s="11">
        <f>IF($I277="FTE", Assumptions!$B$3, "")</f>
        <v/>
      </c>
      <c r="N277" s="11">
        <f t="array" ref="N277">IFERROR(INDEX(Milestones!$F:$F, MATCH($B277, Milestones!$B:$B, 0)), "")</f>
        <v/>
      </c>
      <c r="O277" s="11">
        <f t="array" ref="O277">IFERROR(INDEX(Milestones!$G:$G, MATCH($B277, Milestones!$B:$B, 0)), "")</f>
        <v/>
      </c>
      <c r="P277" s="11">
        <f t="array" ref="P277">IFERROR(INDEX('Lookups - Rates'!$D:$D, MATCH($G277&amp;"|"&amp;$H277, 'Lookups - Rates'!$Z:$Z, 0)), "")</f>
        <v/>
      </c>
      <c r="Q277" s="11">
        <f t="array" ref="Q277">IFERROR(INDEX('Lookups - Rates'!$E:$E, MATCH($G277&amp;"|"&amp;$H277, 'Lookups - Rates'!$Z:$Z, 0)), "")</f>
        <v/>
      </c>
      <c r="R277" s="11">
        <f>LET(ev,$J277, ch,$L277, hr,$P277, dr,$Q277, hpday,Assumptions!$B$2, hpw,Assumptions!$B$3, w,$M277, hrs, IF($I277="Hours", ev, IF($I277="Days", ev*IF(dr&gt;0, dr/hr, hpday), IF($I277="FTE", ev*hpw*w, ch))), IF(hrs="", "", hrs*hr))</f>
        <v/>
      </c>
      <c r="S277" s="13" t="n"/>
      <c r="T277" s="11">
        <f t="array" ref="T277">XLOOKUP(Scenario_Selected, INDEX(Scenario_Table,0,1), INDEX(Scenario_Table,0,2))</f>
        <v/>
      </c>
      <c r="U277" s="11">
        <f t="array" ref="U277">XLOOKUP(Scenario_Selected, INDEX(Scenario_Table,0,1), INDEX(Scenario_Table,0,3))</f>
        <v/>
      </c>
      <c r="V277" s="11">
        <f t="array" ref="V277">XLOOKUP(Scenario_Selected, INDEX(Scenario_Table,0,1), INDEX(Scenario_Table,0,4))</f>
        <v/>
      </c>
      <c r="W277" s="11">
        <f t="array" ref="W277">LET(ev,$J277, ch,$L277, et,$I277, dr,$Q277, hpday,Assumptions!$B$2, hpw,Assumptions!$B$3, w,$M277,hm,INDIRECT("R[0]C[0]",FALSE),hrs, IF(et="Hours", ev, IF(et="Days", ev*IF(dr&gt;0, dr/$P277, hpday), IF(et="FTE", ev*hpw*w, ch))), IF(hrs="", "", hrs*hm))</f>
        <v/>
      </c>
      <c r="X277" s="11">
        <f>IF($P277="","", $P277*INDIRECT("R[0]C[-3]",FALSE))</f>
        <v/>
      </c>
      <c r="Y277" s="11">
        <f>IF(INDIRECT("R[0]C[-1]",FALSE)="","", INDIRECT("R[0]C[-2]",FALSE)*INDIRECT("R[0]C[-1]",FALSE)*(1+INDIRECT("R[0]C[-3]",FALSE)))</f>
        <v/>
      </c>
      <c r="Z277" s="13" t="n"/>
    </row>
    <row r="278" ht="15.75" customHeight="1" s="74">
      <c r="A278" s="11" t="n">
        <v>278</v>
      </c>
      <c r="C278" s="11">
        <f t="array" ref="C278">IFERROR(INDEX(Milestones!$A:$A, MATCH($B278, Milestones!$B:$B, 0)), "")</f>
        <v/>
      </c>
      <c r="D278" s="11">
        <f t="array" ref="D278">IFERROR(INDEX(Milestones!$C:$C, MATCH($B278, Milestones!$B:$B, 0)), "")</f>
        <v/>
      </c>
      <c r="F278" s="11">
        <f t="array" ref="F278">IFERROR(INDEX(Milestones!$E:$E, MATCH($B278, Milestones!$B:$B, 0)), "")</f>
        <v/>
      </c>
      <c r="I278" s="11" t="n"/>
      <c r="J278" s="20" t="n"/>
      <c r="K278" s="11" t="n"/>
      <c r="L278" s="11">
        <f t="array" ref="L278">IF($K278="","", IFERROR(IFS($K278="Low", INDEX('Lookups - Complexity'!$C:$C, MATCH($B278, 'Lookups - Complexity'!$B:$B,0)), $K278="Medium", INDEX('Lookups - Complexity'!$D:$D, MATCH($B278, 'Lookups - Complexity'!$B:$B,0)), $K278="High", INDEX('Lookups - Complexity'!$E:$E, MATCH($B278, 'Lookups - Complexity'!$B:$B,0))), ""))</f>
        <v/>
      </c>
      <c r="M278" s="11">
        <f>IF($I278="FTE", Assumptions!$B$3, "")</f>
        <v/>
      </c>
      <c r="N278" s="11">
        <f t="array" ref="N278">IFERROR(INDEX(Milestones!$F:$F, MATCH($B278, Milestones!$B:$B, 0)), "")</f>
        <v/>
      </c>
      <c r="O278" s="11">
        <f t="array" ref="O278">IFERROR(INDEX(Milestones!$G:$G, MATCH($B278, Milestones!$B:$B, 0)), "")</f>
        <v/>
      </c>
      <c r="P278" s="11">
        <f t="array" ref="P278">IFERROR(INDEX('Lookups - Rates'!$D:$D, MATCH($G278&amp;"|"&amp;$H278, 'Lookups - Rates'!$Z:$Z, 0)), "")</f>
        <v/>
      </c>
      <c r="Q278" s="11">
        <f t="array" ref="Q278">IFERROR(INDEX('Lookups - Rates'!$E:$E, MATCH($G278&amp;"|"&amp;$H278, 'Lookups - Rates'!$Z:$Z, 0)), "")</f>
        <v/>
      </c>
      <c r="R278" s="11">
        <f>LET(ev,$J278, ch,$L278, hr,$P278, dr,$Q278, hpday,Assumptions!$B$2, hpw,Assumptions!$B$3, w,$M278, hrs, IF($I278="Hours", ev, IF($I278="Days", ev*IF(dr&gt;0, dr/hr, hpday), IF($I278="FTE", ev*hpw*w, ch))), IF(hrs="", "", hrs*hr))</f>
        <v/>
      </c>
      <c r="S278" s="13" t="n"/>
      <c r="T278" s="11">
        <f t="array" ref="T278">XLOOKUP(Scenario_Selected, INDEX(Scenario_Table,0,1), INDEX(Scenario_Table,0,2))</f>
        <v/>
      </c>
      <c r="U278" s="11">
        <f t="array" ref="U278">XLOOKUP(Scenario_Selected, INDEX(Scenario_Table,0,1), INDEX(Scenario_Table,0,3))</f>
        <v/>
      </c>
      <c r="V278" s="11">
        <f t="array" ref="V278">XLOOKUP(Scenario_Selected, INDEX(Scenario_Table,0,1), INDEX(Scenario_Table,0,4))</f>
        <v/>
      </c>
      <c r="W278" s="11">
        <f t="array" ref="W278">LET(ev,$J278, ch,$L278, et,$I278, dr,$Q278, hpday,Assumptions!$B$2, hpw,Assumptions!$B$3, w,$M278,hm,INDIRECT("R[0]C[0]",FALSE),hrs, IF(et="Hours", ev, IF(et="Days", ev*IF(dr&gt;0, dr/$P278, hpday), IF(et="FTE", ev*hpw*w, ch))), IF(hrs="", "", hrs*hm))</f>
        <v/>
      </c>
      <c r="X278" s="11">
        <f>IF($P278="","", $P278*INDIRECT("R[0]C[-3]",FALSE))</f>
        <v/>
      </c>
      <c r="Y278" s="11">
        <f>IF(INDIRECT("R[0]C[-1]",FALSE)="","", INDIRECT("R[0]C[-2]",FALSE)*INDIRECT("R[0]C[-1]",FALSE)*(1+INDIRECT("R[0]C[-3]",FALSE)))</f>
        <v/>
      </c>
      <c r="Z278" s="13" t="n"/>
    </row>
    <row r="279" ht="15.75" customHeight="1" s="74">
      <c r="A279" s="11" t="n">
        <v>279</v>
      </c>
      <c r="C279" s="11">
        <f t="array" ref="C279">IFERROR(INDEX(Milestones!$A:$A, MATCH($B279, Milestones!$B:$B, 0)), "")</f>
        <v/>
      </c>
      <c r="D279" s="11">
        <f t="array" ref="D279">IFERROR(INDEX(Milestones!$C:$C, MATCH($B279, Milestones!$B:$B, 0)), "")</f>
        <v/>
      </c>
      <c r="F279" s="11">
        <f t="array" ref="F279">IFERROR(INDEX(Milestones!$E:$E, MATCH($B279, Milestones!$B:$B, 0)), "")</f>
        <v/>
      </c>
      <c r="I279" s="11" t="n"/>
      <c r="J279" s="20" t="n"/>
      <c r="K279" s="11" t="n"/>
      <c r="L279" s="11">
        <f t="array" ref="L279">IF($K279="","", IFERROR(IFS($K279="Low", INDEX('Lookups - Complexity'!$C:$C, MATCH($B279, 'Lookups - Complexity'!$B:$B,0)), $K279="Medium", INDEX('Lookups - Complexity'!$D:$D, MATCH($B279, 'Lookups - Complexity'!$B:$B,0)), $K279="High", INDEX('Lookups - Complexity'!$E:$E, MATCH($B279, 'Lookups - Complexity'!$B:$B,0))), ""))</f>
        <v/>
      </c>
      <c r="M279" s="11">
        <f>IF($I279="FTE", Assumptions!$B$3, "")</f>
        <v/>
      </c>
      <c r="N279" s="11">
        <f t="array" ref="N279">IFERROR(INDEX(Milestones!$F:$F, MATCH($B279, Milestones!$B:$B, 0)), "")</f>
        <v/>
      </c>
      <c r="O279" s="11">
        <f t="array" ref="O279">IFERROR(INDEX(Milestones!$G:$G, MATCH($B279, Milestones!$B:$B, 0)), "")</f>
        <v/>
      </c>
      <c r="P279" s="11">
        <f t="array" ref="P279">IFERROR(INDEX('Lookups - Rates'!$D:$D, MATCH($G279&amp;"|"&amp;$H279, 'Lookups - Rates'!$Z:$Z, 0)), "")</f>
        <v/>
      </c>
      <c r="Q279" s="11">
        <f t="array" ref="Q279">IFERROR(INDEX('Lookups - Rates'!$E:$E, MATCH($G279&amp;"|"&amp;$H279, 'Lookups - Rates'!$Z:$Z, 0)), "")</f>
        <v/>
      </c>
      <c r="R279" s="11">
        <f>LET(ev,$J279, ch,$L279, hr,$P279, dr,$Q279, hpday,Assumptions!$B$2, hpw,Assumptions!$B$3, w,$M279, hrs, IF($I279="Hours", ev, IF($I279="Days", ev*IF(dr&gt;0, dr/hr, hpday), IF($I279="FTE", ev*hpw*w, ch))), IF(hrs="", "", hrs*hr))</f>
        <v/>
      </c>
      <c r="S279" s="13" t="n"/>
      <c r="T279" s="11">
        <f t="array" ref="T279">XLOOKUP(Scenario_Selected, INDEX(Scenario_Table,0,1), INDEX(Scenario_Table,0,2))</f>
        <v/>
      </c>
      <c r="U279" s="11">
        <f t="array" ref="U279">XLOOKUP(Scenario_Selected, INDEX(Scenario_Table,0,1), INDEX(Scenario_Table,0,3))</f>
        <v/>
      </c>
      <c r="V279" s="11">
        <f t="array" ref="V279">XLOOKUP(Scenario_Selected, INDEX(Scenario_Table,0,1), INDEX(Scenario_Table,0,4))</f>
        <v/>
      </c>
      <c r="W279" s="11">
        <f t="array" ref="W279">LET(ev,$J279, ch,$L279, et,$I279, dr,$Q279, hpday,Assumptions!$B$2, hpw,Assumptions!$B$3, w,$M279,hm,INDIRECT("R[0]C[0]",FALSE),hrs, IF(et="Hours", ev, IF(et="Days", ev*IF(dr&gt;0, dr/$P279, hpday), IF(et="FTE", ev*hpw*w, ch))), IF(hrs="", "", hrs*hm))</f>
        <v/>
      </c>
      <c r="X279" s="11">
        <f>IF($P279="","", $P279*INDIRECT("R[0]C[-3]",FALSE))</f>
        <v/>
      </c>
      <c r="Y279" s="11">
        <f>IF(INDIRECT("R[0]C[-1]",FALSE)="","", INDIRECT("R[0]C[-2]",FALSE)*INDIRECT("R[0]C[-1]",FALSE)*(1+INDIRECT("R[0]C[-3]",FALSE)))</f>
        <v/>
      </c>
      <c r="Z279" s="13" t="n"/>
    </row>
    <row r="280" ht="15.75" customHeight="1" s="74">
      <c r="A280" s="11" t="n">
        <v>280</v>
      </c>
      <c r="C280" s="11">
        <f t="array" ref="C280">IFERROR(INDEX(Milestones!$A:$A, MATCH($B280, Milestones!$B:$B, 0)), "")</f>
        <v/>
      </c>
      <c r="D280" s="11">
        <f t="array" ref="D280">IFERROR(INDEX(Milestones!$C:$C, MATCH($B280, Milestones!$B:$B, 0)), "")</f>
        <v/>
      </c>
      <c r="F280" s="11">
        <f t="array" ref="F280">IFERROR(INDEX(Milestones!$E:$E, MATCH($B280, Milestones!$B:$B, 0)), "")</f>
        <v/>
      </c>
      <c r="I280" s="11" t="n"/>
      <c r="J280" s="20" t="n"/>
      <c r="K280" s="11" t="n"/>
      <c r="L280" s="11">
        <f t="array" ref="L280">IF($K280="","", IFERROR(IFS($K280="Low", INDEX('Lookups - Complexity'!$C:$C, MATCH($B280, 'Lookups - Complexity'!$B:$B,0)), $K280="Medium", INDEX('Lookups - Complexity'!$D:$D, MATCH($B280, 'Lookups - Complexity'!$B:$B,0)), $K280="High", INDEX('Lookups - Complexity'!$E:$E, MATCH($B280, 'Lookups - Complexity'!$B:$B,0))), ""))</f>
        <v/>
      </c>
      <c r="M280" s="11">
        <f>IF($I280="FTE", Assumptions!$B$3, "")</f>
        <v/>
      </c>
      <c r="N280" s="11">
        <f t="array" ref="N280">IFERROR(INDEX(Milestones!$F:$F, MATCH($B280, Milestones!$B:$B, 0)), "")</f>
        <v/>
      </c>
      <c r="O280" s="11">
        <f t="array" ref="O280">IFERROR(INDEX(Milestones!$G:$G, MATCH($B280, Milestones!$B:$B, 0)), "")</f>
        <v/>
      </c>
      <c r="P280" s="11">
        <f t="array" ref="P280">IFERROR(INDEX('Lookups - Rates'!$D:$D, MATCH($G280&amp;"|"&amp;$H280, 'Lookups - Rates'!$Z:$Z, 0)), "")</f>
        <v/>
      </c>
      <c r="Q280" s="11">
        <f t="array" ref="Q280">IFERROR(INDEX('Lookups - Rates'!$E:$E, MATCH($G280&amp;"|"&amp;$H280, 'Lookups - Rates'!$Z:$Z, 0)), "")</f>
        <v/>
      </c>
      <c r="R280" s="11">
        <f>LET(ev,$J280, ch,$L280, hr,$P280, dr,$Q280, hpday,Assumptions!$B$2, hpw,Assumptions!$B$3, w,$M280, hrs, IF($I280="Hours", ev, IF($I280="Days", ev*IF(dr&gt;0, dr/hr, hpday), IF($I280="FTE", ev*hpw*w, ch))), IF(hrs="", "", hrs*hr))</f>
        <v/>
      </c>
      <c r="S280" s="13" t="n"/>
      <c r="T280" s="11">
        <f t="array" ref="T280">XLOOKUP(Scenario_Selected, INDEX(Scenario_Table,0,1), INDEX(Scenario_Table,0,2))</f>
        <v/>
      </c>
      <c r="U280" s="11">
        <f t="array" ref="U280">XLOOKUP(Scenario_Selected, INDEX(Scenario_Table,0,1), INDEX(Scenario_Table,0,3))</f>
        <v/>
      </c>
      <c r="V280" s="11">
        <f t="array" ref="V280">XLOOKUP(Scenario_Selected, INDEX(Scenario_Table,0,1), INDEX(Scenario_Table,0,4))</f>
        <v/>
      </c>
      <c r="W280" s="11">
        <f t="array" ref="W280">LET(ev,$J280, ch,$L280, et,$I280, dr,$Q280, hpday,Assumptions!$B$2, hpw,Assumptions!$B$3, w,$M280,hm,INDIRECT("R[0]C[0]",FALSE),hrs, IF(et="Hours", ev, IF(et="Days", ev*IF(dr&gt;0, dr/$P280, hpday), IF(et="FTE", ev*hpw*w, ch))), IF(hrs="", "", hrs*hm))</f>
        <v/>
      </c>
      <c r="X280" s="11">
        <f>IF($P280="","", $P280*INDIRECT("R[0]C[-3]",FALSE))</f>
        <v/>
      </c>
      <c r="Y280" s="11">
        <f>IF(INDIRECT("R[0]C[-1]",FALSE)="","", INDIRECT("R[0]C[-2]",FALSE)*INDIRECT("R[0]C[-1]",FALSE)*(1+INDIRECT("R[0]C[-3]",FALSE)))</f>
        <v/>
      </c>
      <c r="Z280" s="13" t="n"/>
    </row>
    <row r="281" ht="15.75" customHeight="1" s="74">
      <c r="A281" s="11" t="n">
        <v>281</v>
      </c>
      <c r="C281" s="11">
        <f t="array" ref="C281">IFERROR(INDEX(Milestones!$A:$A, MATCH($B281, Milestones!$B:$B, 0)), "")</f>
        <v/>
      </c>
      <c r="D281" s="11">
        <f t="array" ref="D281">IFERROR(INDEX(Milestones!$C:$C, MATCH($B281, Milestones!$B:$B, 0)), "")</f>
        <v/>
      </c>
      <c r="F281" s="11">
        <f t="array" ref="F281">IFERROR(INDEX(Milestones!$E:$E, MATCH($B281, Milestones!$B:$B, 0)), "")</f>
        <v/>
      </c>
      <c r="I281" s="11" t="n"/>
      <c r="J281" s="20" t="n"/>
      <c r="K281" s="11" t="n"/>
      <c r="L281" s="11">
        <f t="array" ref="L281">IF($K281="","", IFERROR(IFS($K281="Low", INDEX('Lookups - Complexity'!$C:$C, MATCH($B281, 'Lookups - Complexity'!$B:$B,0)), $K281="Medium", INDEX('Lookups - Complexity'!$D:$D, MATCH($B281, 'Lookups - Complexity'!$B:$B,0)), $K281="High", INDEX('Lookups - Complexity'!$E:$E, MATCH($B281, 'Lookups - Complexity'!$B:$B,0))), ""))</f>
        <v/>
      </c>
      <c r="M281" s="11">
        <f>IF($I281="FTE", Assumptions!$B$3, "")</f>
        <v/>
      </c>
      <c r="N281" s="11">
        <f t="array" ref="N281">IFERROR(INDEX(Milestones!$F:$F, MATCH($B281, Milestones!$B:$B, 0)), "")</f>
        <v/>
      </c>
      <c r="O281" s="11">
        <f t="array" ref="O281">IFERROR(INDEX(Milestones!$G:$G, MATCH($B281, Milestones!$B:$B, 0)), "")</f>
        <v/>
      </c>
      <c r="P281" s="11">
        <f t="array" ref="P281">IFERROR(INDEX('Lookups - Rates'!$D:$D, MATCH($G281&amp;"|"&amp;$H281, 'Lookups - Rates'!$Z:$Z, 0)), "")</f>
        <v/>
      </c>
      <c r="Q281" s="11">
        <f t="array" ref="Q281">IFERROR(INDEX('Lookups - Rates'!$E:$E, MATCH($G281&amp;"|"&amp;$H281, 'Lookups - Rates'!$Z:$Z, 0)), "")</f>
        <v/>
      </c>
      <c r="R281" s="11">
        <f>LET(ev,$J281, ch,$L281, hr,$P281, dr,$Q281, hpday,Assumptions!$B$2, hpw,Assumptions!$B$3, w,$M281, hrs, IF($I281="Hours", ev, IF($I281="Days", ev*IF(dr&gt;0, dr/hr, hpday), IF($I281="FTE", ev*hpw*w, ch))), IF(hrs="", "", hrs*hr))</f>
        <v/>
      </c>
      <c r="S281" s="13" t="n"/>
      <c r="T281" s="11">
        <f t="array" ref="T281">XLOOKUP(Scenario_Selected, INDEX(Scenario_Table,0,1), INDEX(Scenario_Table,0,2))</f>
        <v/>
      </c>
      <c r="U281" s="11">
        <f t="array" ref="U281">XLOOKUP(Scenario_Selected, INDEX(Scenario_Table,0,1), INDEX(Scenario_Table,0,3))</f>
        <v/>
      </c>
      <c r="V281" s="11">
        <f t="array" ref="V281">XLOOKUP(Scenario_Selected, INDEX(Scenario_Table,0,1), INDEX(Scenario_Table,0,4))</f>
        <v/>
      </c>
      <c r="W281" s="11">
        <f t="array" ref="W281">LET(ev,$J281, ch,$L281, et,$I281, dr,$Q281, hpday,Assumptions!$B$2, hpw,Assumptions!$B$3, w,$M281,hm,INDIRECT("R[0]C[0]",FALSE),hrs, IF(et="Hours", ev, IF(et="Days", ev*IF(dr&gt;0, dr/$P281, hpday), IF(et="FTE", ev*hpw*w, ch))), IF(hrs="", "", hrs*hm))</f>
        <v/>
      </c>
      <c r="X281" s="11">
        <f>IF($P281="","", $P281*INDIRECT("R[0]C[-3]",FALSE))</f>
        <v/>
      </c>
      <c r="Y281" s="11">
        <f>IF(INDIRECT("R[0]C[-1]",FALSE)="","", INDIRECT("R[0]C[-2]",FALSE)*INDIRECT("R[0]C[-1]",FALSE)*(1+INDIRECT("R[0]C[-3]",FALSE)))</f>
        <v/>
      </c>
      <c r="Z281" s="13" t="n"/>
    </row>
    <row r="282" ht="15.75" customHeight="1" s="74">
      <c r="A282" s="11" t="n">
        <v>282</v>
      </c>
      <c r="C282" s="11">
        <f t="array" ref="C282">IFERROR(INDEX(Milestones!$A:$A, MATCH($B282, Milestones!$B:$B, 0)), "")</f>
        <v/>
      </c>
      <c r="D282" s="11">
        <f t="array" ref="D282">IFERROR(INDEX(Milestones!$C:$C, MATCH($B282, Milestones!$B:$B, 0)), "")</f>
        <v/>
      </c>
      <c r="F282" s="11">
        <f t="array" ref="F282">IFERROR(INDEX(Milestones!$E:$E, MATCH($B282, Milestones!$B:$B, 0)), "")</f>
        <v/>
      </c>
      <c r="I282" s="11" t="n"/>
      <c r="J282" s="20" t="n"/>
      <c r="K282" s="11" t="n"/>
      <c r="L282" s="11">
        <f t="array" ref="L282">IF($K282="","", IFERROR(IFS($K282="Low", INDEX('Lookups - Complexity'!$C:$C, MATCH($B282, 'Lookups - Complexity'!$B:$B,0)), $K282="Medium", INDEX('Lookups - Complexity'!$D:$D, MATCH($B282, 'Lookups - Complexity'!$B:$B,0)), $K282="High", INDEX('Lookups - Complexity'!$E:$E, MATCH($B282, 'Lookups - Complexity'!$B:$B,0))), ""))</f>
        <v/>
      </c>
      <c r="M282" s="11">
        <f>IF($I282="FTE", Assumptions!$B$3, "")</f>
        <v/>
      </c>
      <c r="N282" s="11">
        <f t="array" ref="N282">IFERROR(INDEX(Milestones!$F:$F, MATCH($B282, Milestones!$B:$B, 0)), "")</f>
        <v/>
      </c>
      <c r="O282" s="11">
        <f t="array" ref="O282">IFERROR(INDEX(Milestones!$G:$G, MATCH($B282, Milestones!$B:$B, 0)), "")</f>
        <v/>
      </c>
      <c r="P282" s="11">
        <f t="array" ref="P282">IFERROR(INDEX('Lookups - Rates'!$D:$D, MATCH($G282&amp;"|"&amp;$H282, 'Lookups - Rates'!$Z:$Z, 0)), "")</f>
        <v/>
      </c>
      <c r="Q282" s="11">
        <f t="array" ref="Q282">IFERROR(INDEX('Lookups - Rates'!$E:$E, MATCH($G282&amp;"|"&amp;$H282, 'Lookups - Rates'!$Z:$Z, 0)), "")</f>
        <v/>
      </c>
      <c r="R282" s="11">
        <f>LET(ev,$J282, ch,$L282, hr,$P282, dr,$Q282, hpday,Assumptions!$B$2, hpw,Assumptions!$B$3, w,$M282, hrs, IF($I282="Hours", ev, IF($I282="Days", ev*IF(dr&gt;0, dr/hr, hpday), IF($I282="FTE", ev*hpw*w, ch))), IF(hrs="", "", hrs*hr))</f>
        <v/>
      </c>
      <c r="S282" s="13" t="n"/>
      <c r="T282" s="11">
        <f t="array" ref="T282">XLOOKUP(Scenario_Selected, INDEX(Scenario_Table,0,1), INDEX(Scenario_Table,0,2))</f>
        <v/>
      </c>
      <c r="U282" s="11">
        <f t="array" ref="U282">XLOOKUP(Scenario_Selected, INDEX(Scenario_Table,0,1), INDEX(Scenario_Table,0,3))</f>
        <v/>
      </c>
      <c r="V282" s="11">
        <f t="array" ref="V282">XLOOKUP(Scenario_Selected, INDEX(Scenario_Table,0,1), INDEX(Scenario_Table,0,4))</f>
        <v/>
      </c>
      <c r="W282" s="11">
        <f t="array" ref="W282">LET(ev,$J282, ch,$L282, et,$I282, dr,$Q282, hpday,Assumptions!$B$2, hpw,Assumptions!$B$3, w,$M282,hm,INDIRECT("R[0]C[0]",FALSE),hrs, IF(et="Hours", ev, IF(et="Days", ev*IF(dr&gt;0, dr/$P282, hpday), IF(et="FTE", ev*hpw*w, ch))), IF(hrs="", "", hrs*hm))</f>
        <v/>
      </c>
      <c r="X282" s="11">
        <f>IF($P282="","", $P282*INDIRECT("R[0]C[-3]",FALSE))</f>
        <v/>
      </c>
      <c r="Y282" s="11">
        <f>IF(INDIRECT("R[0]C[-1]",FALSE)="","", INDIRECT("R[0]C[-2]",FALSE)*INDIRECT("R[0]C[-1]",FALSE)*(1+INDIRECT("R[0]C[-3]",FALSE)))</f>
        <v/>
      </c>
      <c r="Z282" s="13" t="n"/>
    </row>
    <row r="283" ht="15.75" customHeight="1" s="74">
      <c r="A283" s="11" t="n">
        <v>283</v>
      </c>
      <c r="C283" s="11">
        <f t="array" ref="C283">IFERROR(INDEX(Milestones!$A:$A, MATCH($B283, Milestones!$B:$B, 0)), "")</f>
        <v/>
      </c>
      <c r="D283" s="11">
        <f t="array" ref="D283">IFERROR(INDEX(Milestones!$C:$C, MATCH($B283, Milestones!$B:$B, 0)), "")</f>
        <v/>
      </c>
      <c r="F283" s="11">
        <f t="array" ref="F283">IFERROR(INDEX(Milestones!$E:$E, MATCH($B283, Milestones!$B:$B, 0)), "")</f>
        <v/>
      </c>
      <c r="I283" s="11" t="n"/>
      <c r="J283" s="20" t="n"/>
      <c r="K283" s="11" t="n"/>
      <c r="L283" s="11">
        <f t="array" ref="L283">IF($K283="","", IFERROR(IFS($K283="Low", INDEX('Lookups - Complexity'!$C:$C, MATCH($B283, 'Lookups - Complexity'!$B:$B,0)), $K283="Medium", INDEX('Lookups - Complexity'!$D:$D, MATCH($B283, 'Lookups - Complexity'!$B:$B,0)), $K283="High", INDEX('Lookups - Complexity'!$E:$E, MATCH($B283, 'Lookups - Complexity'!$B:$B,0))), ""))</f>
        <v/>
      </c>
      <c r="M283" s="11">
        <f>IF($I283="FTE", Assumptions!$B$3, "")</f>
        <v/>
      </c>
      <c r="N283" s="11">
        <f t="array" ref="N283">IFERROR(INDEX(Milestones!$F:$F, MATCH($B283, Milestones!$B:$B, 0)), "")</f>
        <v/>
      </c>
      <c r="O283" s="11">
        <f t="array" ref="O283">IFERROR(INDEX(Milestones!$G:$G, MATCH($B283, Milestones!$B:$B, 0)), "")</f>
        <v/>
      </c>
      <c r="P283" s="11">
        <f t="array" ref="P283">IFERROR(INDEX('Lookups - Rates'!$D:$D, MATCH($G283&amp;"|"&amp;$H283, 'Lookups - Rates'!$Z:$Z, 0)), "")</f>
        <v/>
      </c>
      <c r="Q283" s="11">
        <f t="array" ref="Q283">IFERROR(INDEX('Lookups - Rates'!$E:$E, MATCH($G283&amp;"|"&amp;$H283, 'Lookups - Rates'!$Z:$Z, 0)), "")</f>
        <v/>
      </c>
      <c r="R283" s="11">
        <f>LET(ev,$J283, ch,$L283, hr,$P283, dr,$Q283, hpday,Assumptions!$B$2, hpw,Assumptions!$B$3, w,$M283, hrs, IF($I283="Hours", ev, IF($I283="Days", ev*IF(dr&gt;0, dr/hr, hpday), IF($I283="FTE", ev*hpw*w, ch))), IF(hrs="", "", hrs*hr))</f>
        <v/>
      </c>
      <c r="S283" s="13" t="n"/>
      <c r="T283" s="11">
        <f t="array" ref="T283">XLOOKUP(Scenario_Selected, INDEX(Scenario_Table,0,1), INDEX(Scenario_Table,0,2))</f>
        <v/>
      </c>
      <c r="U283" s="11">
        <f t="array" ref="U283">XLOOKUP(Scenario_Selected, INDEX(Scenario_Table,0,1), INDEX(Scenario_Table,0,3))</f>
        <v/>
      </c>
      <c r="V283" s="11">
        <f t="array" ref="V283">XLOOKUP(Scenario_Selected, INDEX(Scenario_Table,0,1), INDEX(Scenario_Table,0,4))</f>
        <v/>
      </c>
      <c r="W283" s="11">
        <f t="array" ref="W283">LET(ev,$J283, ch,$L283, et,$I283, dr,$Q283, hpday,Assumptions!$B$2, hpw,Assumptions!$B$3, w,$M283,hm,INDIRECT("R[0]C[0]",FALSE),hrs, IF(et="Hours", ev, IF(et="Days", ev*IF(dr&gt;0, dr/$P283, hpday), IF(et="FTE", ev*hpw*w, ch))), IF(hrs="", "", hrs*hm))</f>
        <v/>
      </c>
      <c r="X283" s="11">
        <f>IF($P283="","", $P283*INDIRECT("R[0]C[-3]",FALSE))</f>
        <v/>
      </c>
      <c r="Y283" s="11">
        <f>IF(INDIRECT("R[0]C[-1]",FALSE)="","", INDIRECT("R[0]C[-2]",FALSE)*INDIRECT("R[0]C[-1]",FALSE)*(1+INDIRECT("R[0]C[-3]",FALSE)))</f>
        <v/>
      </c>
      <c r="Z283" s="13" t="n"/>
    </row>
    <row r="284" ht="15.75" customHeight="1" s="74">
      <c r="A284" s="11" t="n">
        <v>284</v>
      </c>
      <c r="C284" s="11">
        <f t="array" ref="C284">IFERROR(INDEX(Milestones!$A:$A, MATCH($B284, Milestones!$B:$B, 0)), "")</f>
        <v/>
      </c>
      <c r="D284" s="11">
        <f t="array" ref="D284">IFERROR(INDEX(Milestones!$C:$C, MATCH($B284, Milestones!$B:$B, 0)), "")</f>
        <v/>
      </c>
      <c r="F284" s="11">
        <f t="array" ref="F284">IFERROR(INDEX(Milestones!$E:$E, MATCH($B284, Milestones!$B:$B, 0)), "")</f>
        <v/>
      </c>
      <c r="I284" s="11" t="n"/>
      <c r="J284" s="20" t="n"/>
      <c r="K284" s="11" t="n"/>
      <c r="L284" s="11">
        <f t="array" ref="L284">IF($K284="","", IFERROR(IFS($K284="Low", INDEX('Lookups - Complexity'!$C:$C, MATCH($B284, 'Lookups - Complexity'!$B:$B,0)), $K284="Medium", INDEX('Lookups - Complexity'!$D:$D, MATCH($B284, 'Lookups - Complexity'!$B:$B,0)), $K284="High", INDEX('Lookups - Complexity'!$E:$E, MATCH($B284, 'Lookups - Complexity'!$B:$B,0))), ""))</f>
        <v/>
      </c>
      <c r="M284" s="11">
        <f>IF($I284="FTE", Assumptions!$B$3, "")</f>
        <v/>
      </c>
      <c r="N284" s="11">
        <f t="array" ref="N284">IFERROR(INDEX(Milestones!$F:$F, MATCH($B284, Milestones!$B:$B, 0)), "")</f>
        <v/>
      </c>
      <c r="O284" s="11">
        <f t="array" ref="O284">IFERROR(INDEX(Milestones!$G:$G, MATCH($B284, Milestones!$B:$B, 0)), "")</f>
        <v/>
      </c>
      <c r="P284" s="11">
        <f t="array" ref="P284">IFERROR(INDEX('Lookups - Rates'!$D:$D, MATCH($G284&amp;"|"&amp;$H284, 'Lookups - Rates'!$Z:$Z, 0)), "")</f>
        <v/>
      </c>
      <c r="Q284" s="11">
        <f t="array" ref="Q284">IFERROR(INDEX('Lookups - Rates'!$E:$E, MATCH($G284&amp;"|"&amp;$H284, 'Lookups - Rates'!$Z:$Z, 0)), "")</f>
        <v/>
      </c>
      <c r="R284" s="11">
        <f>LET(ev,$J284, ch,$L284, hr,$P284, dr,$Q284, hpday,Assumptions!$B$2, hpw,Assumptions!$B$3, w,$M284, hrs, IF($I284="Hours", ev, IF($I284="Days", ev*IF(dr&gt;0, dr/hr, hpday), IF($I284="FTE", ev*hpw*w, ch))), IF(hrs="", "", hrs*hr))</f>
        <v/>
      </c>
      <c r="S284" s="13" t="n"/>
      <c r="T284" s="11">
        <f t="array" ref="T284">XLOOKUP(Scenario_Selected, INDEX(Scenario_Table,0,1), INDEX(Scenario_Table,0,2))</f>
        <v/>
      </c>
      <c r="U284" s="11">
        <f t="array" ref="U284">XLOOKUP(Scenario_Selected, INDEX(Scenario_Table,0,1), INDEX(Scenario_Table,0,3))</f>
        <v/>
      </c>
      <c r="V284" s="11">
        <f t="array" ref="V284">XLOOKUP(Scenario_Selected, INDEX(Scenario_Table,0,1), INDEX(Scenario_Table,0,4))</f>
        <v/>
      </c>
      <c r="W284" s="11">
        <f t="array" ref="W284">LET(ev,$J284, ch,$L284, et,$I284, dr,$Q284, hpday,Assumptions!$B$2, hpw,Assumptions!$B$3, w,$M284,hm,INDIRECT("R[0]C[0]",FALSE),hrs, IF(et="Hours", ev, IF(et="Days", ev*IF(dr&gt;0, dr/$P284, hpday), IF(et="FTE", ev*hpw*w, ch))), IF(hrs="", "", hrs*hm))</f>
        <v/>
      </c>
      <c r="X284" s="11">
        <f>IF($P284="","", $P284*INDIRECT("R[0]C[-3]",FALSE))</f>
        <v/>
      </c>
      <c r="Y284" s="11">
        <f>IF(INDIRECT("R[0]C[-1]",FALSE)="","", INDIRECT("R[0]C[-2]",FALSE)*INDIRECT("R[0]C[-1]",FALSE)*(1+INDIRECT("R[0]C[-3]",FALSE)))</f>
        <v/>
      </c>
      <c r="Z284" s="13" t="n"/>
    </row>
    <row r="285" ht="15.75" customHeight="1" s="74">
      <c r="A285" s="11" t="n">
        <v>285</v>
      </c>
      <c r="C285" s="11">
        <f t="array" ref="C285">IFERROR(INDEX(Milestones!$A:$A, MATCH($B285, Milestones!$B:$B, 0)), "")</f>
        <v/>
      </c>
      <c r="D285" s="11">
        <f t="array" ref="D285">IFERROR(INDEX(Milestones!$C:$C, MATCH($B285, Milestones!$B:$B, 0)), "")</f>
        <v/>
      </c>
      <c r="F285" s="11">
        <f t="array" ref="F285">IFERROR(INDEX(Milestones!$E:$E, MATCH($B285, Milestones!$B:$B, 0)), "")</f>
        <v/>
      </c>
      <c r="I285" s="11" t="n"/>
      <c r="J285" s="20" t="n"/>
      <c r="K285" s="11" t="n"/>
      <c r="L285" s="11">
        <f t="array" ref="L285">IF($K285="","", IFERROR(IFS($K285="Low", INDEX('Lookups - Complexity'!$C:$C, MATCH($B285, 'Lookups - Complexity'!$B:$B,0)), $K285="Medium", INDEX('Lookups - Complexity'!$D:$D, MATCH($B285, 'Lookups - Complexity'!$B:$B,0)), $K285="High", INDEX('Lookups - Complexity'!$E:$E, MATCH($B285, 'Lookups - Complexity'!$B:$B,0))), ""))</f>
        <v/>
      </c>
      <c r="M285" s="11">
        <f>IF($I285="FTE", Assumptions!$B$3, "")</f>
        <v/>
      </c>
      <c r="N285" s="11">
        <f t="array" ref="N285">IFERROR(INDEX(Milestones!$F:$F, MATCH($B285, Milestones!$B:$B, 0)), "")</f>
        <v/>
      </c>
      <c r="O285" s="11">
        <f t="array" ref="O285">IFERROR(INDEX(Milestones!$G:$G, MATCH($B285, Milestones!$B:$B, 0)), "")</f>
        <v/>
      </c>
      <c r="P285" s="11">
        <f t="array" ref="P285">IFERROR(INDEX('Lookups - Rates'!$D:$D, MATCH($G285&amp;"|"&amp;$H285, 'Lookups - Rates'!$Z:$Z, 0)), "")</f>
        <v/>
      </c>
      <c r="Q285" s="11">
        <f t="array" ref="Q285">IFERROR(INDEX('Lookups - Rates'!$E:$E, MATCH($G285&amp;"|"&amp;$H285, 'Lookups - Rates'!$Z:$Z, 0)), "")</f>
        <v/>
      </c>
      <c r="R285" s="11">
        <f>LET(ev,$J285, ch,$L285, hr,$P285, dr,$Q285, hpday,Assumptions!$B$2, hpw,Assumptions!$B$3, w,$M285, hrs, IF($I285="Hours", ev, IF($I285="Days", ev*IF(dr&gt;0, dr/hr, hpday), IF($I285="FTE", ev*hpw*w, ch))), IF(hrs="", "", hrs*hr))</f>
        <v/>
      </c>
      <c r="S285" s="13" t="n"/>
      <c r="T285" s="11">
        <f t="array" ref="T285">XLOOKUP(Scenario_Selected, INDEX(Scenario_Table,0,1), INDEX(Scenario_Table,0,2))</f>
        <v/>
      </c>
      <c r="U285" s="11">
        <f t="array" ref="U285">XLOOKUP(Scenario_Selected, INDEX(Scenario_Table,0,1), INDEX(Scenario_Table,0,3))</f>
        <v/>
      </c>
      <c r="V285" s="11">
        <f t="array" ref="V285">XLOOKUP(Scenario_Selected, INDEX(Scenario_Table,0,1), INDEX(Scenario_Table,0,4))</f>
        <v/>
      </c>
      <c r="W285" s="11">
        <f t="array" ref="W285">LET(ev,$J285, ch,$L285, et,$I285, dr,$Q285, hpday,Assumptions!$B$2, hpw,Assumptions!$B$3, w,$M285,hm,INDIRECT("R[0]C[0]",FALSE),hrs, IF(et="Hours", ev, IF(et="Days", ev*IF(dr&gt;0, dr/$P285, hpday), IF(et="FTE", ev*hpw*w, ch))), IF(hrs="", "", hrs*hm))</f>
        <v/>
      </c>
      <c r="X285" s="11">
        <f>IF($P285="","", $P285*INDIRECT("R[0]C[-3]",FALSE))</f>
        <v/>
      </c>
      <c r="Y285" s="11">
        <f>IF(INDIRECT("R[0]C[-1]",FALSE)="","", INDIRECT("R[0]C[-2]",FALSE)*INDIRECT("R[0]C[-1]",FALSE)*(1+INDIRECT("R[0]C[-3]",FALSE)))</f>
        <v/>
      </c>
      <c r="Z285" s="13" t="n"/>
    </row>
    <row r="286" ht="15.75" customHeight="1" s="74">
      <c r="A286" s="11" t="n">
        <v>286</v>
      </c>
      <c r="C286" s="11">
        <f t="array" ref="C286">IFERROR(INDEX(Milestones!$A:$A, MATCH($B286, Milestones!$B:$B, 0)), "")</f>
        <v/>
      </c>
      <c r="D286" s="11">
        <f t="array" ref="D286">IFERROR(INDEX(Milestones!$C:$C, MATCH($B286, Milestones!$B:$B, 0)), "")</f>
        <v/>
      </c>
      <c r="F286" s="11">
        <f t="array" ref="F286">IFERROR(INDEX(Milestones!$E:$E, MATCH($B286, Milestones!$B:$B, 0)), "")</f>
        <v/>
      </c>
      <c r="I286" s="11" t="n"/>
      <c r="J286" s="20" t="n"/>
      <c r="K286" s="11" t="n"/>
      <c r="L286" s="11">
        <f t="array" ref="L286">IF($K286="","", IFERROR(IFS($K286="Low", INDEX('Lookups - Complexity'!$C:$C, MATCH($B286, 'Lookups - Complexity'!$B:$B,0)), $K286="Medium", INDEX('Lookups - Complexity'!$D:$D, MATCH($B286, 'Lookups - Complexity'!$B:$B,0)), $K286="High", INDEX('Lookups - Complexity'!$E:$E, MATCH($B286, 'Lookups - Complexity'!$B:$B,0))), ""))</f>
        <v/>
      </c>
      <c r="M286" s="11">
        <f>IF($I286="FTE", Assumptions!$B$3, "")</f>
        <v/>
      </c>
      <c r="N286" s="11">
        <f t="array" ref="N286">IFERROR(INDEX(Milestones!$F:$F, MATCH($B286, Milestones!$B:$B, 0)), "")</f>
        <v/>
      </c>
      <c r="O286" s="11">
        <f t="array" ref="O286">IFERROR(INDEX(Milestones!$G:$G, MATCH($B286, Milestones!$B:$B, 0)), "")</f>
        <v/>
      </c>
      <c r="P286" s="11">
        <f t="array" ref="P286">IFERROR(INDEX('Lookups - Rates'!$D:$D, MATCH($G286&amp;"|"&amp;$H286, 'Lookups - Rates'!$Z:$Z, 0)), "")</f>
        <v/>
      </c>
      <c r="Q286" s="11">
        <f t="array" ref="Q286">IFERROR(INDEX('Lookups - Rates'!$E:$E, MATCH($G286&amp;"|"&amp;$H286, 'Lookups - Rates'!$Z:$Z, 0)), "")</f>
        <v/>
      </c>
      <c r="R286" s="11">
        <f>LET(ev,$J286, ch,$L286, hr,$P286, dr,$Q286, hpday,Assumptions!$B$2, hpw,Assumptions!$B$3, w,$M286, hrs, IF($I286="Hours", ev, IF($I286="Days", ev*IF(dr&gt;0, dr/hr, hpday), IF($I286="FTE", ev*hpw*w, ch))), IF(hrs="", "", hrs*hr))</f>
        <v/>
      </c>
      <c r="S286" s="13" t="n"/>
      <c r="T286" s="11">
        <f t="array" ref="T286">XLOOKUP(Scenario_Selected, INDEX(Scenario_Table,0,1), INDEX(Scenario_Table,0,2))</f>
        <v/>
      </c>
      <c r="U286" s="11">
        <f t="array" ref="U286">XLOOKUP(Scenario_Selected, INDEX(Scenario_Table,0,1), INDEX(Scenario_Table,0,3))</f>
        <v/>
      </c>
      <c r="V286" s="11">
        <f t="array" ref="V286">XLOOKUP(Scenario_Selected, INDEX(Scenario_Table,0,1), INDEX(Scenario_Table,0,4))</f>
        <v/>
      </c>
      <c r="W286" s="11">
        <f t="array" ref="W286">LET(ev,$J286, ch,$L286, et,$I286, dr,$Q286, hpday,Assumptions!$B$2, hpw,Assumptions!$B$3, w,$M286,hm,INDIRECT("R[0]C[0]",FALSE),hrs, IF(et="Hours", ev, IF(et="Days", ev*IF(dr&gt;0, dr/$P286, hpday), IF(et="FTE", ev*hpw*w, ch))), IF(hrs="", "", hrs*hm))</f>
        <v/>
      </c>
      <c r="X286" s="11">
        <f>IF($P286="","", $P286*INDIRECT("R[0]C[-3]",FALSE))</f>
        <v/>
      </c>
      <c r="Y286" s="11">
        <f>IF(INDIRECT("R[0]C[-1]",FALSE)="","", INDIRECT("R[0]C[-2]",FALSE)*INDIRECT("R[0]C[-1]",FALSE)*(1+INDIRECT("R[0]C[-3]",FALSE)))</f>
        <v/>
      </c>
      <c r="Z286" s="13" t="n"/>
    </row>
    <row r="287" ht="15.75" customHeight="1" s="74">
      <c r="A287" s="11" t="n">
        <v>287</v>
      </c>
      <c r="C287" s="11">
        <f t="array" ref="C287">IFERROR(INDEX(Milestones!$A:$A, MATCH($B287, Milestones!$B:$B, 0)), "")</f>
        <v/>
      </c>
      <c r="D287" s="11">
        <f t="array" ref="D287">IFERROR(INDEX(Milestones!$C:$C, MATCH($B287, Milestones!$B:$B, 0)), "")</f>
        <v/>
      </c>
      <c r="F287" s="11">
        <f t="array" ref="F287">IFERROR(INDEX(Milestones!$E:$E, MATCH($B287, Milestones!$B:$B, 0)), "")</f>
        <v/>
      </c>
      <c r="I287" s="11" t="n"/>
      <c r="J287" s="20" t="n"/>
      <c r="K287" s="11" t="n"/>
      <c r="L287" s="11">
        <f t="array" ref="L287">IF($K287="","", IFERROR(IFS($K287="Low", INDEX('Lookups - Complexity'!$C:$C, MATCH($B287, 'Lookups - Complexity'!$B:$B,0)), $K287="Medium", INDEX('Lookups - Complexity'!$D:$D, MATCH($B287, 'Lookups - Complexity'!$B:$B,0)), $K287="High", INDEX('Lookups - Complexity'!$E:$E, MATCH($B287, 'Lookups - Complexity'!$B:$B,0))), ""))</f>
        <v/>
      </c>
      <c r="M287" s="11">
        <f>IF($I287="FTE", Assumptions!$B$3, "")</f>
        <v/>
      </c>
      <c r="N287" s="11">
        <f t="array" ref="N287">IFERROR(INDEX(Milestones!$F:$F, MATCH($B287, Milestones!$B:$B, 0)), "")</f>
        <v/>
      </c>
      <c r="O287" s="11">
        <f t="array" ref="O287">IFERROR(INDEX(Milestones!$G:$G, MATCH($B287, Milestones!$B:$B, 0)), "")</f>
        <v/>
      </c>
      <c r="P287" s="11">
        <f t="array" ref="P287">IFERROR(INDEX('Lookups - Rates'!$D:$D, MATCH($G287&amp;"|"&amp;$H287, 'Lookups - Rates'!$Z:$Z, 0)), "")</f>
        <v/>
      </c>
      <c r="Q287" s="11">
        <f t="array" ref="Q287">IFERROR(INDEX('Lookups - Rates'!$E:$E, MATCH($G287&amp;"|"&amp;$H287, 'Lookups - Rates'!$Z:$Z, 0)), "")</f>
        <v/>
      </c>
      <c r="R287" s="11">
        <f>LET(ev,$J287, ch,$L287, hr,$P287, dr,$Q287, hpday,Assumptions!$B$2, hpw,Assumptions!$B$3, w,$M287, hrs, IF($I287="Hours", ev, IF($I287="Days", ev*IF(dr&gt;0, dr/hr, hpday), IF($I287="FTE", ev*hpw*w, ch))), IF(hrs="", "", hrs*hr))</f>
        <v/>
      </c>
      <c r="S287" s="13" t="n"/>
      <c r="T287" s="11">
        <f t="array" ref="T287">XLOOKUP(Scenario_Selected, INDEX(Scenario_Table,0,1), INDEX(Scenario_Table,0,2))</f>
        <v/>
      </c>
      <c r="U287" s="11">
        <f t="array" ref="U287">XLOOKUP(Scenario_Selected, INDEX(Scenario_Table,0,1), INDEX(Scenario_Table,0,3))</f>
        <v/>
      </c>
      <c r="V287" s="11">
        <f t="array" ref="V287">XLOOKUP(Scenario_Selected, INDEX(Scenario_Table,0,1), INDEX(Scenario_Table,0,4))</f>
        <v/>
      </c>
      <c r="W287" s="11">
        <f t="array" ref="W287">LET(ev,$J287, ch,$L287, et,$I287, dr,$Q287, hpday,Assumptions!$B$2, hpw,Assumptions!$B$3, w,$M287,hm,INDIRECT("R[0]C[0]",FALSE),hrs, IF(et="Hours", ev, IF(et="Days", ev*IF(dr&gt;0, dr/$P287, hpday), IF(et="FTE", ev*hpw*w, ch))), IF(hrs="", "", hrs*hm))</f>
        <v/>
      </c>
      <c r="X287" s="11">
        <f>IF($P287="","", $P287*INDIRECT("R[0]C[-3]",FALSE))</f>
        <v/>
      </c>
      <c r="Y287" s="11">
        <f>IF(INDIRECT("R[0]C[-1]",FALSE)="","", INDIRECT("R[0]C[-2]",FALSE)*INDIRECT("R[0]C[-1]",FALSE)*(1+INDIRECT("R[0]C[-3]",FALSE)))</f>
        <v/>
      </c>
      <c r="Z287" s="13" t="n"/>
    </row>
    <row r="288" ht="15.75" customHeight="1" s="74">
      <c r="A288" s="11" t="n">
        <v>288</v>
      </c>
      <c r="C288" s="11">
        <f t="array" ref="C288">IFERROR(INDEX(Milestones!$A:$A, MATCH($B288, Milestones!$B:$B, 0)), "")</f>
        <v/>
      </c>
      <c r="D288" s="11">
        <f t="array" ref="D288">IFERROR(INDEX(Milestones!$C:$C, MATCH($B288, Milestones!$B:$B, 0)), "")</f>
        <v/>
      </c>
      <c r="F288" s="11">
        <f t="array" ref="F288">IFERROR(INDEX(Milestones!$E:$E, MATCH($B288, Milestones!$B:$B, 0)), "")</f>
        <v/>
      </c>
      <c r="I288" s="11" t="n"/>
      <c r="J288" s="20" t="n"/>
      <c r="K288" s="11" t="n"/>
      <c r="L288" s="11">
        <f t="array" ref="L288">IF($K288="","", IFERROR(IFS($K288="Low", INDEX('Lookups - Complexity'!$C:$C, MATCH($B288, 'Lookups - Complexity'!$B:$B,0)), $K288="Medium", INDEX('Lookups - Complexity'!$D:$D, MATCH($B288, 'Lookups - Complexity'!$B:$B,0)), $K288="High", INDEX('Lookups - Complexity'!$E:$E, MATCH($B288, 'Lookups - Complexity'!$B:$B,0))), ""))</f>
        <v/>
      </c>
      <c r="M288" s="11">
        <f>IF($I288="FTE", Assumptions!$B$3, "")</f>
        <v/>
      </c>
      <c r="N288" s="11">
        <f t="array" ref="N288">IFERROR(INDEX(Milestones!$F:$F, MATCH($B288, Milestones!$B:$B, 0)), "")</f>
        <v/>
      </c>
      <c r="O288" s="11">
        <f t="array" ref="O288">IFERROR(INDEX(Milestones!$G:$G, MATCH($B288, Milestones!$B:$B, 0)), "")</f>
        <v/>
      </c>
      <c r="P288" s="11">
        <f t="array" ref="P288">IFERROR(INDEX('Lookups - Rates'!$D:$D, MATCH($G288&amp;"|"&amp;$H288, 'Lookups - Rates'!$Z:$Z, 0)), "")</f>
        <v/>
      </c>
      <c r="Q288" s="11">
        <f t="array" ref="Q288">IFERROR(INDEX('Lookups - Rates'!$E:$E, MATCH($G288&amp;"|"&amp;$H288, 'Lookups - Rates'!$Z:$Z, 0)), "")</f>
        <v/>
      </c>
      <c r="R288" s="11">
        <f>LET(ev,$J288, ch,$L288, hr,$P288, dr,$Q288, hpday,Assumptions!$B$2, hpw,Assumptions!$B$3, w,$M288, hrs, IF($I288="Hours", ev, IF($I288="Days", ev*IF(dr&gt;0, dr/hr, hpday), IF($I288="FTE", ev*hpw*w, ch))), IF(hrs="", "", hrs*hr))</f>
        <v/>
      </c>
      <c r="S288" s="13" t="n"/>
      <c r="T288" s="11">
        <f t="array" ref="T288">XLOOKUP(Scenario_Selected, INDEX(Scenario_Table,0,1), INDEX(Scenario_Table,0,2))</f>
        <v/>
      </c>
      <c r="U288" s="11">
        <f t="array" ref="U288">XLOOKUP(Scenario_Selected, INDEX(Scenario_Table,0,1), INDEX(Scenario_Table,0,3))</f>
        <v/>
      </c>
      <c r="V288" s="11">
        <f t="array" ref="V288">XLOOKUP(Scenario_Selected, INDEX(Scenario_Table,0,1), INDEX(Scenario_Table,0,4))</f>
        <v/>
      </c>
      <c r="W288" s="11">
        <f t="array" ref="W288">LET(ev,$J288, ch,$L288, et,$I288, dr,$Q288, hpday,Assumptions!$B$2, hpw,Assumptions!$B$3, w,$M288,hm,INDIRECT("R[0]C[0]",FALSE),hrs, IF(et="Hours", ev, IF(et="Days", ev*IF(dr&gt;0, dr/$P288, hpday), IF(et="FTE", ev*hpw*w, ch))), IF(hrs="", "", hrs*hm))</f>
        <v/>
      </c>
      <c r="X288" s="11">
        <f>IF($P288="","", $P288*INDIRECT("R[0]C[-3]",FALSE))</f>
        <v/>
      </c>
      <c r="Y288" s="11">
        <f>IF(INDIRECT("R[0]C[-1]",FALSE)="","", INDIRECT("R[0]C[-2]",FALSE)*INDIRECT("R[0]C[-1]",FALSE)*(1+INDIRECT("R[0]C[-3]",FALSE)))</f>
        <v/>
      </c>
      <c r="Z288" s="13" t="n"/>
    </row>
    <row r="289" ht="15.75" customHeight="1" s="74">
      <c r="A289" s="11" t="n">
        <v>289</v>
      </c>
      <c r="C289" s="11">
        <f t="array" ref="C289">IFERROR(INDEX(Milestones!$A:$A, MATCH($B289, Milestones!$B:$B, 0)), "")</f>
        <v/>
      </c>
      <c r="D289" s="11">
        <f t="array" ref="D289">IFERROR(INDEX(Milestones!$C:$C, MATCH($B289, Milestones!$B:$B, 0)), "")</f>
        <v/>
      </c>
      <c r="F289" s="11">
        <f t="array" ref="F289">IFERROR(INDEX(Milestones!$E:$E, MATCH($B289, Milestones!$B:$B, 0)), "")</f>
        <v/>
      </c>
      <c r="I289" s="11" t="n"/>
      <c r="J289" s="20" t="n"/>
      <c r="K289" s="11" t="n"/>
      <c r="L289" s="11">
        <f t="array" ref="L289">IF($K289="","", IFERROR(IFS($K289="Low", INDEX('Lookups - Complexity'!$C:$C, MATCH($B289, 'Lookups - Complexity'!$B:$B,0)), $K289="Medium", INDEX('Lookups - Complexity'!$D:$D, MATCH($B289, 'Lookups - Complexity'!$B:$B,0)), $K289="High", INDEX('Lookups - Complexity'!$E:$E, MATCH($B289, 'Lookups - Complexity'!$B:$B,0))), ""))</f>
        <v/>
      </c>
      <c r="M289" s="11">
        <f>IF($I289="FTE", Assumptions!$B$3, "")</f>
        <v/>
      </c>
      <c r="N289" s="11">
        <f t="array" ref="N289">IFERROR(INDEX(Milestones!$F:$F, MATCH($B289, Milestones!$B:$B, 0)), "")</f>
        <v/>
      </c>
      <c r="O289" s="11">
        <f t="array" ref="O289">IFERROR(INDEX(Milestones!$G:$G, MATCH($B289, Milestones!$B:$B, 0)), "")</f>
        <v/>
      </c>
      <c r="P289" s="11">
        <f t="array" ref="P289">IFERROR(INDEX('Lookups - Rates'!$D:$D, MATCH($G289&amp;"|"&amp;$H289, 'Lookups - Rates'!$Z:$Z, 0)), "")</f>
        <v/>
      </c>
      <c r="Q289" s="11">
        <f t="array" ref="Q289">IFERROR(INDEX('Lookups - Rates'!$E:$E, MATCH($G289&amp;"|"&amp;$H289, 'Lookups - Rates'!$Z:$Z, 0)), "")</f>
        <v/>
      </c>
      <c r="R289" s="11">
        <f>LET(ev,$J289, ch,$L289, hr,$P289, dr,$Q289, hpday,Assumptions!$B$2, hpw,Assumptions!$B$3, w,$M289, hrs, IF($I289="Hours", ev, IF($I289="Days", ev*IF(dr&gt;0, dr/hr, hpday), IF($I289="FTE", ev*hpw*w, ch))), IF(hrs="", "", hrs*hr))</f>
        <v/>
      </c>
      <c r="S289" s="13" t="n"/>
      <c r="T289" s="11">
        <f t="array" ref="T289">XLOOKUP(Scenario_Selected, INDEX(Scenario_Table,0,1), INDEX(Scenario_Table,0,2))</f>
        <v/>
      </c>
      <c r="U289" s="11">
        <f t="array" ref="U289">XLOOKUP(Scenario_Selected, INDEX(Scenario_Table,0,1), INDEX(Scenario_Table,0,3))</f>
        <v/>
      </c>
      <c r="V289" s="11">
        <f t="array" ref="V289">XLOOKUP(Scenario_Selected, INDEX(Scenario_Table,0,1), INDEX(Scenario_Table,0,4))</f>
        <v/>
      </c>
      <c r="W289" s="11">
        <f t="array" ref="W289">LET(ev,$J289, ch,$L289, et,$I289, dr,$Q289, hpday,Assumptions!$B$2, hpw,Assumptions!$B$3, w,$M289,hm,INDIRECT("R[0]C[0]",FALSE),hrs, IF(et="Hours", ev, IF(et="Days", ev*IF(dr&gt;0, dr/$P289, hpday), IF(et="FTE", ev*hpw*w, ch))), IF(hrs="", "", hrs*hm))</f>
        <v/>
      </c>
      <c r="X289" s="11">
        <f>IF($P289="","", $P289*INDIRECT("R[0]C[-3]",FALSE))</f>
        <v/>
      </c>
      <c r="Y289" s="11">
        <f>IF(INDIRECT("R[0]C[-1]",FALSE)="","", INDIRECT("R[0]C[-2]",FALSE)*INDIRECT("R[0]C[-1]",FALSE)*(1+INDIRECT("R[0]C[-3]",FALSE)))</f>
        <v/>
      </c>
      <c r="Z289" s="13" t="n"/>
    </row>
    <row r="290" ht="15.75" customHeight="1" s="74">
      <c r="A290" s="11" t="n">
        <v>290</v>
      </c>
      <c r="C290" s="11">
        <f t="array" ref="C290">IFERROR(INDEX(Milestones!$A:$A, MATCH($B290, Milestones!$B:$B, 0)), "")</f>
        <v/>
      </c>
      <c r="D290" s="11">
        <f t="array" ref="D290">IFERROR(INDEX(Milestones!$C:$C, MATCH($B290, Milestones!$B:$B, 0)), "")</f>
        <v/>
      </c>
      <c r="F290" s="11">
        <f t="array" ref="F290">IFERROR(INDEX(Milestones!$E:$E, MATCH($B290, Milestones!$B:$B, 0)), "")</f>
        <v/>
      </c>
      <c r="I290" s="11" t="n"/>
      <c r="J290" s="20" t="n"/>
      <c r="K290" s="11" t="n"/>
      <c r="L290" s="11">
        <f t="array" ref="L290">IF($K290="","", IFERROR(IFS($K290="Low", INDEX('Lookups - Complexity'!$C:$C, MATCH($B290, 'Lookups - Complexity'!$B:$B,0)), $K290="Medium", INDEX('Lookups - Complexity'!$D:$D, MATCH($B290, 'Lookups - Complexity'!$B:$B,0)), $K290="High", INDEX('Lookups - Complexity'!$E:$E, MATCH($B290, 'Lookups - Complexity'!$B:$B,0))), ""))</f>
        <v/>
      </c>
      <c r="M290" s="11">
        <f>IF($I290="FTE", Assumptions!$B$3, "")</f>
        <v/>
      </c>
      <c r="N290" s="11">
        <f t="array" ref="N290">IFERROR(INDEX(Milestones!$F:$F, MATCH($B290, Milestones!$B:$B, 0)), "")</f>
        <v/>
      </c>
      <c r="O290" s="11">
        <f t="array" ref="O290">IFERROR(INDEX(Milestones!$G:$G, MATCH($B290, Milestones!$B:$B, 0)), "")</f>
        <v/>
      </c>
      <c r="P290" s="11">
        <f t="array" ref="P290">IFERROR(INDEX('Lookups - Rates'!$D:$D, MATCH($G290&amp;"|"&amp;$H290, 'Lookups - Rates'!$Z:$Z, 0)), "")</f>
        <v/>
      </c>
      <c r="Q290" s="11">
        <f t="array" ref="Q290">IFERROR(INDEX('Lookups - Rates'!$E:$E, MATCH($G290&amp;"|"&amp;$H290, 'Lookups - Rates'!$Z:$Z, 0)), "")</f>
        <v/>
      </c>
      <c r="R290" s="11">
        <f>LET(ev,$J290, ch,$L290, hr,$P290, dr,$Q290, hpday,Assumptions!$B$2, hpw,Assumptions!$B$3, w,$M290, hrs, IF($I290="Hours", ev, IF($I290="Days", ev*IF(dr&gt;0, dr/hr, hpday), IF($I290="FTE", ev*hpw*w, ch))), IF(hrs="", "", hrs*hr))</f>
        <v/>
      </c>
      <c r="S290" s="13" t="n"/>
      <c r="T290" s="11">
        <f t="array" ref="T290">XLOOKUP(Scenario_Selected, INDEX(Scenario_Table,0,1), INDEX(Scenario_Table,0,2))</f>
        <v/>
      </c>
      <c r="U290" s="11">
        <f t="array" ref="U290">XLOOKUP(Scenario_Selected, INDEX(Scenario_Table,0,1), INDEX(Scenario_Table,0,3))</f>
        <v/>
      </c>
      <c r="V290" s="11">
        <f t="array" ref="V290">XLOOKUP(Scenario_Selected, INDEX(Scenario_Table,0,1), INDEX(Scenario_Table,0,4))</f>
        <v/>
      </c>
      <c r="W290" s="11">
        <f t="array" ref="W290">LET(ev,$J290, ch,$L290, et,$I290, dr,$Q290, hpday,Assumptions!$B$2, hpw,Assumptions!$B$3, w,$M290,hm,INDIRECT("R[0]C[0]",FALSE),hrs, IF(et="Hours", ev, IF(et="Days", ev*IF(dr&gt;0, dr/$P290, hpday), IF(et="FTE", ev*hpw*w, ch))), IF(hrs="", "", hrs*hm))</f>
        <v/>
      </c>
      <c r="X290" s="11">
        <f>IF($P290="","", $P290*INDIRECT("R[0]C[-3]",FALSE))</f>
        <v/>
      </c>
      <c r="Y290" s="11">
        <f>IF(INDIRECT("R[0]C[-1]",FALSE)="","", INDIRECT("R[0]C[-2]",FALSE)*INDIRECT("R[0]C[-1]",FALSE)*(1+INDIRECT("R[0]C[-3]",FALSE)))</f>
        <v/>
      </c>
      <c r="Z290" s="13" t="n"/>
    </row>
    <row r="291" ht="15.75" customHeight="1" s="74">
      <c r="A291" s="11" t="n">
        <v>291</v>
      </c>
      <c r="C291" s="11">
        <f t="array" ref="C291">IFERROR(INDEX(Milestones!$A:$A, MATCH($B291, Milestones!$B:$B, 0)), "")</f>
        <v/>
      </c>
      <c r="D291" s="11">
        <f t="array" ref="D291">IFERROR(INDEX(Milestones!$C:$C, MATCH($B291, Milestones!$B:$B, 0)), "")</f>
        <v/>
      </c>
      <c r="F291" s="11">
        <f t="array" ref="F291">IFERROR(INDEX(Milestones!$E:$E, MATCH($B291, Milestones!$B:$B, 0)), "")</f>
        <v/>
      </c>
      <c r="I291" s="11" t="n"/>
      <c r="J291" s="20" t="n"/>
      <c r="K291" s="11" t="n"/>
      <c r="L291" s="11">
        <f t="array" ref="L291">IF($K291="","", IFERROR(IFS($K291="Low", INDEX('Lookups - Complexity'!$C:$C, MATCH($B291, 'Lookups - Complexity'!$B:$B,0)), $K291="Medium", INDEX('Lookups - Complexity'!$D:$D, MATCH($B291, 'Lookups - Complexity'!$B:$B,0)), $K291="High", INDEX('Lookups - Complexity'!$E:$E, MATCH($B291, 'Lookups - Complexity'!$B:$B,0))), ""))</f>
        <v/>
      </c>
      <c r="M291" s="11">
        <f>IF($I291="FTE", Assumptions!$B$3, "")</f>
        <v/>
      </c>
      <c r="N291" s="11">
        <f t="array" ref="N291">IFERROR(INDEX(Milestones!$F:$F, MATCH($B291, Milestones!$B:$B, 0)), "")</f>
        <v/>
      </c>
      <c r="O291" s="11">
        <f t="array" ref="O291">IFERROR(INDEX(Milestones!$G:$G, MATCH($B291, Milestones!$B:$B, 0)), "")</f>
        <v/>
      </c>
      <c r="P291" s="11">
        <f t="array" ref="P291">IFERROR(INDEX('Lookups - Rates'!$D:$D, MATCH($G291&amp;"|"&amp;$H291, 'Lookups - Rates'!$Z:$Z, 0)), "")</f>
        <v/>
      </c>
      <c r="Q291" s="11">
        <f t="array" ref="Q291">IFERROR(INDEX('Lookups - Rates'!$E:$E, MATCH($G291&amp;"|"&amp;$H291, 'Lookups - Rates'!$Z:$Z, 0)), "")</f>
        <v/>
      </c>
      <c r="R291" s="11">
        <f>LET(ev,$J291, ch,$L291, hr,$P291, dr,$Q291, hpday,Assumptions!$B$2, hpw,Assumptions!$B$3, w,$M291, hrs, IF($I291="Hours", ev, IF($I291="Days", ev*IF(dr&gt;0, dr/hr, hpday), IF($I291="FTE", ev*hpw*w, ch))), IF(hrs="", "", hrs*hr))</f>
        <v/>
      </c>
      <c r="S291" s="13" t="n"/>
      <c r="T291" s="11">
        <f t="array" ref="T291">XLOOKUP(Scenario_Selected, INDEX(Scenario_Table,0,1), INDEX(Scenario_Table,0,2))</f>
        <v/>
      </c>
      <c r="U291" s="11">
        <f t="array" ref="U291">XLOOKUP(Scenario_Selected, INDEX(Scenario_Table,0,1), INDEX(Scenario_Table,0,3))</f>
        <v/>
      </c>
      <c r="V291" s="11">
        <f t="array" ref="V291">XLOOKUP(Scenario_Selected, INDEX(Scenario_Table,0,1), INDEX(Scenario_Table,0,4))</f>
        <v/>
      </c>
      <c r="W291" s="11">
        <f t="array" ref="W291">LET(ev,$J291, ch,$L291, et,$I291, dr,$Q291, hpday,Assumptions!$B$2, hpw,Assumptions!$B$3, w,$M291,hm,INDIRECT("R[0]C[0]",FALSE),hrs, IF(et="Hours", ev, IF(et="Days", ev*IF(dr&gt;0, dr/$P291, hpday), IF(et="FTE", ev*hpw*w, ch))), IF(hrs="", "", hrs*hm))</f>
        <v/>
      </c>
      <c r="X291" s="11">
        <f>IF($P291="","", $P291*INDIRECT("R[0]C[-3]",FALSE))</f>
        <v/>
      </c>
      <c r="Y291" s="11">
        <f>IF(INDIRECT("R[0]C[-1]",FALSE)="","", INDIRECT("R[0]C[-2]",FALSE)*INDIRECT("R[0]C[-1]",FALSE)*(1+INDIRECT("R[0]C[-3]",FALSE)))</f>
        <v/>
      </c>
      <c r="Z291" s="13" t="n"/>
    </row>
    <row r="292" ht="15.75" customHeight="1" s="74">
      <c r="A292" s="11" t="n">
        <v>292</v>
      </c>
      <c r="C292" s="11">
        <f t="array" ref="C292">IFERROR(INDEX(Milestones!$A:$A, MATCH($B292, Milestones!$B:$B, 0)), "")</f>
        <v/>
      </c>
      <c r="D292" s="11">
        <f t="array" ref="D292">IFERROR(INDEX(Milestones!$C:$C, MATCH($B292, Milestones!$B:$B, 0)), "")</f>
        <v/>
      </c>
      <c r="F292" s="11">
        <f t="array" ref="F292">IFERROR(INDEX(Milestones!$E:$E, MATCH($B292, Milestones!$B:$B, 0)), "")</f>
        <v/>
      </c>
      <c r="I292" s="11" t="n"/>
      <c r="J292" s="20" t="n"/>
      <c r="K292" s="11" t="n"/>
      <c r="L292" s="11">
        <f t="array" ref="L292">IF($K292="","", IFERROR(IFS($K292="Low", INDEX('Lookups - Complexity'!$C:$C, MATCH($B292, 'Lookups - Complexity'!$B:$B,0)), $K292="Medium", INDEX('Lookups - Complexity'!$D:$D, MATCH($B292, 'Lookups - Complexity'!$B:$B,0)), $K292="High", INDEX('Lookups - Complexity'!$E:$E, MATCH($B292, 'Lookups - Complexity'!$B:$B,0))), ""))</f>
        <v/>
      </c>
      <c r="M292" s="11">
        <f>IF($I292="FTE", Assumptions!$B$3, "")</f>
        <v/>
      </c>
      <c r="N292" s="11">
        <f t="array" ref="N292">IFERROR(INDEX(Milestones!$F:$F, MATCH($B292, Milestones!$B:$B, 0)), "")</f>
        <v/>
      </c>
      <c r="O292" s="11">
        <f t="array" ref="O292">IFERROR(INDEX(Milestones!$G:$G, MATCH($B292, Milestones!$B:$B, 0)), "")</f>
        <v/>
      </c>
      <c r="P292" s="11">
        <f t="array" ref="P292">IFERROR(INDEX('Lookups - Rates'!$D:$D, MATCH($G292&amp;"|"&amp;$H292, 'Lookups - Rates'!$Z:$Z, 0)), "")</f>
        <v/>
      </c>
      <c r="Q292" s="11">
        <f t="array" ref="Q292">IFERROR(INDEX('Lookups - Rates'!$E:$E, MATCH($G292&amp;"|"&amp;$H292, 'Lookups - Rates'!$Z:$Z, 0)), "")</f>
        <v/>
      </c>
      <c r="R292" s="11">
        <f>LET(ev,$J292, ch,$L292, hr,$P292, dr,$Q292, hpday,Assumptions!$B$2, hpw,Assumptions!$B$3, w,$M292, hrs, IF($I292="Hours", ev, IF($I292="Days", ev*IF(dr&gt;0, dr/hr, hpday), IF($I292="FTE", ev*hpw*w, ch))), IF(hrs="", "", hrs*hr))</f>
        <v/>
      </c>
      <c r="S292" s="13" t="n"/>
      <c r="T292" s="11">
        <f t="array" ref="T292">XLOOKUP(Scenario_Selected, INDEX(Scenario_Table,0,1), INDEX(Scenario_Table,0,2))</f>
        <v/>
      </c>
      <c r="U292" s="11">
        <f t="array" ref="U292">XLOOKUP(Scenario_Selected, INDEX(Scenario_Table,0,1), INDEX(Scenario_Table,0,3))</f>
        <v/>
      </c>
      <c r="V292" s="11">
        <f t="array" ref="V292">XLOOKUP(Scenario_Selected, INDEX(Scenario_Table,0,1), INDEX(Scenario_Table,0,4))</f>
        <v/>
      </c>
      <c r="W292" s="11">
        <f t="array" ref="W292">LET(ev,$J292, ch,$L292, et,$I292, dr,$Q292, hpday,Assumptions!$B$2, hpw,Assumptions!$B$3, w,$M292,hm,INDIRECT("R[0]C[0]",FALSE),hrs, IF(et="Hours", ev, IF(et="Days", ev*IF(dr&gt;0, dr/$P292, hpday), IF(et="FTE", ev*hpw*w, ch))), IF(hrs="", "", hrs*hm))</f>
        <v/>
      </c>
      <c r="X292" s="11">
        <f>IF($P292="","", $P292*INDIRECT("R[0]C[-3]",FALSE))</f>
        <v/>
      </c>
      <c r="Y292" s="11">
        <f>IF(INDIRECT("R[0]C[-1]",FALSE)="","", INDIRECT("R[0]C[-2]",FALSE)*INDIRECT("R[0]C[-1]",FALSE)*(1+INDIRECT("R[0]C[-3]",FALSE)))</f>
        <v/>
      </c>
      <c r="Z292" s="13" t="n"/>
    </row>
    <row r="293" ht="15.75" customHeight="1" s="74">
      <c r="A293" s="11" t="n">
        <v>293</v>
      </c>
      <c r="C293" s="11">
        <f t="array" ref="C293">IFERROR(INDEX(Milestones!$A:$A, MATCH($B293, Milestones!$B:$B, 0)), "")</f>
        <v/>
      </c>
      <c r="D293" s="11">
        <f t="array" ref="D293">IFERROR(INDEX(Milestones!$C:$C, MATCH($B293, Milestones!$B:$B, 0)), "")</f>
        <v/>
      </c>
      <c r="F293" s="11">
        <f t="array" ref="F293">IFERROR(INDEX(Milestones!$E:$E, MATCH($B293, Milestones!$B:$B, 0)), "")</f>
        <v/>
      </c>
      <c r="I293" s="11" t="n"/>
      <c r="J293" s="20" t="n"/>
      <c r="K293" s="11" t="n"/>
      <c r="L293" s="11">
        <f t="array" ref="L293">IF($K293="","", IFERROR(IFS($K293="Low", INDEX('Lookups - Complexity'!$C:$C, MATCH($B293, 'Lookups - Complexity'!$B:$B,0)), $K293="Medium", INDEX('Lookups - Complexity'!$D:$D, MATCH($B293, 'Lookups - Complexity'!$B:$B,0)), $K293="High", INDEX('Lookups - Complexity'!$E:$E, MATCH($B293, 'Lookups - Complexity'!$B:$B,0))), ""))</f>
        <v/>
      </c>
      <c r="M293" s="11">
        <f>IF($I293="FTE", Assumptions!$B$3, "")</f>
        <v/>
      </c>
      <c r="N293" s="11">
        <f t="array" ref="N293">IFERROR(INDEX(Milestones!$F:$F, MATCH($B293, Milestones!$B:$B, 0)), "")</f>
        <v/>
      </c>
      <c r="O293" s="11">
        <f t="array" ref="O293">IFERROR(INDEX(Milestones!$G:$G, MATCH($B293, Milestones!$B:$B, 0)), "")</f>
        <v/>
      </c>
      <c r="P293" s="11">
        <f t="array" ref="P293">IFERROR(INDEX('Lookups - Rates'!$D:$D, MATCH($G293&amp;"|"&amp;$H293, 'Lookups - Rates'!$Z:$Z, 0)), "")</f>
        <v/>
      </c>
      <c r="Q293" s="11">
        <f t="array" ref="Q293">IFERROR(INDEX('Lookups - Rates'!$E:$E, MATCH($G293&amp;"|"&amp;$H293, 'Lookups - Rates'!$Z:$Z, 0)), "")</f>
        <v/>
      </c>
      <c r="R293" s="11">
        <f>LET(ev,$J293, ch,$L293, hr,$P293, dr,$Q293, hpday,Assumptions!$B$2, hpw,Assumptions!$B$3, w,$M293, hrs, IF($I293="Hours", ev, IF($I293="Days", ev*IF(dr&gt;0, dr/hr, hpday), IF($I293="FTE", ev*hpw*w, ch))), IF(hrs="", "", hrs*hr))</f>
        <v/>
      </c>
      <c r="S293" s="13" t="n"/>
      <c r="T293" s="11">
        <f t="array" ref="T293">XLOOKUP(Scenario_Selected, INDEX(Scenario_Table,0,1), INDEX(Scenario_Table,0,2))</f>
        <v/>
      </c>
      <c r="U293" s="11">
        <f t="array" ref="U293">XLOOKUP(Scenario_Selected, INDEX(Scenario_Table,0,1), INDEX(Scenario_Table,0,3))</f>
        <v/>
      </c>
      <c r="V293" s="11">
        <f t="array" ref="V293">XLOOKUP(Scenario_Selected, INDEX(Scenario_Table,0,1), INDEX(Scenario_Table,0,4))</f>
        <v/>
      </c>
      <c r="W293" s="11">
        <f t="array" ref="W293">LET(ev,$J293, ch,$L293, et,$I293, dr,$Q293, hpday,Assumptions!$B$2, hpw,Assumptions!$B$3, w,$M293,hm,INDIRECT("R[0]C[0]",FALSE),hrs, IF(et="Hours", ev, IF(et="Days", ev*IF(dr&gt;0, dr/$P293, hpday), IF(et="FTE", ev*hpw*w, ch))), IF(hrs="", "", hrs*hm))</f>
        <v/>
      </c>
      <c r="X293" s="11">
        <f>IF($P293="","", $P293*INDIRECT("R[0]C[-3]",FALSE))</f>
        <v/>
      </c>
      <c r="Y293" s="11">
        <f>IF(INDIRECT("R[0]C[-1]",FALSE)="","", INDIRECT("R[0]C[-2]",FALSE)*INDIRECT("R[0]C[-1]",FALSE)*(1+INDIRECT("R[0]C[-3]",FALSE)))</f>
        <v/>
      </c>
      <c r="Z293" s="13" t="n"/>
    </row>
    <row r="294" ht="15.75" customHeight="1" s="74">
      <c r="A294" s="11" t="n">
        <v>294</v>
      </c>
      <c r="C294" s="11">
        <f t="array" ref="C294">IFERROR(INDEX(Milestones!$A:$A, MATCH($B294, Milestones!$B:$B, 0)), "")</f>
        <v/>
      </c>
      <c r="D294" s="11">
        <f t="array" ref="D294">IFERROR(INDEX(Milestones!$C:$C, MATCH($B294, Milestones!$B:$B, 0)), "")</f>
        <v/>
      </c>
      <c r="F294" s="11">
        <f t="array" ref="F294">IFERROR(INDEX(Milestones!$E:$E, MATCH($B294, Milestones!$B:$B, 0)), "")</f>
        <v/>
      </c>
      <c r="I294" s="11" t="n"/>
      <c r="J294" s="20" t="n"/>
      <c r="K294" s="11" t="n"/>
      <c r="L294" s="11">
        <f t="array" ref="L294">IF($K294="","", IFERROR(IFS($K294="Low", INDEX('Lookups - Complexity'!$C:$C, MATCH($B294, 'Lookups - Complexity'!$B:$B,0)), $K294="Medium", INDEX('Lookups - Complexity'!$D:$D, MATCH($B294, 'Lookups - Complexity'!$B:$B,0)), $K294="High", INDEX('Lookups - Complexity'!$E:$E, MATCH($B294, 'Lookups - Complexity'!$B:$B,0))), ""))</f>
        <v/>
      </c>
      <c r="M294" s="11">
        <f>IF($I294="FTE", Assumptions!$B$3, "")</f>
        <v/>
      </c>
      <c r="N294" s="11">
        <f t="array" ref="N294">IFERROR(INDEX(Milestones!$F:$F, MATCH($B294, Milestones!$B:$B, 0)), "")</f>
        <v/>
      </c>
      <c r="O294" s="11">
        <f t="array" ref="O294">IFERROR(INDEX(Milestones!$G:$G, MATCH($B294, Milestones!$B:$B, 0)), "")</f>
        <v/>
      </c>
      <c r="P294" s="11">
        <f t="array" ref="P294">IFERROR(INDEX('Lookups - Rates'!$D:$D, MATCH($G294&amp;"|"&amp;$H294, 'Lookups - Rates'!$Z:$Z, 0)), "")</f>
        <v/>
      </c>
      <c r="Q294" s="11">
        <f t="array" ref="Q294">IFERROR(INDEX('Lookups - Rates'!$E:$E, MATCH($G294&amp;"|"&amp;$H294, 'Lookups - Rates'!$Z:$Z, 0)), "")</f>
        <v/>
      </c>
      <c r="R294" s="11">
        <f>LET(ev,$J294, ch,$L294, hr,$P294, dr,$Q294, hpday,Assumptions!$B$2, hpw,Assumptions!$B$3, w,$M294, hrs, IF($I294="Hours", ev, IF($I294="Days", ev*IF(dr&gt;0, dr/hr, hpday), IF($I294="FTE", ev*hpw*w, ch))), IF(hrs="", "", hrs*hr))</f>
        <v/>
      </c>
      <c r="S294" s="13" t="n"/>
      <c r="T294" s="11">
        <f t="array" ref="T294">XLOOKUP(Scenario_Selected, INDEX(Scenario_Table,0,1), INDEX(Scenario_Table,0,2))</f>
        <v/>
      </c>
      <c r="U294" s="11">
        <f t="array" ref="U294">XLOOKUP(Scenario_Selected, INDEX(Scenario_Table,0,1), INDEX(Scenario_Table,0,3))</f>
        <v/>
      </c>
      <c r="V294" s="11">
        <f t="array" ref="V294">XLOOKUP(Scenario_Selected, INDEX(Scenario_Table,0,1), INDEX(Scenario_Table,0,4))</f>
        <v/>
      </c>
      <c r="W294" s="11">
        <f t="array" ref="W294">LET(ev,$J294, ch,$L294, et,$I294, dr,$Q294, hpday,Assumptions!$B$2, hpw,Assumptions!$B$3, w,$M294,hm,INDIRECT("R[0]C[0]",FALSE),hrs, IF(et="Hours", ev, IF(et="Days", ev*IF(dr&gt;0, dr/$P294, hpday), IF(et="FTE", ev*hpw*w, ch))), IF(hrs="", "", hrs*hm))</f>
        <v/>
      </c>
      <c r="X294" s="11">
        <f>IF($P294="","", $P294*INDIRECT("R[0]C[-3]",FALSE))</f>
        <v/>
      </c>
      <c r="Y294" s="11">
        <f>IF(INDIRECT("R[0]C[-1]",FALSE)="","", INDIRECT("R[0]C[-2]",FALSE)*INDIRECT("R[0]C[-1]",FALSE)*(1+INDIRECT("R[0]C[-3]",FALSE)))</f>
        <v/>
      </c>
      <c r="Z294" s="13" t="n"/>
    </row>
    <row r="295" ht="15.75" customHeight="1" s="74">
      <c r="A295" s="11" t="n">
        <v>295</v>
      </c>
      <c r="C295" s="11">
        <f t="array" ref="C295">IFERROR(INDEX(Milestones!$A:$A, MATCH($B295, Milestones!$B:$B, 0)), "")</f>
        <v/>
      </c>
      <c r="D295" s="11">
        <f t="array" ref="D295">IFERROR(INDEX(Milestones!$C:$C, MATCH($B295, Milestones!$B:$B, 0)), "")</f>
        <v/>
      </c>
      <c r="F295" s="11">
        <f t="array" ref="F295">IFERROR(INDEX(Milestones!$E:$E, MATCH($B295, Milestones!$B:$B, 0)), "")</f>
        <v/>
      </c>
      <c r="I295" s="11" t="n"/>
      <c r="J295" s="20" t="n"/>
      <c r="K295" s="11" t="n"/>
      <c r="L295" s="11">
        <f t="array" ref="L295">IF($K295="","", IFERROR(IFS($K295="Low", INDEX('Lookups - Complexity'!$C:$C, MATCH($B295, 'Lookups - Complexity'!$B:$B,0)), $K295="Medium", INDEX('Lookups - Complexity'!$D:$D, MATCH($B295, 'Lookups - Complexity'!$B:$B,0)), $K295="High", INDEX('Lookups - Complexity'!$E:$E, MATCH($B295, 'Lookups - Complexity'!$B:$B,0))), ""))</f>
        <v/>
      </c>
      <c r="M295" s="11">
        <f>IF($I295="FTE", Assumptions!$B$3, "")</f>
        <v/>
      </c>
      <c r="N295" s="11">
        <f t="array" ref="N295">IFERROR(INDEX(Milestones!$F:$F, MATCH($B295, Milestones!$B:$B, 0)), "")</f>
        <v/>
      </c>
      <c r="O295" s="11">
        <f t="array" ref="O295">IFERROR(INDEX(Milestones!$G:$G, MATCH($B295, Milestones!$B:$B, 0)), "")</f>
        <v/>
      </c>
      <c r="P295" s="11">
        <f t="array" ref="P295">IFERROR(INDEX('Lookups - Rates'!$D:$D, MATCH($G295&amp;"|"&amp;$H295, 'Lookups - Rates'!$Z:$Z, 0)), "")</f>
        <v/>
      </c>
      <c r="Q295" s="11">
        <f t="array" ref="Q295">IFERROR(INDEX('Lookups - Rates'!$E:$E, MATCH($G295&amp;"|"&amp;$H295, 'Lookups - Rates'!$Z:$Z, 0)), "")</f>
        <v/>
      </c>
      <c r="R295" s="11">
        <f>LET(ev,$J295, ch,$L295, hr,$P295, dr,$Q295, hpday,Assumptions!$B$2, hpw,Assumptions!$B$3, w,$M295, hrs, IF($I295="Hours", ev, IF($I295="Days", ev*IF(dr&gt;0, dr/hr, hpday), IF($I295="FTE", ev*hpw*w, ch))), IF(hrs="", "", hrs*hr))</f>
        <v/>
      </c>
      <c r="S295" s="13" t="n"/>
      <c r="T295" s="11">
        <f t="array" ref="T295">XLOOKUP(Scenario_Selected, INDEX(Scenario_Table,0,1), INDEX(Scenario_Table,0,2))</f>
        <v/>
      </c>
      <c r="U295" s="11">
        <f t="array" ref="U295">XLOOKUP(Scenario_Selected, INDEX(Scenario_Table,0,1), INDEX(Scenario_Table,0,3))</f>
        <v/>
      </c>
      <c r="V295" s="11">
        <f t="array" ref="V295">XLOOKUP(Scenario_Selected, INDEX(Scenario_Table,0,1), INDEX(Scenario_Table,0,4))</f>
        <v/>
      </c>
      <c r="W295" s="11">
        <f t="array" ref="W295">LET(ev,$J295, ch,$L295, et,$I295, dr,$Q295, hpday,Assumptions!$B$2, hpw,Assumptions!$B$3, w,$M295,hm,INDIRECT("R[0]C[0]",FALSE),hrs, IF(et="Hours", ev, IF(et="Days", ev*IF(dr&gt;0, dr/$P295, hpday), IF(et="FTE", ev*hpw*w, ch))), IF(hrs="", "", hrs*hm))</f>
        <v/>
      </c>
      <c r="X295" s="11">
        <f>IF($P295="","", $P295*INDIRECT("R[0]C[-3]",FALSE))</f>
        <v/>
      </c>
      <c r="Y295" s="11">
        <f>IF(INDIRECT("R[0]C[-1]",FALSE)="","", INDIRECT("R[0]C[-2]",FALSE)*INDIRECT("R[0]C[-1]",FALSE)*(1+INDIRECT("R[0]C[-3]",FALSE)))</f>
        <v/>
      </c>
      <c r="Z295" s="13" t="n"/>
    </row>
    <row r="296" ht="15.75" customHeight="1" s="74">
      <c r="A296" s="11" t="n">
        <v>296</v>
      </c>
      <c r="C296" s="11">
        <f t="array" ref="C296">IFERROR(INDEX(Milestones!$A:$A, MATCH($B296, Milestones!$B:$B, 0)), "")</f>
        <v/>
      </c>
      <c r="D296" s="11">
        <f t="array" ref="D296">IFERROR(INDEX(Milestones!$C:$C, MATCH($B296, Milestones!$B:$B, 0)), "")</f>
        <v/>
      </c>
      <c r="F296" s="11">
        <f t="array" ref="F296">IFERROR(INDEX(Milestones!$E:$E, MATCH($B296, Milestones!$B:$B, 0)), "")</f>
        <v/>
      </c>
      <c r="I296" s="11" t="n"/>
      <c r="J296" s="20" t="n"/>
      <c r="K296" s="11" t="n"/>
      <c r="L296" s="11">
        <f t="array" ref="L296">IF($K296="","", IFERROR(IFS($K296="Low", INDEX('Lookups - Complexity'!$C:$C, MATCH($B296, 'Lookups - Complexity'!$B:$B,0)), $K296="Medium", INDEX('Lookups - Complexity'!$D:$D, MATCH($B296, 'Lookups - Complexity'!$B:$B,0)), $K296="High", INDEX('Lookups - Complexity'!$E:$E, MATCH($B296, 'Lookups - Complexity'!$B:$B,0))), ""))</f>
        <v/>
      </c>
      <c r="M296" s="11">
        <f>IF($I296="FTE", Assumptions!$B$3, "")</f>
        <v/>
      </c>
      <c r="N296" s="11">
        <f t="array" ref="N296">IFERROR(INDEX(Milestones!$F:$F, MATCH($B296, Milestones!$B:$B, 0)), "")</f>
        <v/>
      </c>
      <c r="O296" s="11">
        <f t="array" ref="O296">IFERROR(INDEX(Milestones!$G:$G, MATCH($B296, Milestones!$B:$B, 0)), "")</f>
        <v/>
      </c>
      <c r="P296" s="11">
        <f t="array" ref="P296">IFERROR(INDEX('Lookups - Rates'!$D:$D, MATCH($G296&amp;"|"&amp;$H296, 'Lookups - Rates'!$Z:$Z, 0)), "")</f>
        <v/>
      </c>
      <c r="Q296" s="11">
        <f t="array" ref="Q296">IFERROR(INDEX('Lookups - Rates'!$E:$E, MATCH($G296&amp;"|"&amp;$H296, 'Lookups - Rates'!$Z:$Z, 0)), "")</f>
        <v/>
      </c>
      <c r="R296" s="11">
        <f>LET(ev,$J296, ch,$L296, hr,$P296, dr,$Q296, hpday,Assumptions!$B$2, hpw,Assumptions!$B$3, w,$M296, hrs, IF($I296="Hours", ev, IF($I296="Days", ev*IF(dr&gt;0, dr/hr, hpday), IF($I296="FTE", ev*hpw*w, ch))), IF(hrs="", "", hrs*hr))</f>
        <v/>
      </c>
      <c r="S296" s="13" t="n"/>
      <c r="T296" s="11">
        <f t="array" ref="T296">XLOOKUP(Scenario_Selected, INDEX(Scenario_Table,0,1), INDEX(Scenario_Table,0,2))</f>
        <v/>
      </c>
      <c r="U296" s="11">
        <f t="array" ref="U296">XLOOKUP(Scenario_Selected, INDEX(Scenario_Table,0,1), INDEX(Scenario_Table,0,3))</f>
        <v/>
      </c>
      <c r="V296" s="11">
        <f t="array" ref="V296">XLOOKUP(Scenario_Selected, INDEX(Scenario_Table,0,1), INDEX(Scenario_Table,0,4))</f>
        <v/>
      </c>
      <c r="W296" s="11">
        <f t="array" ref="W296">LET(ev,$J296, ch,$L296, et,$I296, dr,$Q296, hpday,Assumptions!$B$2, hpw,Assumptions!$B$3, w,$M296,hm,INDIRECT("R[0]C[0]",FALSE),hrs, IF(et="Hours", ev, IF(et="Days", ev*IF(dr&gt;0, dr/$P296, hpday), IF(et="FTE", ev*hpw*w, ch))), IF(hrs="", "", hrs*hm))</f>
        <v/>
      </c>
      <c r="X296" s="11">
        <f>IF($P296="","", $P296*INDIRECT("R[0]C[-3]",FALSE))</f>
        <v/>
      </c>
      <c r="Y296" s="11">
        <f>IF(INDIRECT("R[0]C[-1]",FALSE)="","", INDIRECT("R[0]C[-2]",FALSE)*INDIRECT("R[0]C[-1]",FALSE)*(1+INDIRECT("R[0]C[-3]",FALSE)))</f>
        <v/>
      </c>
      <c r="Z296" s="13" t="n"/>
    </row>
    <row r="297" ht="15.75" customHeight="1" s="74">
      <c r="A297" s="11" t="n">
        <v>297</v>
      </c>
      <c r="C297" s="11">
        <f t="array" ref="C297">IFERROR(INDEX(Milestones!$A:$A, MATCH($B297, Milestones!$B:$B, 0)), "")</f>
        <v/>
      </c>
      <c r="D297" s="11">
        <f t="array" ref="D297">IFERROR(INDEX(Milestones!$C:$C, MATCH($B297, Milestones!$B:$B, 0)), "")</f>
        <v/>
      </c>
      <c r="F297" s="11">
        <f t="array" ref="F297">IFERROR(INDEX(Milestones!$E:$E, MATCH($B297, Milestones!$B:$B, 0)), "")</f>
        <v/>
      </c>
      <c r="I297" s="11" t="n"/>
      <c r="J297" s="20" t="n"/>
      <c r="K297" s="11" t="n"/>
      <c r="L297" s="11">
        <f t="array" ref="L297">IF($K297="","", IFERROR(IFS($K297="Low", INDEX('Lookups - Complexity'!$C:$C, MATCH($B297, 'Lookups - Complexity'!$B:$B,0)), $K297="Medium", INDEX('Lookups - Complexity'!$D:$D, MATCH($B297, 'Lookups - Complexity'!$B:$B,0)), $K297="High", INDEX('Lookups - Complexity'!$E:$E, MATCH($B297, 'Lookups - Complexity'!$B:$B,0))), ""))</f>
        <v/>
      </c>
      <c r="M297" s="11">
        <f>IF($I297="FTE", Assumptions!$B$3, "")</f>
        <v/>
      </c>
      <c r="N297" s="11">
        <f t="array" ref="N297">IFERROR(INDEX(Milestones!$F:$F, MATCH($B297, Milestones!$B:$B, 0)), "")</f>
        <v/>
      </c>
      <c r="O297" s="11">
        <f t="array" ref="O297">IFERROR(INDEX(Milestones!$G:$G, MATCH($B297, Milestones!$B:$B, 0)), "")</f>
        <v/>
      </c>
      <c r="P297" s="11">
        <f t="array" ref="P297">IFERROR(INDEX('Lookups - Rates'!$D:$D, MATCH($G297&amp;"|"&amp;$H297, 'Lookups - Rates'!$Z:$Z, 0)), "")</f>
        <v/>
      </c>
      <c r="Q297" s="11">
        <f t="array" ref="Q297">IFERROR(INDEX('Lookups - Rates'!$E:$E, MATCH($G297&amp;"|"&amp;$H297, 'Lookups - Rates'!$Z:$Z, 0)), "")</f>
        <v/>
      </c>
      <c r="R297" s="11">
        <f>LET(ev,$J297, ch,$L297, hr,$P297, dr,$Q297, hpday,Assumptions!$B$2, hpw,Assumptions!$B$3, w,$M297, hrs, IF($I297="Hours", ev, IF($I297="Days", ev*IF(dr&gt;0, dr/hr, hpday), IF($I297="FTE", ev*hpw*w, ch))), IF(hrs="", "", hrs*hr))</f>
        <v/>
      </c>
      <c r="S297" s="13" t="n"/>
      <c r="T297" s="11">
        <f t="array" ref="T297">XLOOKUP(Scenario_Selected, INDEX(Scenario_Table,0,1), INDEX(Scenario_Table,0,2))</f>
        <v/>
      </c>
      <c r="U297" s="11">
        <f t="array" ref="U297">XLOOKUP(Scenario_Selected, INDEX(Scenario_Table,0,1), INDEX(Scenario_Table,0,3))</f>
        <v/>
      </c>
      <c r="V297" s="11">
        <f t="array" ref="V297">XLOOKUP(Scenario_Selected, INDEX(Scenario_Table,0,1), INDEX(Scenario_Table,0,4))</f>
        <v/>
      </c>
      <c r="W297" s="11">
        <f t="array" ref="W297">LET(ev,$J297, ch,$L297, et,$I297, dr,$Q297, hpday,Assumptions!$B$2, hpw,Assumptions!$B$3, w,$M297,hm,INDIRECT("R[0]C[0]",FALSE),hrs, IF(et="Hours", ev, IF(et="Days", ev*IF(dr&gt;0, dr/$P297, hpday), IF(et="FTE", ev*hpw*w, ch))), IF(hrs="", "", hrs*hm))</f>
        <v/>
      </c>
      <c r="X297" s="11">
        <f>IF($P297="","", $P297*INDIRECT("R[0]C[-3]",FALSE))</f>
        <v/>
      </c>
      <c r="Y297" s="11">
        <f>IF(INDIRECT("R[0]C[-1]",FALSE)="","", INDIRECT("R[0]C[-2]",FALSE)*INDIRECT("R[0]C[-1]",FALSE)*(1+INDIRECT("R[0]C[-3]",FALSE)))</f>
        <v/>
      </c>
      <c r="Z297" s="13" t="n"/>
    </row>
    <row r="298" ht="15.75" customHeight="1" s="74">
      <c r="A298" s="11" t="n">
        <v>298</v>
      </c>
      <c r="C298" s="11">
        <f t="array" ref="C298">IFERROR(INDEX(Milestones!$A:$A, MATCH($B298, Milestones!$B:$B, 0)), "")</f>
        <v/>
      </c>
      <c r="D298" s="11">
        <f t="array" ref="D298">IFERROR(INDEX(Milestones!$C:$C, MATCH($B298, Milestones!$B:$B, 0)), "")</f>
        <v/>
      </c>
      <c r="F298" s="11">
        <f t="array" ref="F298">IFERROR(INDEX(Milestones!$E:$E, MATCH($B298, Milestones!$B:$B, 0)), "")</f>
        <v/>
      </c>
      <c r="I298" s="11" t="n"/>
      <c r="J298" s="20" t="n"/>
      <c r="K298" s="11" t="n"/>
      <c r="L298" s="11">
        <f t="array" ref="L298">IF($K298="","", IFERROR(IFS($K298="Low", INDEX('Lookups - Complexity'!$C:$C, MATCH($B298, 'Lookups - Complexity'!$B:$B,0)), $K298="Medium", INDEX('Lookups - Complexity'!$D:$D, MATCH($B298, 'Lookups - Complexity'!$B:$B,0)), $K298="High", INDEX('Lookups - Complexity'!$E:$E, MATCH($B298, 'Lookups - Complexity'!$B:$B,0))), ""))</f>
        <v/>
      </c>
      <c r="M298" s="11">
        <f>IF($I298="FTE", Assumptions!$B$3, "")</f>
        <v/>
      </c>
      <c r="N298" s="11">
        <f t="array" ref="N298">IFERROR(INDEX(Milestones!$F:$F, MATCH($B298, Milestones!$B:$B, 0)), "")</f>
        <v/>
      </c>
      <c r="O298" s="11">
        <f t="array" ref="O298">IFERROR(INDEX(Milestones!$G:$G, MATCH($B298, Milestones!$B:$B, 0)), "")</f>
        <v/>
      </c>
      <c r="P298" s="11">
        <f t="array" ref="P298">IFERROR(INDEX('Lookups - Rates'!$D:$D, MATCH($G298&amp;"|"&amp;$H298, 'Lookups - Rates'!$Z:$Z, 0)), "")</f>
        <v/>
      </c>
      <c r="Q298" s="11">
        <f t="array" ref="Q298">IFERROR(INDEX('Lookups - Rates'!$E:$E, MATCH($G298&amp;"|"&amp;$H298, 'Lookups - Rates'!$Z:$Z, 0)), "")</f>
        <v/>
      </c>
      <c r="R298" s="11">
        <f>LET(ev,$J298, ch,$L298, hr,$P298, dr,$Q298, hpday,Assumptions!$B$2, hpw,Assumptions!$B$3, w,$M298, hrs, IF($I298="Hours", ev, IF($I298="Days", ev*IF(dr&gt;0, dr/hr, hpday), IF($I298="FTE", ev*hpw*w, ch))), IF(hrs="", "", hrs*hr))</f>
        <v/>
      </c>
      <c r="S298" s="13" t="n"/>
      <c r="T298" s="11">
        <f t="array" ref="T298">XLOOKUP(Scenario_Selected, INDEX(Scenario_Table,0,1), INDEX(Scenario_Table,0,2))</f>
        <v/>
      </c>
      <c r="U298" s="11">
        <f t="array" ref="U298">XLOOKUP(Scenario_Selected, INDEX(Scenario_Table,0,1), INDEX(Scenario_Table,0,3))</f>
        <v/>
      </c>
      <c r="V298" s="11">
        <f t="array" ref="V298">XLOOKUP(Scenario_Selected, INDEX(Scenario_Table,0,1), INDEX(Scenario_Table,0,4))</f>
        <v/>
      </c>
      <c r="W298" s="11">
        <f t="array" ref="W298">LET(ev,$J298, ch,$L298, et,$I298, dr,$Q298, hpday,Assumptions!$B$2, hpw,Assumptions!$B$3, w,$M298,hm,INDIRECT("R[0]C[0]",FALSE),hrs, IF(et="Hours", ev, IF(et="Days", ev*IF(dr&gt;0, dr/$P298, hpday), IF(et="FTE", ev*hpw*w, ch))), IF(hrs="", "", hrs*hm))</f>
        <v/>
      </c>
      <c r="X298" s="11">
        <f>IF($P298="","", $P298*INDIRECT("R[0]C[-3]",FALSE))</f>
        <v/>
      </c>
      <c r="Y298" s="11">
        <f>IF(INDIRECT("R[0]C[-1]",FALSE)="","", INDIRECT("R[0]C[-2]",FALSE)*INDIRECT("R[0]C[-1]",FALSE)*(1+INDIRECT("R[0]C[-3]",FALSE)))</f>
        <v/>
      </c>
      <c r="Z298" s="13" t="n"/>
    </row>
    <row r="299" ht="15.75" customHeight="1" s="74">
      <c r="A299" s="11" t="n">
        <v>299</v>
      </c>
      <c r="C299" s="11">
        <f t="array" ref="C299">IFERROR(INDEX(Milestones!$A:$A, MATCH($B299, Milestones!$B:$B, 0)), "")</f>
        <v/>
      </c>
      <c r="D299" s="11">
        <f t="array" ref="D299">IFERROR(INDEX(Milestones!$C:$C, MATCH($B299, Milestones!$B:$B, 0)), "")</f>
        <v/>
      </c>
      <c r="F299" s="11">
        <f t="array" ref="F299">IFERROR(INDEX(Milestones!$E:$E, MATCH($B299, Milestones!$B:$B, 0)), "")</f>
        <v/>
      </c>
      <c r="I299" s="11" t="n"/>
      <c r="J299" s="20" t="n"/>
      <c r="K299" s="11" t="n"/>
      <c r="L299" s="11">
        <f t="array" ref="L299">IF($K299="","", IFERROR(IFS($K299="Low", INDEX('Lookups - Complexity'!$C:$C, MATCH($B299, 'Lookups - Complexity'!$B:$B,0)), $K299="Medium", INDEX('Lookups - Complexity'!$D:$D, MATCH($B299, 'Lookups - Complexity'!$B:$B,0)), $K299="High", INDEX('Lookups - Complexity'!$E:$E, MATCH($B299, 'Lookups - Complexity'!$B:$B,0))), ""))</f>
        <v/>
      </c>
      <c r="M299" s="11">
        <f>IF($I299="FTE", Assumptions!$B$3, "")</f>
        <v/>
      </c>
      <c r="N299" s="11">
        <f t="array" ref="N299">IFERROR(INDEX(Milestones!$F:$F, MATCH($B299, Milestones!$B:$B, 0)), "")</f>
        <v/>
      </c>
      <c r="O299" s="11">
        <f t="array" ref="O299">IFERROR(INDEX(Milestones!$G:$G, MATCH($B299, Milestones!$B:$B, 0)), "")</f>
        <v/>
      </c>
      <c r="P299" s="11">
        <f t="array" ref="P299">IFERROR(INDEX('Lookups - Rates'!$D:$D, MATCH($G299&amp;"|"&amp;$H299, 'Lookups - Rates'!$Z:$Z, 0)), "")</f>
        <v/>
      </c>
      <c r="Q299" s="11">
        <f t="array" ref="Q299">IFERROR(INDEX('Lookups - Rates'!$E:$E, MATCH($G299&amp;"|"&amp;$H299, 'Lookups - Rates'!$Z:$Z, 0)), "")</f>
        <v/>
      </c>
      <c r="R299" s="11">
        <f>LET(ev,$J299, ch,$L299, hr,$P299, dr,$Q299, hpday,Assumptions!$B$2, hpw,Assumptions!$B$3, w,$M299, hrs, IF($I299="Hours", ev, IF($I299="Days", ev*IF(dr&gt;0, dr/hr, hpday), IF($I299="FTE", ev*hpw*w, ch))), IF(hrs="", "", hrs*hr))</f>
        <v/>
      </c>
      <c r="S299" s="13" t="n"/>
      <c r="T299" s="11">
        <f t="array" ref="T299">XLOOKUP(Scenario_Selected, INDEX(Scenario_Table,0,1), INDEX(Scenario_Table,0,2))</f>
        <v/>
      </c>
      <c r="U299" s="11">
        <f t="array" ref="U299">XLOOKUP(Scenario_Selected, INDEX(Scenario_Table,0,1), INDEX(Scenario_Table,0,3))</f>
        <v/>
      </c>
      <c r="V299" s="11">
        <f t="array" ref="V299">XLOOKUP(Scenario_Selected, INDEX(Scenario_Table,0,1), INDEX(Scenario_Table,0,4))</f>
        <v/>
      </c>
      <c r="W299" s="11">
        <f t="array" ref="W299">LET(ev,$J299, ch,$L299, et,$I299, dr,$Q299, hpday,Assumptions!$B$2, hpw,Assumptions!$B$3, w,$M299,hm,INDIRECT("R[0]C[0]",FALSE),hrs, IF(et="Hours", ev, IF(et="Days", ev*IF(dr&gt;0, dr/$P299, hpday), IF(et="FTE", ev*hpw*w, ch))), IF(hrs="", "", hrs*hm))</f>
        <v/>
      </c>
      <c r="X299" s="11">
        <f>IF($P299="","", $P299*INDIRECT("R[0]C[-3]",FALSE))</f>
        <v/>
      </c>
      <c r="Y299" s="11">
        <f>IF(INDIRECT("R[0]C[-1]",FALSE)="","", INDIRECT("R[0]C[-2]",FALSE)*INDIRECT("R[0]C[-1]",FALSE)*(1+INDIRECT("R[0]C[-3]",FALSE)))</f>
        <v/>
      </c>
      <c r="Z299" s="13" t="n"/>
    </row>
    <row r="300" ht="15.75" customHeight="1" s="74">
      <c r="A300" s="11" t="n">
        <v>300</v>
      </c>
      <c r="C300" s="11">
        <f t="array" ref="C300">IFERROR(INDEX(Milestones!$A:$A, MATCH($B300, Milestones!$B:$B, 0)), "")</f>
        <v/>
      </c>
      <c r="D300" s="11">
        <f t="array" ref="D300">IFERROR(INDEX(Milestones!$C:$C, MATCH($B300, Milestones!$B:$B, 0)), "")</f>
        <v/>
      </c>
      <c r="F300" s="11">
        <f t="array" ref="F300">IFERROR(INDEX(Milestones!$E:$E, MATCH($B300, Milestones!$B:$B, 0)), "")</f>
        <v/>
      </c>
      <c r="I300" s="11" t="n"/>
      <c r="J300" s="20" t="n"/>
      <c r="K300" s="11" t="n"/>
      <c r="L300" s="11">
        <f t="array" ref="L300">IF($K300="","", IFERROR(IFS($K300="Low", INDEX('Lookups - Complexity'!$C:$C, MATCH($B300, 'Lookups - Complexity'!$B:$B,0)), $K300="Medium", INDEX('Lookups - Complexity'!$D:$D, MATCH($B300, 'Lookups - Complexity'!$B:$B,0)), $K300="High", INDEX('Lookups - Complexity'!$E:$E, MATCH($B300, 'Lookups - Complexity'!$B:$B,0))), ""))</f>
        <v/>
      </c>
      <c r="M300" s="11">
        <f>IF($I300="FTE", Assumptions!$B$3, "")</f>
        <v/>
      </c>
      <c r="N300" s="11">
        <f t="array" ref="N300">IFERROR(INDEX(Milestones!$F:$F, MATCH($B300, Milestones!$B:$B, 0)), "")</f>
        <v/>
      </c>
      <c r="O300" s="11">
        <f t="array" ref="O300">IFERROR(INDEX(Milestones!$G:$G, MATCH($B300, Milestones!$B:$B, 0)), "")</f>
        <v/>
      </c>
      <c r="P300" s="11">
        <f t="array" ref="P300">IFERROR(INDEX('Lookups - Rates'!$D:$D, MATCH($G300&amp;"|"&amp;$H300, 'Lookups - Rates'!$Z:$Z, 0)), "")</f>
        <v/>
      </c>
      <c r="Q300" s="11">
        <f t="array" ref="Q300">IFERROR(INDEX('Lookups - Rates'!$E:$E, MATCH($G300&amp;"|"&amp;$H300, 'Lookups - Rates'!$Z:$Z, 0)), "")</f>
        <v/>
      </c>
      <c r="R300" s="11">
        <f>LET(ev,$J300, ch,$L300, hr,$P300, dr,$Q300, hpday,Assumptions!$B$2, hpw,Assumptions!$B$3, w,$M300, hrs, IF($I300="Hours", ev, IF($I300="Days", ev*IF(dr&gt;0, dr/hr, hpday), IF($I300="FTE", ev*hpw*w, ch))), IF(hrs="", "", hrs*hr))</f>
        <v/>
      </c>
      <c r="S300" s="13" t="n"/>
      <c r="T300" s="11">
        <f t="array" ref="T300">XLOOKUP(Scenario_Selected, INDEX(Scenario_Table,0,1), INDEX(Scenario_Table,0,2))</f>
        <v/>
      </c>
      <c r="U300" s="11">
        <f t="array" ref="U300">XLOOKUP(Scenario_Selected, INDEX(Scenario_Table,0,1), INDEX(Scenario_Table,0,3))</f>
        <v/>
      </c>
      <c r="V300" s="11">
        <f t="array" ref="V300">XLOOKUP(Scenario_Selected, INDEX(Scenario_Table,0,1), INDEX(Scenario_Table,0,4))</f>
        <v/>
      </c>
      <c r="W300" s="11">
        <f t="array" ref="W300">LET(ev,$J300, ch,$L300, et,$I300, dr,$Q300, hpday,Assumptions!$B$2, hpw,Assumptions!$B$3, w,$M300,hm,INDIRECT("R[0]C[0]",FALSE),hrs, IF(et="Hours", ev, IF(et="Days", ev*IF(dr&gt;0, dr/$P300, hpday), IF(et="FTE", ev*hpw*w, ch))), IF(hrs="", "", hrs*hm))</f>
        <v/>
      </c>
      <c r="X300" s="11">
        <f>IF($P300="","", $P300*INDIRECT("R[0]C[-3]",FALSE))</f>
        <v/>
      </c>
      <c r="Y300" s="11">
        <f>IF(INDIRECT("R[0]C[-1]",FALSE)="","", INDIRECT("R[0]C[-2]",FALSE)*INDIRECT("R[0]C[-1]",FALSE)*(1+INDIRECT("R[0]C[-3]",FALSE)))</f>
        <v/>
      </c>
      <c r="Z300" s="13" t="n"/>
    </row>
    <row r="301" ht="15.75" customHeight="1" s="74">
      <c r="A301" s="11" t="n">
        <v>301</v>
      </c>
      <c r="C301" s="11">
        <f t="array" ref="C301">IFERROR(INDEX(Milestones!$A:$A, MATCH($B301, Milestones!$B:$B, 0)), "")</f>
        <v/>
      </c>
      <c r="D301" s="11">
        <f t="array" ref="D301">IFERROR(INDEX(Milestones!$C:$C, MATCH($B301, Milestones!$B:$B, 0)), "")</f>
        <v/>
      </c>
      <c r="F301" s="11">
        <f t="array" ref="F301">IFERROR(INDEX(Milestones!$E:$E, MATCH($B301, Milestones!$B:$B, 0)), "")</f>
        <v/>
      </c>
      <c r="I301" s="11" t="n"/>
      <c r="J301" s="20" t="n"/>
      <c r="K301" s="11" t="n"/>
      <c r="L301" s="11">
        <f t="array" ref="L301">IF($K301="","", IFERROR(IFS($K301="Low", INDEX('Lookups - Complexity'!$C:$C, MATCH($B301, 'Lookups - Complexity'!$B:$B,0)), $K301="Medium", INDEX('Lookups - Complexity'!$D:$D, MATCH($B301, 'Lookups - Complexity'!$B:$B,0)), $K301="High", INDEX('Lookups - Complexity'!$E:$E, MATCH($B301, 'Lookups - Complexity'!$B:$B,0))), ""))</f>
        <v/>
      </c>
      <c r="M301" s="11">
        <f>IF($I301="FTE", Assumptions!$B$3, "")</f>
        <v/>
      </c>
      <c r="N301" s="11">
        <f t="array" ref="N301">IFERROR(INDEX(Milestones!$F:$F, MATCH($B301, Milestones!$B:$B, 0)), "")</f>
        <v/>
      </c>
      <c r="O301" s="11">
        <f t="array" ref="O301">IFERROR(INDEX(Milestones!$G:$G, MATCH($B301, Milestones!$B:$B, 0)), "")</f>
        <v/>
      </c>
      <c r="P301" s="11">
        <f t="array" ref="P301">IFERROR(INDEX('Lookups - Rates'!$D:$D, MATCH($G301&amp;"|"&amp;$H301, 'Lookups - Rates'!$Z:$Z, 0)), "")</f>
        <v/>
      </c>
      <c r="Q301" s="11">
        <f t="array" ref="Q301">IFERROR(INDEX('Lookups - Rates'!$E:$E, MATCH($G301&amp;"|"&amp;$H301, 'Lookups - Rates'!$Z:$Z, 0)), "")</f>
        <v/>
      </c>
      <c r="R301" s="11">
        <f>LET(ev,$J301, ch,$L301, hr,$P301, dr,$Q301, hpday,Assumptions!$B$2, hpw,Assumptions!$B$3, w,$M301, hrs, IF($I301="Hours", ev, IF($I301="Days", ev*IF(dr&gt;0, dr/hr, hpday), IF($I301="FTE", ev*hpw*w, ch))), IF(hrs="", "", hrs*hr))</f>
        <v/>
      </c>
      <c r="S301" s="13" t="n"/>
      <c r="T301" s="11">
        <f t="array" ref="T301">XLOOKUP(Scenario_Selected, INDEX(Scenario_Table,0,1), INDEX(Scenario_Table,0,2))</f>
        <v/>
      </c>
      <c r="U301" s="11">
        <f t="array" ref="U301">XLOOKUP(Scenario_Selected, INDEX(Scenario_Table,0,1), INDEX(Scenario_Table,0,3))</f>
        <v/>
      </c>
      <c r="V301" s="11">
        <f t="array" ref="V301">XLOOKUP(Scenario_Selected, INDEX(Scenario_Table,0,1), INDEX(Scenario_Table,0,4))</f>
        <v/>
      </c>
      <c r="W301" s="11">
        <f t="array" ref="W301">LET(ev,$J301, ch,$L301, et,$I301, dr,$Q301, hpday,Assumptions!$B$2, hpw,Assumptions!$B$3, w,$M301,hm,INDIRECT("R[0]C[0]",FALSE),hrs, IF(et="Hours", ev, IF(et="Days", ev*IF(dr&gt;0, dr/$P301, hpday), IF(et="FTE", ev*hpw*w, ch))), IF(hrs="", "", hrs*hm))</f>
        <v/>
      </c>
      <c r="X301" s="11">
        <f>IF($P301="","", $P301*INDIRECT("R[0]C[-3]",FALSE))</f>
        <v/>
      </c>
      <c r="Y301" s="11">
        <f>IF(INDIRECT("R[0]C[-1]",FALSE)="","", INDIRECT("R[0]C[-2]",FALSE)*INDIRECT("R[0]C[-1]",FALSE)*(1+INDIRECT("R[0]C[-3]",FALSE)))</f>
        <v/>
      </c>
      <c r="Z301" s="13" t="n"/>
    </row>
    <row r="302" ht="15.75" customHeight="1" s="74">
      <c r="A302" s="11" t="n">
        <v>302</v>
      </c>
      <c r="C302" s="11">
        <f t="array" ref="C302">IFERROR(INDEX(Milestones!$A:$A, MATCH($B302, Milestones!$B:$B, 0)), "")</f>
        <v/>
      </c>
      <c r="D302" s="11">
        <f t="array" ref="D302">IFERROR(INDEX(Milestones!$C:$C, MATCH($B302, Milestones!$B:$B, 0)), "")</f>
        <v/>
      </c>
      <c r="F302" s="11">
        <f t="array" ref="F302">IFERROR(INDEX(Milestones!$E:$E, MATCH($B302, Milestones!$B:$B, 0)), "")</f>
        <v/>
      </c>
      <c r="I302" s="11" t="n"/>
      <c r="J302" s="20" t="n"/>
      <c r="K302" s="11" t="n"/>
      <c r="L302" s="11">
        <f t="array" ref="L302">IF($K302="","", IFERROR(IFS($K302="Low", INDEX('Lookups - Complexity'!$C:$C, MATCH($B302, 'Lookups - Complexity'!$B:$B,0)), $K302="Medium", INDEX('Lookups - Complexity'!$D:$D, MATCH($B302, 'Lookups - Complexity'!$B:$B,0)), $K302="High", INDEX('Lookups - Complexity'!$E:$E, MATCH($B302, 'Lookups - Complexity'!$B:$B,0))), ""))</f>
        <v/>
      </c>
      <c r="M302" s="11">
        <f>IF($I302="FTE", Assumptions!$B$3, "")</f>
        <v/>
      </c>
      <c r="N302" s="11">
        <f t="array" ref="N302">IFERROR(INDEX(Milestones!$F:$F, MATCH($B302, Milestones!$B:$B, 0)), "")</f>
        <v/>
      </c>
      <c r="O302" s="11">
        <f t="array" ref="O302">IFERROR(INDEX(Milestones!$G:$G, MATCH($B302, Milestones!$B:$B, 0)), "")</f>
        <v/>
      </c>
      <c r="P302" s="11">
        <f t="array" ref="P302">IFERROR(INDEX('Lookups - Rates'!$D:$D, MATCH($G302&amp;"|"&amp;$H302, 'Lookups - Rates'!$Z:$Z, 0)), "")</f>
        <v/>
      </c>
      <c r="Q302" s="11">
        <f t="array" ref="Q302">IFERROR(INDEX('Lookups - Rates'!$E:$E, MATCH($G302&amp;"|"&amp;$H302, 'Lookups - Rates'!$Z:$Z, 0)), "")</f>
        <v/>
      </c>
      <c r="R302" s="11">
        <f>LET(ev,$J302, ch,$L302, hr,$P302, dr,$Q302, hpday,Assumptions!$B$2, hpw,Assumptions!$B$3, w,$M302, hrs, IF($I302="Hours", ev, IF($I302="Days", ev*IF(dr&gt;0, dr/hr, hpday), IF($I302="FTE", ev*hpw*w, ch))), IF(hrs="", "", hrs*hr))</f>
        <v/>
      </c>
      <c r="S302" s="13" t="n"/>
      <c r="T302" s="11">
        <f t="array" ref="T302">XLOOKUP(Scenario_Selected, INDEX(Scenario_Table,0,1), INDEX(Scenario_Table,0,2))</f>
        <v/>
      </c>
      <c r="U302" s="11">
        <f t="array" ref="U302">XLOOKUP(Scenario_Selected, INDEX(Scenario_Table,0,1), INDEX(Scenario_Table,0,3))</f>
        <v/>
      </c>
      <c r="V302" s="11">
        <f t="array" ref="V302">XLOOKUP(Scenario_Selected, INDEX(Scenario_Table,0,1), INDEX(Scenario_Table,0,4))</f>
        <v/>
      </c>
      <c r="W302" s="11">
        <f t="array" ref="W302">LET(ev,$J302, ch,$L302, et,$I302, dr,$Q302, hpday,Assumptions!$B$2, hpw,Assumptions!$B$3, w,$M302,hm,INDIRECT("R[0]C[0]",FALSE),hrs, IF(et="Hours", ev, IF(et="Days", ev*IF(dr&gt;0, dr/$P302, hpday), IF(et="FTE", ev*hpw*w, ch))), IF(hrs="", "", hrs*hm))</f>
        <v/>
      </c>
      <c r="X302" s="11">
        <f>IF($P302="","", $P302*INDIRECT("R[0]C[-3]",FALSE))</f>
        <v/>
      </c>
      <c r="Y302" s="11">
        <f>IF(INDIRECT("R[0]C[-1]",FALSE)="","", INDIRECT("R[0]C[-2]",FALSE)*INDIRECT("R[0]C[-1]",FALSE)*(1+INDIRECT("R[0]C[-3]",FALSE)))</f>
        <v/>
      </c>
      <c r="Z302" s="13" t="n"/>
    </row>
    <row r="303" ht="15.75" customHeight="1" s="74">
      <c r="A303" s="11" t="n">
        <v>303</v>
      </c>
      <c r="C303" s="11">
        <f t="array" ref="C303">IFERROR(INDEX(Milestones!$A:$A, MATCH($B303, Milestones!$B:$B, 0)), "")</f>
        <v/>
      </c>
      <c r="D303" s="11">
        <f t="array" ref="D303">IFERROR(INDEX(Milestones!$C:$C, MATCH($B303, Milestones!$B:$B, 0)), "")</f>
        <v/>
      </c>
      <c r="F303" s="11">
        <f t="array" ref="F303">IFERROR(INDEX(Milestones!$E:$E, MATCH($B303, Milestones!$B:$B, 0)), "")</f>
        <v/>
      </c>
      <c r="I303" s="11" t="n"/>
      <c r="J303" s="20" t="n"/>
      <c r="K303" s="11" t="n"/>
      <c r="L303" s="11">
        <f t="array" ref="L303">IF($K303="","", IFERROR(IFS($K303="Low", INDEX('Lookups - Complexity'!$C:$C, MATCH($B303, 'Lookups - Complexity'!$B:$B,0)), $K303="Medium", INDEX('Lookups - Complexity'!$D:$D, MATCH($B303, 'Lookups - Complexity'!$B:$B,0)), $K303="High", INDEX('Lookups - Complexity'!$E:$E, MATCH($B303, 'Lookups - Complexity'!$B:$B,0))), ""))</f>
        <v/>
      </c>
      <c r="M303" s="11">
        <f>IF($I303="FTE", Assumptions!$B$3, "")</f>
        <v/>
      </c>
      <c r="N303" s="11">
        <f t="array" ref="N303">IFERROR(INDEX(Milestones!$F:$F, MATCH($B303, Milestones!$B:$B, 0)), "")</f>
        <v/>
      </c>
      <c r="O303" s="11">
        <f t="array" ref="O303">IFERROR(INDEX(Milestones!$G:$G, MATCH($B303, Milestones!$B:$B, 0)), "")</f>
        <v/>
      </c>
      <c r="P303" s="11">
        <f t="array" ref="P303">IFERROR(INDEX('Lookups - Rates'!$D:$D, MATCH($G303&amp;"|"&amp;$H303, 'Lookups - Rates'!$Z:$Z, 0)), "")</f>
        <v/>
      </c>
      <c r="Q303" s="11">
        <f t="array" ref="Q303">IFERROR(INDEX('Lookups - Rates'!$E:$E, MATCH($G303&amp;"|"&amp;$H303, 'Lookups - Rates'!$Z:$Z, 0)), "")</f>
        <v/>
      </c>
      <c r="R303" s="11">
        <f>LET(ev,$J303, ch,$L303, hr,$P303, dr,$Q303, hpday,Assumptions!$B$2, hpw,Assumptions!$B$3, w,$M303, hrs, IF($I303="Hours", ev, IF($I303="Days", ev*IF(dr&gt;0, dr/hr, hpday), IF($I303="FTE", ev*hpw*w, ch))), IF(hrs="", "", hrs*hr))</f>
        <v/>
      </c>
      <c r="S303" s="13" t="n"/>
      <c r="T303" s="11">
        <f t="array" ref="T303">XLOOKUP(Scenario_Selected, INDEX(Scenario_Table,0,1), INDEX(Scenario_Table,0,2))</f>
        <v/>
      </c>
      <c r="U303" s="11">
        <f t="array" ref="U303">XLOOKUP(Scenario_Selected, INDEX(Scenario_Table,0,1), INDEX(Scenario_Table,0,3))</f>
        <v/>
      </c>
      <c r="V303" s="11">
        <f t="array" ref="V303">XLOOKUP(Scenario_Selected, INDEX(Scenario_Table,0,1), INDEX(Scenario_Table,0,4))</f>
        <v/>
      </c>
      <c r="W303" s="11">
        <f t="array" ref="W303">LET(ev,$J303, ch,$L303, et,$I303, dr,$Q303, hpday,Assumptions!$B$2, hpw,Assumptions!$B$3, w,$M303,hm,INDIRECT("R[0]C[0]",FALSE),hrs, IF(et="Hours", ev, IF(et="Days", ev*IF(dr&gt;0, dr/$P303, hpday), IF(et="FTE", ev*hpw*w, ch))), IF(hrs="", "", hrs*hm))</f>
        <v/>
      </c>
      <c r="X303" s="11">
        <f>IF($P303="","", $P303*INDIRECT("R[0]C[-3]",FALSE))</f>
        <v/>
      </c>
      <c r="Y303" s="11">
        <f>IF(INDIRECT("R[0]C[-1]",FALSE)="","", INDIRECT("R[0]C[-2]",FALSE)*INDIRECT("R[0]C[-1]",FALSE)*(1+INDIRECT("R[0]C[-3]",FALSE)))</f>
        <v/>
      </c>
      <c r="Z303" s="13" t="n"/>
    </row>
    <row r="304" ht="15.75" customHeight="1" s="74">
      <c r="A304" s="11" t="n">
        <v>304</v>
      </c>
      <c r="C304" s="11">
        <f t="array" ref="C304">IFERROR(INDEX(Milestones!$A:$A, MATCH($B304, Milestones!$B:$B, 0)), "")</f>
        <v/>
      </c>
      <c r="D304" s="11">
        <f t="array" ref="D304">IFERROR(INDEX(Milestones!$C:$C, MATCH($B304, Milestones!$B:$B, 0)), "")</f>
        <v/>
      </c>
      <c r="F304" s="11">
        <f t="array" ref="F304">IFERROR(INDEX(Milestones!$E:$E, MATCH($B304, Milestones!$B:$B, 0)), "")</f>
        <v/>
      </c>
      <c r="I304" s="11" t="n"/>
      <c r="J304" s="20" t="n"/>
      <c r="K304" s="11" t="n"/>
      <c r="L304" s="11">
        <f t="array" ref="L304">IF($K304="","", IFERROR(IFS($K304="Low", INDEX('Lookups - Complexity'!$C:$C, MATCH($B304, 'Lookups - Complexity'!$B:$B,0)), $K304="Medium", INDEX('Lookups - Complexity'!$D:$D, MATCH($B304, 'Lookups - Complexity'!$B:$B,0)), $K304="High", INDEX('Lookups - Complexity'!$E:$E, MATCH($B304, 'Lookups - Complexity'!$B:$B,0))), ""))</f>
        <v/>
      </c>
      <c r="M304" s="11">
        <f>IF($I304="FTE", Assumptions!$B$3, "")</f>
        <v/>
      </c>
      <c r="N304" s="11">
        <f t="array" ref="N304">IFERROR(INDEX(Milestones!$F:$F, MATCH($B304, Milestones!$B:$B, 0)), "")</f>
        <v/>
      </c>
      <c r="O304" s="11">
        <f t="array" ref="O304">IFERROR(INDEX(Milestones!$G:$G, MATCH($B304, Milestones!$B:$B, 0)), "")</f>
        <v/>
      </c>
      <c r="P304" s="11">
        <f t="array" ref="P304">IFERROR(INDEX('Lookups - Rates'!$D:$D, MATCH($G304&amp;"|"&amp;$H304, 'Lookups - Rates'!$Z:$Z, 0)), "")</f>
        <v/>
      </c>
      <c r="Q304" s="11">
        <f t="array" ref="Q304">IFERROR(INDEX('Lookups - Rates'!$E:$E, MATCH($G304&amp;"|"&amp;$H304, 'Lookups - Rates'!$Z:$Z, 0)), "")</f>
        <v/>
      </c>
      <c r="R304" s="11">
        <f>LET(ev,$J304, ch,$L304, hr,$P304, dr,$Q304, hpday,Assumptions!$B$2, hpw,Assumptions!$B$3, w,$M304, hrs, IF($I304="Hours", ev, IF($I304="Days", ev*IF(dr&gt;0, dr/hr, hpday), IF($I304="FTE", ev*hpw*w, ch))), IF(hrs="", "", hrs*hr))</f>
        <v/>
      </c>
      <c r="S304" s="13" t="n"/>
      <c r="T304" s="11">
        <f t="array" ref="T304">XLOOKUP(Scenario_Selected, INDEX(Scenario_Table,0,1), INDEX(Scenario_Table,0,2))</f>
        <v/>
      </c>
      <c r="U304" s="11">
        <f t="array" ref="U304">XLOOKUP(Scenario_Selected, INDEX(Scenario_Table,0,1), INDEX(Scenario_Table,0,3))</f>
        <v/>
      </c>
      <c r="V304" s="11">
        <f t="array" ref="V304">XLOOKUP(Scenario_Selected, INDEX(Scenario_Table,0,1), INDEX(Scenario_Table,0,4))</f>
        <v/>
      </c>
      <c r="W304" s="11">
        <f t="array" ref="W304">LET(ev,$J304, ch,$L304, et,$I304, dr,$Q304, hpday,Assumptions!$B$2, hpw,Assumptions!$B$3, w,$M304,hm,INDIRECT("R[0]C[0]",FALSE),hrs, IF(et="Hours", ev, IF(et="Days", ev*IF(dr&gt;0, dr/$P304, hpday), IF(et="FTE", ev*hpw*w, ch))), IF(hrs="", "", hrs*hm))</f>
        <v/>
      </c>
      <c r="X304" s="11">
        <f>IF($P304="","", $P304*INDIRECT("R[0]C[-3]",FALSE))</f>
        <v/>
      </c>
      <c r="Y304" s="11">
        <f>IF(INDIRECT("R[0]C[-1]",FALSE)="","", INDIRECT("R[0]C[-2]",FALSE)*INDIRECT("R[0]C[-1]",FALSE)*(1+INDIRECT("R[0]C[-3]",FALSE)))</f>
        <v/>
      </c>
      <c r="Z304" s="13" t="n"/>
    </row>
    <row r="305" ht="15.75" customHeight="1" s="74">
      <c r="A305" s="11" t="n">
        <v>305</v>
      </c>
      <c r="C305" s="11">
        <f t="array" ref="C305">IFERROR(INDEX(Milestones!$A:$A, MATCH($B305, Milestones!$B:$B, 0)), "")</f>
        <v/>
      </c>
      <c r="D305" s="11">
        <f t="array" ref="D305">IFERROR(INDEX(Milestones!$C:$C, MATCH($B305, Milestones!$B:$B, 0)), "")</f>
        <v/>
      </c>
      <c r="F305" s="11">
        <f t="array" ref="F305">IFERROR(INDEX(Milestones!$E:$E, MATCH($B305, Milestones!$B:$B, 0)), "")</f>
        <v/>
      </c>
      <c r="I305" s="11" t="n"/>
      <c r="J305" s="20" t="n"/>
      <c r="K305" s="11" t="n"/>
      <c r="L305" s="11">
        <f t="array" ref="L305">IF($K305="","", IFERROR(IFS($K305="Low", INDEX('Lookups - Complexity'!$C:$C, MATCH($B305, 'Lookups - Complexity'!$B:$B,0)), $K305="Medium", INDEX('Lookups - Complexity'!$D:$D, MATCH($B305, 'Lookups - Complexity'!$B:$B,0)), $K305="High", INDEX('Lookups - Complexity'!$E:$E, MATCH($B305, 'Lookups - Complexity'!$B:$B,0))), ""))</f>
        <v/>
      </c>
      <c r="M305" s="11">
        <f>IF($I305="FTE", Assumptions!$B$3, "")</f>
        <v/>
      </c>
      <c r="N305" s="11">
        <f t="array" ref="N305">IFERROR(INDEX(Milestones!$F:$F, MATCH($B305, Milestones!$B:$B, 0)), "")</f>
        <v/>
      </c>
      <c r="O305" s="11">
        <f t="array" ref="O305">IFERROR(INDEX(Milestones!$G:$G, MATCH($B305, Milestones!$B:$B, 0)), "")</f>
        <v/>
      </c>
      <c r="P305" s="11">
        <f t="array" ref="P305">IFERROR(INDEX('Lookups - Rates'!$D:$D, MATCH($G305&amp;"|"&amp;$H305, 'Lookups - Rates'!$Z:$Z, 0)), "")</f>
        <v/>
      </c>
      <c r="Q305" s="11">
        <f t="array" ref="Q305">IFERROR(INDEX('Lookups - Rates'!$E:$E, MATCH($G305&amp;"|"&amp;$H305, 'Lookups - Rates'!$Z:$Z, 0)), "")</f>
        <v/>
      </c>
      <c r="R305" s="11">
        <f>LET(ev,$J305, ch,$L305, hr,$P305, dr,$Q305, hpday,Assumptions!$B$2, hpw,Assumptions!$B$3, w,$M305, hrs, IF($I305="Hours", ev, IF($I305="Days", ev*IF(dr&gt;0, dr/hr, hpday), IF($I305="FTE", ev*hpw*w, ch))), IF(hrs="", "", hrs*hr))</f>
        <v/>
      </c>
      <c r="S305" s="13" t="n"/>
      <c r="T305" s="11">
        <f t="array" ref="T305">XLOOKUP(Scenario_Selected, INDEX(Scenario_Table,0,1), INDEX(Scenario_Table,0,2))</f>
        <v/>
      </c>
      <c r="U305" s="11">
        <f t="array" ref="U305">XLOOKUP(Scenario_Selected, INDEX(Scenario_Table,0,1), INDEX(Scenario_Table,0,3))</f>
        <v/>
      </c>
      <c r="V305" s="11">
        <f t="array" ref="V305">XLOOKUP(Scenario_Selected, INDEX(Scenario_Table,0,1), INDEX(Scenario_Table,0,4))</f>
        <v/>
      </c>
      <c r="W305" s="11">
        <f t="array" ref="W305">LET(ev,$J305, ch,$L305, et,$I305, dr,$Q305, hpday,Assumptions!$B$2, hpw,Assumptions!$B$3, w,$M305,hm,INDIRECT("R[0]C[0]",FALSE),hrs, IF(et="Hours", ev, IF(et="Days", ev*IF(dr&gt;0, dr/$P305, hpday), IF(et="FTE", ev*hpw*w, ch))), IF(hrs="", "", hrs*hm))</f>
        <v/>
      </c>
      <c r="X305" s="11">
        <f>IF($P305="","", $P305*INDIRECT("R[0]C[-3]",FALSE))</f>
        <v/>
      </c>
      <c r="Y305" s="11">
        <f>IF(INDIRECT("R[0]C[-1]",FALSE)="","", INDIRECT("R[0]C[-2]",FALSE)*INDIRECT("R[0]C[-1]",FALSE)*(1+INDIRECT("R[0]C[-3]",FALSE)))</f>
        <v/>
      </c>
      <c r="Z305" s="13" t="n"/>
    </row>
    <row r="306" ht="15.75" customHeight="1" s="74">
      <c r="A306" s="11" t="n">
        <v>306</v>
      </c>
      <c r="C306" s="11">
        <f t="array" ref="C306">IFERROR(INDEX(Milestones!$A:$A, MATCH($B306, Milestones!$B:$B, 0)), "")</f>
        <v/>
      </c>
      <c r="D306" s="11">
        <f t="array" ref="D306">IFERROR(INDEX(Milestones!$C:$C, MATCH($B306, Milestones!$B:$B, 0)), "")</f>
        <v/>
      </c>
      <c r="F306" s="11">
        <f t="array" ref="F306">IFERROR(INDEX(Milestones!$E:$E, MATCH($B306, Milestones!$B:$B, 0)), "")</f>
        <v/>
      </c>
      <c r="I306" s="11" t="n"/>
      <c r="J306" s="20" t="n"/>
      <c r="K306" s="11" t="n"/>
      <c r="L306" s="11">
        <f t="array" ref="L306">IF($K306="","", IFERROR(IFS($K306="Low", INDEX('Lookups - Complexity'!$C:$C, MATCH($B306, 'Lookups - Complexity'!$B:$B,0)), $K306="Medium", INDEX('Lookups - Complexity'!$D:$D, MATCH($B306, 'Lookups - Complexity'!$B:$B,0)), $K306="High", INDEX('Lookups - Complexity'!$E:$E, MATCH($B306, 'Lookups - Complexity'!$B:$B,0))), ""))</f>
        <v/>
      </c>
      <c r="M306" s="11">
        <f>IF($I306="FTE", Assumptions!$B$3, "")</f>
        <v/>
      </c>
      <c r="N306" s="11">
        <f t="array" ref="N306">IFERROR(INDEX(Milestones!$F:$F, MATCH($B306, Milestones!$B:$B, 0)), "")</f>
        <v/>
      </c>
      <c r="O306" s="11">
        <f t="array" ref="O306">IFERROR(INDEX(Milestones!$G:$G, MATCH($B306, Milestones!$B:$B, 0)), "")</f>
        <v/>
      </c>
      <c r="P306" s="11">
        <f t="array" ref="P306">IFERROR(INDEX('Lookups - Rates'!$D:$D, MATCH($G306&amp;"|"&amp;$H306, 'Lookups - Rates'!$Z:$Z, 0)), "")</f>
        <v/>
      </c>
      <c r="Q306" s="11">
        <f t="array" ref="Q306">IFERROR(INDEX('Lookups - Rates'!$E:$E, MATCH($G306&amp;"|"&amp;$H306, 'Lookups - Rates'!$Z:$Z, 0)), "")</f>
        <v/>
      </c>
      <c r="R306" s="11">
        <f>LET(ev,$J306, ch,$L306, hr,$P306, dr,$Q306, hpday,Assumptions!$B$2, hpw,Assumptions!$B$3, w,$M306, hrs, IF($I306="Hours", ev, IF($I306="Days", ev*IF(dr&gt;0, dr/hr, hpday), IF($I306="FTE", ev*hpw*w, ch))), IF(hrs="", "", hrs*hr))</f>
        <v/>
      </c>
      <c r="S306" s="13" t="n"/>
      <c r="T306" s="11">
        <f t="array" ref="T306">XLOOKUP(Scenario_Selected, INDEX(Scenario_Table,0,1), INDEX(Scenario_Table,0,2))</f>
        <v/>
      </c>
      <c r="U306" s="11">
        <f t="array" ref="U306">XLOOKUP(Scenario_Selected, INDEX(Scenario_Table,0,1), INDEX(Scenario_Table,0,3))</f>
        <v/>
      </c>
      <c r="V306" s="11">
        <f t="array" ref="V306">XLOOKUP(Scenario_Selected, INDEX(Scenario_Table,0,1), INDEX(Scenario_Table,0,4))</f>
        <v/>
      </c>
      <c r="W306" s="11">
        <f t="array" ref="W306">LET(ev,$J306, ch,$L306, et,$I306, dr,$Q306, hpday,Assumptions!$B$2, hpw,Assumptions!$B$3, w,$M306,hm,INDIRECT("R[0]C[0]",FALSE),hrs, IF(et="Hours", ev, IF(et="Days", ev*IF(dr&gt;0, dr/$P306, hpday), IF(et="FTE", ev*hpw*w, ch))), IF(hrs="", "", hrs*hm))</f>
        <v/>
      </c>
      <c r="X306" s="11">
        <f>IF($P306="","", $P306*INDIRECT("R[0]C[-3]",FALSE))</f>
        <v/>
      </c>
      <c r="Y306" s="11">
        <f>IF(INDIRECT("R[0]C[-1]",FALSE)="","", INDIRECT("R[0]C[-2]",FALSE)*INDIRECT("R[0]C[-1]",FALSE)*(1+INDIRECT("R[0]C[-3]",FALSE)))</f>
        <v/>
      </c>
      <c r="Z306" s="13" t="n"/>
    </row>
    <row r="307" ht="15.75" customHeight="1" s="74">
      <c r="A307" s="11" t="n">
        <v>307</v>
      </c>
      <c r="C307" s="11">
        <f t="array" ref="C307">IFERROR(INDEX(Milestones!$A:$A, MATCH($B307, Milestones!$B:$B, 0)), "")</f>
        <v/>
      </c>
      <c r="D307" s="11">
        <f t="array" ref="D307">IFERROR(INDEX(Milestones!$C:$C, MATCH($B307, Milestones!$B:$B, 0)), "")</f>
        <v/>
      </c>
      <c r="F307" s="11">
        <f t="array" ref="F307">IFERROR(INDEX(Milestones!$E:$E, MATCH($B307, Milestones!$B:$B, 0)), "")</f>
        <v/>
      </c>
      <c r="I307" s="11" t="n"/>
      <c r="J307" s="20" t="n"/>
      <c r="K307" s="11" t="n"/>
      <c r="L307" s="11">
        <f t="array" ref="L307">IF($K307="","", IFERROR(IFS($K307="Low", INDEX('Lookups - Complexity'!$C:$C, MATCH($B307, 'Lookups - Complexity'!$B:$B,0)), $K307="Medium", INDEX('Lookups - Complexity'!$D:$D, MATCH($B307, 'Lookups - Complexity'!$B:$B,0)), $K307="High", INDEX('Lookups - Complexity'!$E:$E, MATCH($B307, 'Lookups - Complexity'!$B:$B,0))), ""))</f>
        <v/>
      </c>
      <c r="M307" s="11">
        <f>IF($I307="FTE", Assumptions!$B$3, "")</f>
        <v/>
      </c>
      <c r="N307" s="11">
        <f t="array" ref="N307">IFERROR(INDEX(Milestones!$F:$F, MATCH($B307, Milestones!$B:$B, 0)), "")</f>
        <v/>
      </c>
      <c r="O307" s="11">
        <f t="array" ref="O307">IFERROR(INDEX(Milestones!$G:$G, MATCH($B307, Milestones!$B:$B, 0)), "")</f>
        <v/>
      </c>
      <c r="P307" s="11">
        <f t="array" ref="P307">IFERROR(INDEX('Lookups - Rates'!$D:$D, MATCH($G307&amp;"|"&amp;$H307, 'Lookups - Rates'!$Z:$Z, 0)), "")</f>
        <v/>
      </c>
      <c r="Q307" s="11">
        <f t="array" ref="Q307">IFERROR(INDEX('Lookups - Rates'!$E:$E, MATCH($G307&amp;"|"&amp;$H307, 'Lookups - Rates'!$Z:$Z, 0)), "")</f>
        <v/>
      </c>
      <c r="R307" s="11">
        <f>LET(ev,$J307, ch,$L307, hr,$P307, dr,$Q307, hpday,Assumptions!$B$2, hpw,Assumptions!$B$3, w,$M307, hrs, IF($I307="Hours", ev, IF($I307="Days", ev*IF(dr&gt;0, dr/hr, hpday), IF($I307="FTE", ev*hpw*w, ch))), IF(hrs="", "", hrs*hr))</f>
        <v/>
      </c>
      <c r="S307" s="13" t="n"/>
      <c r="T307" s="11">
        <f t="array" ref="T307">XLOOKUP(Scenario_Selected, INDEX(Scenario_Table,0,1), INDEX(Scenario_Table,0,2))</f>
        <v/>
      </c>
      <c r="U307" s="11">
        <f t="array" ref="U307">XLOOKUP(Scenario_Selected, INDEX(Scenario_Table,0,1), INDEX(Scenario_Table,0,3))</f>
        <v/>
      </c>
      <c r="V307" s="11">
        <f t="array" ref="V307">XLOOKUP(Scenario_Selected, INDEX(Scenario_Table,0,1), INDEX(Scenario_Table,0,4))</f>
        <v/>
      </c>
      <c r="W307" s="11">
        <f t="array" ref="W307">LET(ev,$J307, ch,$L307, et,$I307, dr,$Q307, hpday,Assumptions!$B$2, hpw,Assumptions!$B$3, w,$M307,hm,INDIRECT("R[0]C[0]",FALSE),hrs, IF(et="Hours", ev, IF(et="Days", ev*IF(dr&gt;0, dr/$P307, hpday), IF(et="FTE", ev*hpw*w, ch))), IF(hrs="", "", hrs*hm))</f>
        <v/>
      </c>
      <c r="X307" s="11">
        <f>IF($P307="","", $P307*INDIRECT("R[0]C[-3]",FALSE))</f>
        <v/>
      </c>
      <c r="Y307" s="11">
        <f>IF(INDIRECT("R[0]C[-1]",FALSE)="","", INDIRECT("R[0]C[-2]",FALSE)*INDIRECT("R[0]C[-1]",FALSE)*(1+INDIRECT("R[0]C[-3]",FALSE)))</f>
        <v/>
      </c>
      <c r="Z307" s="13" t="n"/>
    </row>
    <row r="308" ht="15.75" customHeight="1" s="74">
      <c r="A308" s="11" t="n">
        <v>308</v>
      </c>
      <c r="C308" s="11">
        <f t="array" ref="C308">IFERROR(INDEX(Milestones!$A:$A, MATCH($B308, Milestones!$B:$B, 0)), "")</f>
        <v/>
      </c>
      <c r="D308" s="11">
        <f t="array" ref="D308">IFERROR(INDEX(Milestones!$C:$C, MATCH($B308, Milestones!$B:$B, 0)), "")</f>
        <v/>
      </c>
      <c r="F308" s="11">
        <f t="array" ref="F308">IFERROR(INDEX(Milestones!$E:$E, MATCH($B308, Milestones!$B:$B, 0)), "")</f>
        <v/>
      </c>
      <c r="I308" s="11" t="n"/>
      <c r="J308" s="20" t="n"/>
      <c r="K308" s="11" t="n"/>
      <c r="L308" s="11">
        <f t="array" ref="L308">IF($K308="","", IFERROR(IFS($K308="Low", INDEX('Lookups - Complexity'!$C:$C, MATCH($B308, 'Lookups - Complexity'!$B:$B,0)), $K308="Medium", INDEX('Lookups - Complexity'!$D:$D, MATCH($B308, 'Lookups - Complexity'!$B:$B,0)), $K308="High", INDEX('Lookups - Complexity'!$E:$E, MATCH($B308, 'Lookups - Complexity'!$B:$B,0))), ""))</f>
        <v/>
      </c>
      <c r="M308" s="11">
        <f>IF($I308="FTE", Assumptions!$B$3, "")</f>
        <v/>
      </c>
      <c r="N308" s="11">
        <f t="array" ref="N308">IFERROR(INDEX(Milestones!$F:$F, MATCH($B308, Milestones!$B:$B, 0)), "")</f>
        <v/>
      </c>
      <c r="O308" s="11">
        <f t="array" ref="O308">IFERROR(INDEX(Milestones!$G:$G, MATCH($B308, Milestones!$B:$B, 0)), "")</f>
        <v/>
      </c>
      <c r="P308" s="11">
        <f t="array" ref="P308">IFERROR(INDEX('Lookups - Rates'!$D:$D, MATCH($G308&amp;"|"&amp;$H308, 'Lookups - Rates'!$Z:$Z, 0)), "")</f>
        <v/>
      </c>
      <c r="Q308" s="11">
        <f t="array" ref="Q308">IFERROR(INDEX('Lookups - Rates'!$E:$E, MATCH($G308&amp;"|"&amp;$H308, 'Lookups - Rates'!$Z:$Z, 0)), "")</f>
        <v/>
      </c>
      <c r="R308" s="11">
        <f>LET(ev,$J308, ch,$L308, hr,$P308, dr,$Q308, hpday,Assumptions!$B$2, hpw,Assumptions!$B$3, w,$M308, hrs, IF($I308="Hours", ev, IF($I308="Days", ev*IF(dr&gt;0, dr/hr, hpday), IF($I308="FTE", ev*hpw*w, ch))), IF(hrs="", "", hrs*hr))</f>
        <v/>
      </c>
      <c r="S308" s="13" t="n"/>
      <c r="T308" s="11">
        <f t="array" ref="T308">XLOOKUP(Scenario_Selected, INDEX(Scenario_Table,0,1), INDEX(Scenario_Table,0,2))</f>
        <v/>
      </c>
      <c r="U308" s="11">
        <f t="array" ref="U308">XLOOKUP(Scenario_Selected, INDEX(Scenario_Table,0,1), INDEX(Scenario_Table,0,3))</f>
        <v/>
      </c>
      <c r="V308" s="11">
        <f t="array" ref="V308">XLOOKUP(Scenario_Selected, INDEX(Scenario_Table,0,1), INDEX(Scenario_Table,0,4))</f>
        <v/>
      </c>
      <c r="W308" s="11">
        <f t="array" ref="W308">LET(ev,$J308, ch,$L308, et,$I308, dr,$Q308, hpday,Assumptions!$B$2, hpw,Assumptions!$B$3, w,$M308,hm,INDIRECT("R[0]C[0]",FALSE),hrs, IF(et="Hours", ev, IF(et="Days", ev*IF(dr&gt;0, dr/$P308, hpday), IF(et="FTE", ev*hpw*w, ch))), IF(hrs="", "", hrs*hm))</f>
        <v/>
      </c>
      <c r="X308" s="11">
        <f>IF($P308="","", $P308*INDIRECT("R[0]C[-3]",FALSE))</f>
        <v/>
      </c>
      <c r="Y308" s="11">
        <f>IF(INDIRECT("R[0]C[-1]",FALSE)="","", INDIRECT("R[0]C[-2]",FALSE)*INDIRECT("R[0]C[-1]",FALSE)*(1+INDIRECT("R[0]C[-3]",FALSE)))</f>
        <v/>
      </c>
      <c r="Z308" s="13" t="n"/>
    </row>
    <row r="309" ht="15.75" customHeight="1" s="74">
      <c r="A309" s="11" t="n">
        <v>309</v>
      </c>
      <c r="C309" s="11">
        <f t="array" ref="C309">IFERROR(INDEX(Milestones!$A:$A, MATCH($B309, Milestones!$B:$B, 0)), "")</f>
        <v/>
      </c>
      <c r="D309" s="11">
        <f t="array" ref="D309">IFERROR(INDEX(Milestones!$C:$C, MATCH($B309, Milestones!$B:$B, 0)), "")</f>
        <v/>
      </c>
      <c r="F309" s="11">
        <f t="array" ref="F309">IFERROR(INDEX(Milestones!$E:$E, MATCH($B309, Milestones!$B:$B, 0)), "")</f>
        <v/>
      </c>
      <c r="I309" s="11" t="n"/>
      <c r="J309" s="20" t="n"/>
      <c r="K309" s="11" t="n"/>
      <c r="L309" s="11">
        <f t="array" ref="L309">IF($K309="","", IFERROR(IFS($K309="Low", INDEX('Lookups - Complexity'!$C:$C, MATCH($B309, 'Lookups - Complexity'!$B:$B,0)), $K309="Medium", INDEX('Lookups - Complexity'!$D:$D, MATCH($B309, 'Lookups - Complexity'!$B:$B,0)), $K309="High", INDEX('Lookups - Complexity'!$E:$E, MATCH($B309, 'Lookups - Complexity'!$B:$B,0))), ""))</f>
        <v/>
      </c>
      <c r="M309" s="11">
        <f>IF($I309="FTE", Assumptions!$B$3, "")</f>
        <v/>
      </c>
      <c r="N309" s="11">
        <f t="array" ref="N309">IFERROR(INDEX(Milestones!$F:$F, MATCH($B309, Milestones!$B:$B, 0)), "")</f>
        <v/>
      </c>
      <c r="O309" s="11">
        <f t="array" ref="O309">IFERROR(INDEX(Milestones!$G:$G, MATCH($B309, Milestones!$B:$B, 0)), "")</f>
        <v/>
      </c>
      <c r="P309" s="11">
        <f t="array" ref="P309">IFERROR(INDEX('Lookups - Rates'!$D:$D, MATCH($G309&amp;"|"&amp;$H309, 'Lookups - Rates'!$Z:$Z, 0)), "")</f>
        <v/>
      </c>
      <c r="Q309" s="11">
        <f t="array" ref="Q309">IFERROR(INDEX('Lookups - Rates'!$E:$E, MATCH($G309&amp;"|"&amp;$H309, 'Lookups - Rates'!$Z:$Z, 0)), "")</f>
        <v/>
      </c>
      <c r="R309" s="11">
        <f>LET(ev,$J309, ch,$L309, hr,$P309, dr,$Q309, hpday,Assumptions!$B$2, hpw,Assumptions!$B$3, w,$M309, hrs, IF($I309="Hours", ev, IF($I309="Days", ev*IF(dr&gt;0, dr/hr, hpday), IF($I309="FTE", ev*hpw*w, ch))), IF(hrs="", "", hrs*hr))</f>
        <v/>
      </c>
      <c r="S309" s="13" t="n"/>
      <c r="T309" s="11">
        <f t="array" ref="T309">XLOOKUP(Scenario_Selected, INDEX(Scenario_Table,0,1), INDEX(Scenario_Table,0,2))</f>
        <v/>
      </c>
      <c r="U309" s="11">
        <f t="array" ref="U309">XLOOKUP(Scenario_Selected, INDEX(Scenario_Table,0,1), INDEX(Scenario_Table,0,3))</f>
        <v/>
      </c>
      <c r="V309" s="11">
        <f t="array" ref="V309">XLOOKUP(Scenario_Selected, INDEX(Scenario_Table,0,1), INDEX(Scenario_Table,0,4))</f>
        <v/>
      </c>
      <c r="W309" s="11">
        <f t="array" ref="W309">LET(ev,$J309, ch,$L309, et,$I309, dr,$Q309, hpday,Assumptions!$B$2, hpw,Assumptions!$B$3, w,$M309,hm,INDIRECT("R[0]C[0]",FALSE),hrs, IF(et="Hours", ev, IF(et="Days", ev*IF(dr&gt;0, dr/$P309, hpday), IF(et="FTE", ev*hpw*w, ch))), IF(hrs="", "", hrs*hm))</f>
        <v/>
      </c>
      <c r="X309" s="11">
        <f>IF($P309="","", $P309*INDIRECT("R[0]C[-3]",FALSE))</f>
        <v/>
      </c>
      <c r="Y309" s="11">
        <f>IF(INDIRECT("R[0]C[-1]",FALSE)="","", INDIRECT("R[0]C[-2]",FALSE)*INDIRECT("R[0]C[-1]",FALSE)*(1+INDIRECT("R[0]C[-3]",FALSE)))</f>
        <v/>
      </c>
      <c r="Z309" s="13" t="n"/>
    </row>
    <row r="310" ht="15.75" customHeight="1" s="74">
      <c r="A310" s="11" t="n">
        <v>310</v>
      </c>
      <c r="C310" s="11">
        <f t="array" ref="C310">IFERROR(INDEX(Milestones!$A:$A, MATCH($B310, Milestones!$B:$B, 0)), "")</f>
        <v/>
      </c>
      <c r="D310" s="11">
        <f t="array" ref="D310">IFERROR(INDEX(Milestones!$C:$C, MATCH($B310, Milestones!$B:$B, 0)), "")</f>
        <v/>
      </c>
      <c r="F310" s="11">
        <f t="array" ref="F310">IFERROR(INDEX(Milestones!$E:$E, MATCH($B310, Milestones!$B:$B, 0)), "")</f>
        <v/>
      </c>
      <c r="I310" s="11" t="n"/>
      <c r="J310" s="20" t="n"/>
      <c r="K310" s="11" t="n"/>
      <c r="L310" s="11">
        <f t="array" ref="L310">IF($K310="","", IFERROR(IFS($K310="Low", INDEX('Lookups - Complexity'!$C:$C, MATCH($B310, 'Lookups - Complexity'!$B:$B,0)), $K310="Medium", INDEX('Lookups - Complexity'!$D:$D, MATCH($B310, 'Lookups - Complexity'!$B:$B,0)), $K310="High", INDEX('Lookups - Complexity'!$E:$E, MATCH($B310, 'Lookups - Complexity'!$B:$B,0))), ""))</f>
        <v/>
      </c>
      <c r="M310" s="11">
        <f>IF($I310="FTE", Assumptions!$B$3, "")</f>
        <v/>
      </c>
      <c r="N310" s="11">
        <f t="array" ref="N310">IFERROR(INDEX(Milestones!$F:$F, MATCH($B310, Milestones!$B:$B, 0)), "")</f>
        <v/>
      </c>
      <c r="O310" s="11">
        <f t="array" ref="O310">IFERROR(INDEX(Milestones!$G:$G, MATCH($B310, Milestones!$B:$B, 0)), "")</f>
        <v/>
      </c>
      <c r="P310" s="11">
        <f t="array" ref="P310">IFERROR(INDEX('Lookups - Rates'!$D:$D, MATCH($G310&amp;"|"&amp;$H310, 'Lookups - Rates'!$Z:$Z, 0)), "")</f>
        <v/>
      </c>
      <c r="Q310" s="11">
        <f t="array" ref="Q310">IFERROR(INDEX('Lookups - Rates'!$E:$E, MATCH($G310&amp;"|"&amp;$H310, 'Lookups - Rates'!$Z:$Z, 0)), "")</f>
        <v/>
      </c>
      <c r="R310" s="11">
        <f>LET(ev,$J310, ch,$L310, hr,$P310, dr,$Q310, hpday,Assumptions!$B$2, hpw,Assumptions!$B$3, w,$M310, hrs, IF($I310="Hours", ev, IF($I310="Days", ev*IF(dr&gt;0, dr/hr, hpday), IF($I310="FTE", ev*hpw*w, ch))), IF(hrs="", "", hrs*hr))</f>
        <v/>
      </c>
      <c r="S310" s="13" t="n"/>
      <c r="T310" s="11">
        <f t="array" ref="T310">XLOOKUP(Scenario_Selected, INDEX(Scenario_Table,0,1), INDEX(Scenario_Table,0,2))</f>
        <v/>
      </c>
      <c r="U310" s="11">
        <f t="array" ref="U310">XLOOKUP(Scenario_Selected, INDEX(Scenario_Table,0,1), INDEX(Scenario_Table,0,3))</f>
        <v/>
      </c>
      <c r="V310" s="11">
        <f t="array" ref="V310">XLOOKUP(Scenario_Selected, INDEX(Scenario_Table,0,1), INDEX(Scenario_Table,0,4))</f>
        <v/>
      </c>
      <c r="W310" s="11">
        <f t="array" ref="W310">LET(ev,$J310, ch,$L310, et,$I310, dr,$Q310, hpday,Assumptions!$B$2, hpw,Assumptions!$B$3, w,$M310,hm,INDIRECT("R[0]C[0]",FALSE),hrs, IF(et="Hours", ev, IF(et="Days", ev*IF(dr&gt;0, dr/$P310, hpday), IF(et="FTE", ev*hpw*w, ch))), IF(hrs="", "", hrs*hm))</f>
        <v/>
      </c>
      <c r="X310" s="11">
        <f>IF($P310="","", $P310*INDIRECT("R[0]C[-3]",FALSE))</f>
        <v/>
      </c>
      <c r="Y310" s="11">
        <f>IF(INDIRECT("R[0]C[-1]",FALSE)="","", INDIRECT("R[0]C[-2]",FALSE)*INDIRECT("R[0]C[-1]",FALSE)*(1+INDIRECT("R[0]C[-3]",FALSE)))</f>
        <v/>
      </c>
      <c r="Z310" s="13" t="n"/>
    </row>
    <row r="311" ht="15.75" customHeight="1" s="74">
      <c r="A311" s="11" t="n">
        <v>311</v>
      </c>
      <c r="C311" s="11">
        <f t="array" ref="C311">IFERROR(INDEX(Milestones!$A:$A, MATCH($B311, Milestones!$B:$B, 0)), "")</f>
        <v/>
      </c>
      <c r="D311" s="11">
        <f t="array" ref="D311">IFERROR(INDEX(Milestones!$C:$C, MATCH($B311, Milestones!$B:$B, 0)), "")</f>
        <v/>
      </c>
      <c r="F311" s="11">
        <f t="array" ref="F311">IFERROR(INDEX(Milestones!$E:$E, MATCH($B311, Milestones!$B:$B, 0)), "")</f>
        <v/>
      </c>
      <c r="I311" s="11" t="n"/>
      <c r="J311" s="20" t="n"/>
      <c r="K311" s="11" t="n"/>
      <c r="L311" s="11">
        <f t="array" ref="L311">IF($K311="","", IFERROR(IFS($K311="Low", INDEX('Lookups - Complexity'!$C:$C, MATCH($B311, 'Lookups - Complexity'!$B:$B,0)), $K311="Medium", INDEX('Lookups - Complexity'!$D:$D, MATCH($B311, 'Lookups - Complexity'!$B:$B,0)), $K311="High", INDEX('Lookups - Complexity'!$E:$E, MATCH($B311, 'Lookups - Complexity'!$B:$B,0))), ""))</f>
        <v/>
      </c>
      <c r="M311" s="11">
        <f>IF($I311="FTE", Assumptions!$B$3, "")</f>
        <v/>
      </c>
      <c r="N311" s="11">
        <f t="array" ref="N311">IFERROR(INDEX(Milestones!$F:$F, MATCH($B311, Milestones!$B:$B, 0)), "")</f>
        <v/>
      </c>
      <c r="O311" s="11">
        <f t="array" ref="O311">IFERROR(INDEX(Milestones!$G:$G, MATCH($B311, Milestones!$B:$B, 0)), "")</f>
        <v/>
      </c>
      <c r="P311" s="11">
        <f t="array" ref="P311">IFERROR(INDEX('Lookups - Rates'!$D:$D, MATCH($G311&amp;"|"&amp;$H311, 'Lookups - Rates'!$Z:$Z, 0)), "")</f>
        <v/>
      </c>
      <c r="Q311" s="11">
        <f t="array" ref="Q311">IFERROR(INDEX('Lookups - Rates'!$E:$E, MATCH($G311&amp;"|"&amp;$H311, 'Lookups - Rates'!$Z:$Z, 0)), "")</f>
        <v/>
      </c>
      <c r="R311" s="11">
        <f>LET(ev,$J311, ch,$L311, hr,$P311, dr,$Q311, hpday,Assumptions!$B$2, hpw,Assumptions!$B$3, w,$M311, hrs, IF($I311="Hours", ev, IF($I311="Days", ev*IF(dr&gt;0, dr/hr, hpday), IF($I311="FTE", ev*hpw*w, ch))), IF(hrs="", "", hrs*hr))</f>
        <v/>
      </c>
      <c r="S311" s="13" t="n"/>
      <c r="T311" s="11">
        <f t="array" ref="T311">XLOOKUP(Scenario_Selected, INDEX(Scenario_Table,0,1), INDEX(Scenario_Table,0,2))</f>
        <v/>
      </c>
      <c r="U311" s="11">
        <f t="array" ref="U311">XLOOKUP(Scenario_Selected, INDEX(Scenario_Table,0,1), INDEX(Scenario_Table,0,3))</f>
        <v/>
      </c>
      <c r="V311" s="11">
        <f t="array" ref="V311">XLOOKUP(Scenario_Selected, INDEX(Scenario_Table,0,1), INDEX(Scenario_Table,0,4))</f>
        <v/>
      </c>
      <c r="W311" s="11">
        <f t="array" ref="W311">LET(ev,$J311, ch,$L311, et,$I311, dr,$Q311, hpday,Assumptions!$B$2, hpw,Assumptions!$B$3, w,$M311,hm,INDIRECT("R[0]C[0]",FALSE),hrs, IF(et="Hours", ev, IF(et="Days", ev*IF(dr&gt;0, dr/$P311, hpday), IF(et="FTE", ev*hpw*w, ch))), IF(hrs="", "", hrs*hm))</f>
        <v/>
      </c>
      <c r="X311" s="11">
        <f>IF($P311="","", $P311*INDIRECT("R[0]C[-3]",FALSE))</f>
        <v/>
      </c>
      <c r="Y311" s="11">
        <f>IF(INDIRECT("R[0]C[-1]",FALSE)="","", INDIRECT("R[0]C[-2]",FALSE)*INDIRECT("R[0]C[-1]",FALSE)*(1+INDIRECT("R[0]C[-3]",FALSE)))</f>
        <v/>
      </c>
      <c r="Z311" s="13" t="n"/>
    </row>
    <row r="312" ht="15.75" customHeight="1" s="74">
      <c r="A312" s="11" t="n">
        <v>312</v>
      </c>
      <c r="C312" s="11">
        <f t="array" ref="C312">IFERROR(INDEX(Milestones!$A:$A, MATCH($B312, Milestones!$B:$B, 0)), "")</f>
        <v/>
      </c>
      <c r="D312" s="11">
        <f t="array" ref="D312">IFERROR(INDEX(Milestones!$C:$C, MATCH($B312, Milestones!$B:$B, 0)), "")</f>
        <v/>
      </c>
      <c r="F312" s="11">
        <f t="array" ref="F312">IFERROR(INDEX(Milestones!$E:$E, MATCH($B312, Milestones!$B:$B, 0)), "")</f>
        <v/>
      </c>
      <c r="I312" s="11" t="n"/>
      <c r="J312" s="20" t="n"/>
      <c r="K312" s="11" t="n"/>
      <c r="L312" s="11">
        <f t="array" ref="L312">IF($K312="","", IFERROR(IFS($K312="Low", INDEX('Lookups - Complexity'!$C:$C, MATCH($B312, 'Lookups - Complexity'!$B:$B,0)), $K312="Medium", INDEX('Lookups - Complexity'!$D:$D, MATCH($B312, 'Lookups - Complexity'!$B:$B,0)), $K312="High", INDEX('Lookups - Complexity'!$E:$E, MATCH($B312, 'Lookups - Complexity'!$B:$B,0))), ""))</f>
        <v/>
      </c>
      <c r="M312" s="11">
        <f>IF($I312="FTE", Assumptions!$B$3, "")</f>
        <v/>
      </c>
      <c r="N312" s="11">
        <f t="array" ref="N312">IFERROR(INDEX(Milestones!$F:$F, MATCH($B312, Milestones!$B:$B, 0)), "")</f>
        <v/>
      </c>
      <c r="O312" s="11">
        <f t="array" ref="O312">IFERROR(INDEX(Milestones!$G:$G, MATCH($B312, Milestones!$B:$B, 0)), "")</f>
        <v/>
      </c>
      <c r="P312" s="11">
        <f t="array" ref="P312">IFERROR(INDEX('Lookups - Rates'!$D:$D, MATCH($G312&amp;"|"&amp;$H312, 'Lookups - Rates'!$Z:$Z, 0)), "")</f>
        <v/>
      </c>
      <c r="Q312" s="11">
        <f t="array" ref="Q312">IFERROR(INDEX('Lookups - Rates'!$E:$E, MATCH($G312&amp;"|"&amp;$H312, 'Lookups - Rates'!$Z:$Z, 0)), "")</f>
        <v/>
      </c>
      <c r="R312" s="11">
        <f>LET(ev,$J312, ch,$L312, hr,$P312, dr,$Q312, hpday,Assumptions!$B$2, hpw,Assumptions!$B$3, w,$M312, hrs, IF($I312="Hours", ev, IF($I312="Days", ev*IF(dr&gt;0, dr/hr, hpday), IF($I312="FTE", ev*hpw*w, ch))), IF(hrs="", "", hrs*hr))</f>
        <v/>
      </c>
      <c r="S312" s="13" t="n"/>
      <c r="T312" s="11">
        <f t="array" ref="T312">XLOOKUP(Scenario_Selected, INDEX(Scenario_Table,0,1), INDEX(Scenario_Table,0,2))</f>
        <v/>
      </c>
      <c r="U312" s="11">
        <f t="array" ref="U312">XLOOKUP(Scenario_Selected, INDEX(Scenario_Table,0,1), INDEX(Scenario_Table,0,3))</f>
        <v/>
      </c>
      <c r="V312" s="11">
        <f t="array" ref="V312">XLOOKUP(Scenario_Selected, INDEX(Scenario_Table,0,1), INDEX(Scenario_Table,0,4))</f>
        <v/>
      </c>
      <c r="W312" s="11">
        <f t="array" ref="W312">LET(ev,$J312, ch,$L312, et,$I312, dr,$Q312, hpday,Assumptions!$B$2, hpw,Assumptions!$B$3, w,$M312,hm,INDIRECT("R[0]C[0]",FALSE),hrs, IF(et="Hours", ev, IF(et="Days", ev*IF(dr&gt;0, dr/$P312, hpday), IF(et="FTE", ev*hpw*w, ch))), IF(hrs="", "", hrs*hm))</f>
        <v/>
      </c>
      <c r="X312" s="11">
        <f>IF($P312="","", $P312*INDIRECT("R[0]C[-3]",FALSE))</f>
        <v/>
      </c>
      <c r="Y312" s="11">
        <f>IF(INDIRECT("R[0]C[-1]",FALSE)="","", INDIRECT("R[0]C[-2]",FALSE)*INDIRECT("R[0]C[-1]",FALSE)*(1+INDIRECT("R[0]C[-3]",FALSE)))</f>
        <v/>
      </c>
      <c r="Z312" s="13" t="n"/>
    </row>
    <row r="313" ht="15.75" customHeight="1" s="74">
      <c r="A313" s="11" t="n">
        <v>313</v>
      </c>
      <c r="C313" s="11">
        <f t="array" ref="C313">IFERROR(INDEX(Milestones!$A:$A, MATCH($B313, Milestones!$B:$B, 0)), "")</f>
        <v/>
      </c>
      <c r="D313" s="11">
        <f t="array" ref="D313">IFERROR(INDEX(Milestones!$C:$C, MATCH($B313, Milestones!$B:$B, 0)), "")</f>
        <v/>
      </c>
      <c r="F313" s="11">
        <f t="array" ref="F313">IFERROR(INDEX(Milestones!$E:$E, MATCH($B313, Milestones!$B:$B, 0)), "")</f>
        <v/>
      </c>
      <c r="I313" s="11" t="n"/>
      <c r="J313" s="20" t="n"/>
      <c r="K313" s="11" t="n"/>
      <c r="L313" s="11">
        <f t="array" ref="L313">IF($K313="","", IFERROR(IFS($K313="Low", INDEX('Lookups - Complexity'!$C:$C, MATCH($B313, 'Lookups - Complexity'!$B:$B,0)), $K313="Medium", INDEX('Lookups - Complexity'!$D:$D, MATCH($B313, 'Lookups - Complexity'!$B:$B,0)), $K313="High", INDEX('Lookups - Complexity'!$E:$E, MATCH($B313, 'Lookups - Complexity'!$B:$B,0))), ""))</f>
        <v/>
      </c>
      <c r="M313" s="11">
        <f>IF($I313="FTE", Assumptions!$B$3, "")</f>
        <v/>
      </c>
      <c r="N313" s="11">
        <f t="array" ref="N313">IFERROR(INDEX(Milestones!$F:$F, MATCH($B313, Milestones!$B:$B, 0)), "")</f>
        <v/>
      </c>
      <c r="O313" s="11">
        <f t="array" ref="O313">IFERROR(INDEX(Milestones!$G:$G, MATCH($B313, Milestones!$B:$B, 0)), "")</f>
        <v/>
      </c>
      <c r="P313" s="11">
        <f t="array" ref="P313">IFERROR(INDEX('Lookups - Rates'!$D:$D, MATCH($G313&amp;"|"&amp;$H313, 'Lookups - Rates'!$Z:$Z, 0)), "")</f>
        <v/>
      </c>
      <c r="Q313" s="11">
        <f t="array" ref="Q313">IFERROR(INDEX('Lookups - Rates'!$E:$E, MATCH($G313&amp;"|"&amp;$H313, 'Lookups - Rates'!$Z:$Z, 0)), "")</f>
        <v/>
      </c>
      <c r="R313" s="11">
        <f>LET(ev,$J313, ch,$L313, hr,$P313, dr,$Q313, hpday,Assumptions!$B$2, hpw,Assumptions!$B$3, w,$M313, hrs, IF($I313="Hours", ev, IF($I313="Days", ev*IF(dr&gt;0, dr/hr, hpday), IF($I313="FTE", ev*hpw*w, ch))), IF(hrs="", "", hrs*hr))</f>
        <v/>
      </c>
      <c r="S313" s="13" t="n"/>
      <c r="T313" s="11">
        <f t="array" ref="T313">XLOOKUP(Scenario_Selected, INDEX(Scenario_Table,0,1), INDEX(Scenario_Table,0,2))</f>
        <v/>
      </c>
      <c r="U313" s="11">
        <f t="array" ref="U313">XLOOKUP(Scenario_Selected, INDEX(Scenario_Table,0,1), INDEX(Scenario_Table,0,3))</f>
        <v/>
      </c>
      <c r="V313" s="11">
        <f t="array" ref="V313">XLOOKUP(Scenario_Selected, INDEX(Scenario_Table,0,1), INDEX(Scenario_Table,0,4))</f>
        <v/>
      </c>
      <c r="W313" s="11">
        <f t="array" ref="W313">LET(ev,$J313, ch,$L313, et,$I313, dr,$Q313, hpday,Assumptions!$B$2, hpw,Assumptions!$B$3, w,$M313,hm,INDIRECT("R[0]C[0]",FALSE),hrs, IF(et="Hours", ev, IF(et="Days", ev*IF(dr&gt;0, dr/$P313, hpday), IF(et="FTE", ev*hpw*w, ch))), IF(hrs="", "", hrs*hm))</f>
        <v/>
      </c>
      <c r="X313" s="11">
        <f>IF($P313="","", $P313*INDIRECT("R[0]C[-3]",FALSE))</f>
        <v/>
      </c>
      <c r="Y313" s="11">
        <f>IF(INDIRECT("R[0]C[-1]",FALSE)="","", INDIRECT("R[0]C[-2]",FALSE)*INDIRECT("R[0]C[-1]",FALSE)*(1+INDIRECT("R[0]C[-3]",FALSE)))</f>
        <v/>
      </c>
      <c r="Z313" s="13" t="n"/>
    </row>
    <row r="314" ht="15.75" customHeight="1" s="74">
      <c r="A314" s="11" t="n">
        <v>314</v>
      </c>
      <c r="C314" s="11">
        <f t="array" ref="C314">IFERROR(INDEX(Milestones!$A:$A, MATCH($B314, Milestones!$B:$B, 0)), "")</f>
        <v/>
      </c>
      <c r="D314" s="11">
        <f t="array" ref="D314">IFERROR(INDEX(Milestones!$C:$C, MATCH($B314, Milestones!$B:$B, 0)), "")</f>
        <v/>
      </c>
      <c r="F314" s="11">
        <f t="array" ref="F314">IFERROR(INDEX(Milestones!$E:$E, MATCH($B314, Milestones!$B:$B, 0)), "")</f>
        <v/>
      </c>
      <c r="I314" s="11" t="n"/>
      <c r="J314" s="20" t="n"/>
      <c r="K314" s="11" t="n"/>
      <c r="L314" s="11">
        <f t="array" ref="L314">IF($K314="","", IFERROR(IFS($K314="Low", INDEX('Lookups - Complexity'!$C:$C, MATCH($B314, 'Lookups - Complexity'!$B:$B,0)), $K314="Medium", INDEX('Lookups - Complexity'!$D:$D, MATCH($B314, 'Lookups - Complexity'!$B:$B,0)), $K314="High", INDEX('Lookups - Complexity'!$E:$E, MATCH($B314, 'Lookups - Complexity'!$B:$B,0))), ""))</f>
        <v/>
      </c>
      <c r="M314" s="11">
        <f>IF($I314="FTE", Assumptions!$B$3, "")</f>
        <v/>
      </c>
      <c r="N314" s="11">
        <f t="array" ref="N314">IFERROR(INDEX(Milestones!$F:$F, MATCH($B314, Milestones!$B:$B, 0)), "")</f>
        <v/>
      </c>
      <c r="O314" s="11">
        <f t="array" ref="O314">IFERROR(INDEX(Milestones!$G:$G, MATCH($B314, Milestones!$B:$B, 0)), "")</f>
        <v/>
      </c>
      <c r="P314" s="11">
        <f t="array" ref="P314">IFERROR(INDEX('Lookups - Rates'!$D:$D, MATCH($G314&amp;"|"&amp;$H314, 'Lookups - Rates'!$Z:$Z, 0)), "")</f>
        <v/>
      </c>
      <c r="Q314" s="11">
        <f t="array" ref="Q314">IFERROR(INDEX('Lookups - Rates'!$E:$E, MATCH($G314&amp;"|"&amp;$H314, 'Lookups - Rates'!$Z:$Z, 0)), "")</f>
        <v/>
      </c>
      <c r="R314" s="11">
        <f>LET(ev,$J314, ch,$L314, hr,$P314, dr,$Q314, hpday,Assumptions!$B$2, hpw,Assumptions!$B$3, w,$M314, hrs, IF($I314="Hours", ev, IF($I314="Days", ev*IF(dr&gt;0, dr/hr, hpday), IF($I314="FTE", ev*hpw*w, ch))), IF(hrs="", "", hrs*hr))</f>
        <v/>
      </c>
      <c r="S314" s="13" t="n"/>
      <c r="T314" s="11">
        <f t="array" ref="T314">XLOOKUP(Scenario_Selected, INDEX(Scenario_Table,0,1), INDEX(Scenario_Table,0,2))</f>
        <v/>
      </c>
      <c r="U314" s="11">
        <f t="array" ref="U314">XLOOKUP(Scenario_Selected, INDEX(Scenario_Table,0,1), INDEX(Scenario_Table,0,3))</f>
        <v/>
      </c>
      <c r="V314" s="11">
        <f t="array" ref="V314">XLOOKUP(Scenario_Selected, INDEX(Scenario_Table,0,1), INDEX(Scenario_Table,0,4))</f>
        <v/>
      </c>
      <c r="W314" s="11">
        <f t="array" ref="W314">LET(ev,$J314, ch,$L314, et,$I314, dr,$Q314, hpday,Assumptions!$B$2, hpw,Assumptions!$B$3, w,$M314,hm,INDIRECT("R[0]C[0]",FALSE),hrs, IF(et="Hours", ev, IF(et="Days", ev*IF(dr&gt;0, dr/$P314, hpday), IF(et="FTE", ev*hpw*w, ch))), IF(hrs="", "", hrs*hm))</f>
        <v/>
      </c>
      <c r="X314" s="11">
        <f>IF($P314="","", $P314*INDIRECT("R[0]C[-3]",FALSE))</f>
        <v/>
      </c>
      <c r="Y314" s="11">
        <f>IF(INDIRECT("R[0]C[-1]",FALSE)="","", INDIRECT("R[0]C[-2]",FALSE)*INDIRECT("R[0]C[-1]",FALSE)*(1+INDIRECT("R[0]C[-3]",FALSE)))</f>
        <v/>
      </c>
      <c r="Z314" s="13" t="n"/>
    </row>
    <row r="315" ht="15.75" customHeight="1" s="74">
      <c r="A315" s="11" t="n">
        <v>315</v>
      </c>
      <c r="C315" s="11">
        <f t="array" ref="C315">IFERROR(INDEX(Milestones!$A:$A, MATCH($B315, Milestones!$B:$B, 0)), "")</f>
        <v/>
      </c>
      <c r="D315" s="11">
        <f t="array" ref="D315">IFERROR(INDEX(Milestones!$C:$C, MATCH($B315, Milestones!$B:$B, 0)), "")</f>
        <v/>
      </c>
      <c r="F315" s="11">
        <f t="array" ref="F315">IFERROR(INDEX(Milestones!$E:$E, MATCH($B315, Milestones!$B:$B, 0)), "")</f>
        <v/>
      </c>
      <c r="I315" s="11" t="n"/>
      <c r="J315" s="20" t="n"/>
      <c r="K315" s="11" t="n"/>
      <c r="L315" s="11">
        <f t="array" ref="L315">IF($K315="","", IFERROR(IFS($K315="Low", INDEX('Lookups - Complexity'!$C:$C, MATCH($B315, 'Lookups - Complexity'!$B:$B,0)), $K315="Medium", INDEX('Lookups - Complexity'!$D:$D, MATCH($B315, 'Lookups - Complexity'!$B:$B,0)), $K315="High", INDEX('Lookups - Complexity'!$E:$E, MATCH($B315, 'Lookups - Complexity'!$B:$B,0))), ""))</f>
        <v/>
      </c>
      <c r="M315" s="11">
        <f>IF($I315="FTE", Assumptions!$B$3, "")</f>
        <v/>
      </c>
      <c r="N315" s="11">
        <f t="array" ref="N315">IFERROR(INDEX(Milestones!$F:$F, MATCH($B315, Milestones!$B:$B, 0)), "")</f>
        <v/>
      </c>
      <c r="O315" s="11">
        <f t="array" ref="O315">IFERROR(INDEX(Milestones!$G:$G, MATCH($B315, Milestones!$B:$B, 0)), "")</f>
        <v/>
      </c>
      <c r="P315" s="11">
        <f t="array" ref="P315">IFERROR(INDEX('Lookups - Rates'!$D:$D, MATCH($G315&amp;"|"&amp;$H315, 'Lookups - Rates'!$Z:$Z, 0)), "")</f>
        <v/>
      </c>
      <c r="Q315" s="11">
        <f t="array" ref="Q315">IFERROR(INDEX('Lookups - Rates'!$E:$E, MATCH($G315&amp;"|"&amp;$H315, 'Lookups - Rates'!$Z:$Z, 0)), "")</f>
        <v/>
      </c>
      <c r="R315" s="11">
        <f>LET(ev,$J315, ch,$L315, hr,$P315, dr,$Q315, hpday,Assumptions!$B$2, hpw,Assumptions!$B$3, w,$M315, hrs, IF($I315="Hours", ev, IF($I315="Days", ev*IF(dr&gt;0, dr/hr, hpday), IF($I315="FTE", ev*hpw*w, ch))), IF(hrs="", "", hrs*hr))</f>
        <v/>
      </c>
      <c r="S315" s="13" t="n"/>
      <c r="T315" s="11">
        <f t="array" ref="T315">XLOOKUP(Scenario_Selected, INDEX(Scenario_Table,0,1), INDEX(Scenario_Table,0,2))</f>
        <v/>
      </c>
      <c r="U315" s="11">
        <f t="array" ref="U315">XLOOKUP(Scenario_Selected, INDEX(Scenario_Table,0,1), INDEX(Scenario_Table,0,3))</f>
        <v/>
      </c>
      <c r="V315" s="11">
        <f t="array" ref="V315">XLOOKUP(Scenario_Selected, INDEX(Scenario_Table,0,1), INDEX(Scenario_Table,0,4))</f>
        <v/>
      </c>
      <c r="W315" s="11">
        <f t="array" ref="W315">LET(ev,$J315, ch,$L315, et,$I315, dr,$Q315, hpday,Assumptions!$B$2, hpw,Assumptions!$B$3, w,$M315,hm,INDIRECT("R[0]C[0]",FALSE),hrs, IF(et="Hours", ev, IF(et="Days", ev*IF(dr&gt;0, dr/$P315, hpday), IF(et="FTE", ev*hpw*w, ch))), IF(hrs="", "", hrs*hm))</f>
        <v/>
      </c>
      <c r="X315" s="11">
        <f>IF($P315="","", $P315*INDIRECT("R[0]C[-3]",FALSE))</f>
        <v/>
      </c>
      <c r="Y315" s="11">
        <f>IF(INDIRECT("R[0]C[-1]",FALSE)="","", INDIRECT("R[0]C[-2]",FALSE)*INDIRECT("R[0]C[-1]",FALSE)*(1+INDIRECT("R[0]C[-3]",FALSE)))</f>
        <v/>
      </c>
      <c r="Z315" s="13" t="n"/>
    </row>
    <row r="316" ht="15.75" customHeight="1" s="74">
      <c r="A316" s="11" t="n">
        <v>316</v>
      </c>
      <c r="C316" s="11">
        <f t="array" ref="C316">IFERROR(INDEX(Milestones!$A:$A, MATCH($B316, Milestones!$B:$B, 0)), "")</f>
        <v/>
      </c>
      <c r="D316" s="11">
        <f t="array" ref="D316">IFERROR(INDEX(Milestones!$C:$C, MATCH($B316, Milestones!$B:$B, 0)), "")</f>
        <v/>
      </c>
      <c r="F316" s="11">
        <f t="array" ref="F316">IFERROR(INDEX(Milestones!$E:$E, MATCH($B316, Milestones!$B:$B, 0)), "")</f>
        <v/>
      </c>
      <c r="I316" s="11" t="n"/>
      <c r="J316" s="20" t="n"/>
      <c r="K316" s="11" t="n"/>
      <c r="L316" s="11">
        <f t="array" ref="L316">IF($K316="","", IFERROR(IFS($K316="Low", INDEX('Lookups - Complexity'!$C:$C, MATCH($B316, 'Lookups - Complexity'!$B:$B,0)), $K316="Medium", INDEX('Lookups - Complexity'!$D:$D, MATCH($B316, 'Lookups - Complexity'!$B:$B,0)), $K316="High", INDEX('Lookups - Complexity'!$E:$E, MATCH($B316, 'Lookups - Complexity'!$B:$B,0))), ""))</f>
        <v/>
      </c>
      <c r="M316" s="11">
        <f>IF($I316="FTE", Assumptions!$B$3, "")</f>
        <v/>
      </c>
      <c r="N316" s="11">
        <f t="array" ref="N316">IFERROR(INDEX(Milestones!$F:$F, MATCH($B316, Milestones!$B:$B, 0)), "")</f>
        <v/>
      </c>
      <c r="O316" s="11">
        <f t="array" ref="O316">IFERROR(INDEX(Milestones!$G:$G, MATCH($B316, Milestones!$B:$B, 0)), "")</f>
        <v/>
      </c>
      <c r="P316" s="11">
        <f t="array" ref="P316">IFERROR(INDEX('Lookups - Rates'!$D:$D, MATCH($G316&amp;"|"&amp;$H316, 'Lookups - Rates'!$Z:$Z, 0)), "")</f>
        <v/>
      </c>
      <c r="Q316" s="11">
        <f t="array" ref="Q316">IFERROR(INDEX('Lookups - Rates'!$E:$E, MATCH($G316&amp;"|"&amp;$H316, 'Lookups - Rates'!$Z:$Z, 0)), "")</f>
        <v/>
      </c>
      <c r="R316" s="11">
        <f>LET(ev,$J316, ch,$L316, hr,$P316, dr,$Q316, hpday,Assumptions!$B$2, hpw,Assumptions!$B$3, w,$M316, hrs, IF($I316="Hours", ev, IF($I316="Days", ev*IF(dr&gt;0, dr/hr, hpday), IF($I316="FTE", ev*hpw*w, ch))), IF(hrs="", "", hrs*hr))</f>
        <v/>
      </c>
      <c r="S316" s="13" t="n"/>
      <c r="T316" s="11">
        <f t="array" ref="T316">XLOOKUP(Scenario_Selected, INDEX(Scenario_Table,0,1), INDEX(Scenario_Table,0,2))</f>
        <v/>
      </c>
      <c r="U316" s="11">
        <f t="array" ref="U316">XLOOKUP(Scenario_Selected, INDEX(Scenario_Table,0,1), INDEX(Scenario_Table,0,3))</f>
        <v/>
      </c>
      <c r="V316" s="11">
        <f t="array" ref="V316">XLOOKUP(Scenario_Selected, INDEX(Scenario_Table,0,1), INDEX(Scenario_Table,0,4))</f>
        <v/>
      </c>
      <c r="W316" s="11">
        <f t="array" ref="W316">LET(ev,$J316, ch,$L316, et,$I316, dr,$Q316, hpday,Assumptions!$B$2, hpw,Assumptions!$B$3, w,$M316,hm,INDIRECT("R[0]C[0]",FALSE),hrs, IF(et="Hours", ev, IF(et="Days", ev*IF(dr&gt;0, dr/$P316, hpday), IF(et="FTE", ev*hpw*w, ch))), IF(hrs="", "", hrs*hm))</f>
        <v/>
      </c>
      <c r="X316" s="11">
        <f>IF($P316="","", $P316*INDIRECT("R[0]C[-3]",FALSE))</f>
        <v/>
      </c>
      <c r="Y316" s="11">
        <f>IF(INDIRECT("R[0]C[-1]",FALSE)="","", INDIRECT("R[0]C[-2]",FALSE)*INDIRECT("R[0]C[-1]",FALSE)*(1+INDIRECT("R[0]C[-3]",FALSE)))</f>
        <v/>
      </c>
      <c r="Z316" s="13" t="n"/>
    </row>
    <row r="317" ht="15.75" customHeight="1" s="74">
      <c r="A317" s="11" t="n">
        <v>317</v>
      </c>
      <c r="C317" s="11">
        <f t="array" ref="C317">IFERROR(INDEX(Milestones!$A:$A, MATCH($B317, Milestones!$B:$B, 0)), "")</f>
        <v/>
      </c>
      <c r="D317" s="11">
        <f t="array" ref="D317">IFERROR(INDEX(Milestones!$C:$C, MATCH($B317, Milestones!$B:$B, 0)), "")</f>
        <v/>
      </c>
      <c r="F317" s="11">
        <f t="array" ref="F317">IFERROR(INDEX(Milestones!$E:$E, MATCH($B317, Milestones!$B:$B, 0)), "")</f>
        <v/>
      </c>
      <c r="I317" s="11" t="n"/>
      <c r="J317" s="20" t="n"/>
      <c r="K317" s="11" t="n"/>
      <c r="L317" s="11">
        <f t="array" ref="L317">IF($K317="","", IFERROR(IFS($K317="Low", INDEX('Lookups - Complexity'!$C:$C, MATCH($B317, 'Lookups - Complexity'!$B:$B,0)), $K317="Medium", INDEX('Lookups - Complexity'!$D:$D, MATCH($B317, 'Lookups - Complexity'!$B:$B,0)), $K317="High", INDEX('Lookups - Complexity'!$E:$E, MATCH($B317, 'Lookups - Complexity'!$B:$B,0))), ""))</f>
        <v/>
      </c>
      <c r="M317" s="11">
        <f>IF($I317="FTE", Assumptions!$B$3, "")</f>
        <v/>
      </c>
      <c r="N317" s="11">
        <f t="array" ref="N317">IFERROR(INDEX(Milestones!$F:$F, MATCH($B317, Milestones!$B:$B, 0)), "")</f>
        <v/>
      </c>
      <c r="O317" s="11">
        <f t="array" ref="O317">IFERROR(INDEX(Milestones!$G:$G, MATCH($B317, Milestones!$B:$B, 0)), "")</f>
        <v/>
      </c>
      <c r="P317" s="11">
        <f t="array" ref="P317">IFERROR(INDEX('Lookups - Rates'!$D:$D, MATCH($G317&amp;"|"&amp;$H317, 'Lookups - Rates'!$Z:$Z, 0)), "")</f>
        <v/>
      </c>
      <c r="Q317" s="11">
        <f t="array" ref="Q317">IFERROR(INDEX('Lookups - Rates'!$E:$E, MATCH($G317&amp;"|"&amp;$H317, 'Lookups - Rates'!$Z:$Z, 0)), "")</f>
        <v/>
      </c>
      <c r="R317" s="11">
        <f>LET(ev,$J317, ch,$L317, hr,$P317, dr,$Q317, hpday,Assumptions!$B$2, hpw,Assumptions!$B$3, w,$M317, hrs, IF($I317="Hours", ev, IF($I317="Days", ev*IF(dr&gt;0, dr/hr, hpday), IF($I317="FTE", ev*hpw*w, ch))), IF(hrs="", "", hrs*hr))</f>
        <v/>
      </c>
      <c r="S317" s="13" t="n"/>
      <c r="T317" s="11">
        <f t="array" ref="T317">XLOOKUP(Scenario_Selected, INDEX(Scenario_Table,0,1), INDEX(Scenario_Table,0,2))</f>
        <v/>
      </c>
      <c r="U317" s="11">
        <f t="array" ref="U317">XLOOKUP(Scenario_Selected, INDEX(Scenario_Table,0,1), INDEX(Scenario_Table,0,3))</f>
        <v/>
      </c>
      <c r="V317" s="11">
        <f t="array" ref="V317">XLOOKUP(Scenario_Selected, INDEX(Scenario_Table,0,1), INDEX(Scenario_Table,0,4))</f>
        <v/>
      </c>
      <c r="W317" s="11">
        <f t="array" ref="W317">LET(ev,$J317, ch,$L317, et,$I317, dr,$Q317, hpday,Assumptions!$B$2, hpw,Assumptions!$B$3, w,$M317,hm,INDIRECT("R[0]C[0]",FALSE),hrs, IF(et="Hours", ev, IF(et="Days", ev*IF(dr&gt;0, dr/$P317, hpday), IF(et="FTE", ev*hpw*w, ch))), IF(hrs="", "", hrs*hm))</f>
        <v/>
      </c>
      <c r="X317" s="11">
        <f>IF($P317="","", $P317*INDIRECT("R[0]C[-3]",FALSE))</f>
        <v/>
      </c>
      <c r="Y317" s="11">
        <f>IF(INDIRECT("R[0]C[-1]",FALSE)="","", INDIRECT("R[0]C[-2]",FALSE)*INDIRECT("R[0]C[-1]",FALSE)*(1+INDIRECT("R[0]C[-3]",FALSE)))</f>
        <v/>
      </c>
      <c r="Z317" s="13" t="n"/>
    </row>
    <row r="318" ht="15.75" customHeight="1" s="74">
      <c r="A318" s="11" t="n">
        <v>318</v>
      </c>
      <c r="C318" s="11">
        <f t="array" ref="C318">IFERROR(INDEX(Milestones!$A:$A, MATCH($B318, Milestones!$B:$B, 0)), "")</f>
        <v/>
      </c>
      <c r="D318" s="11">
        <f t="array" ref="D318">IFERROR(INDEX(Milestones!$C:$C, MATCH($B318, Milestones!$B:$B, 0)), "")</f>
        <v/>
      </c>
      <c r="F318" s="11">
        <f t="array" ref="F318">IFERROR(INDEX(Milestones!$E:$E, MATCH($B318, Milestones!$B:$B, 0)), "")</f>
        <v/>
      </c>
      <c r="I318" s="11" t="n"/>
      <c r="J318" s="20" t="n"/>
      <c r="K318" s="11" t="n"/>
      <c r="L318" s="11">
        <f t="array" ref="L318">IF($K318="","", IFERROR(IFS($K318="Low", INDEX('Lookups - Complexity'!$C:$C, MATCH($B318, 'Lookups - Complexity'!$B:$B,0)), $K318="Medium", INDEX('Lookups - Complexity'!$D:$D, MATCH($B318, 'Lookups - Complexity'!$B:$B,0)), $K318="High", INDEX('Lookups - Complexity'!$E:$E, MATCH($B318, 'Lookups - Complexity'!$B:$B,0))), ""))</f>
        <v/>
      </c>
      <c r="M318" s="11">
        <f>IF($I318="FTE", Assumptions!$B$3, "")</f>
        <v/>
      </c>
      <c r="N318" s="11">
        <f t="array" ref="N318">IFERROR(INDEX(Milestones!$F:$F, MATCH($B318, Milestones!$B:$B, 0)), "")</f>
        <v/>
      </c>
      <c r="O318" s="11">
        <f t="array" ref="O318">IFERROR(INDEX(Milestones!$G:$G, MATCH($B318, Milestones!$B:$B, 0)), "")</f>
        <v/>
      </c>
      <c r="P318" s="11">
        <f t="array" ref="P318">IFERROR(INDEX('Lookups - Rates'!$D:$D, MATCH($G318&amp;"|"&amp;$H318, 'Lookups - Rates'!$Z:$Z, 0)), "")</f>
        <v/>
      </c>
      <c r="Q318" s="11">
        <f t="array" ref="Q318">IFERROR(INDEX('Lookups - Rates'!$E:$E, MATCH($G318&amp;"|"&amp;$H318, 'Lookups - Rates'!$Z:$Z, 0)), "")</f>
        <v/>
      </c>
      <c r="R318" s="11">
        <f>LET(ev,$J318, ch,$L318, hr,$P318, dr,$Q318, hpday,Assumptions!$B$2, hpw,Assumptions!$B$3, w,$M318, hrs, IF($I318="Hours", ev, IF($I318="Days", ev*IF(dr&gt;0, dr/hr, hpday), IF($I318="FTE", ev*hpw*w, ch))), IF(hrs="", "", hrs*hr))</f>
        <v/>
      </c>
      <c r="S318" s="13" t="n"/>
      <c r="T318" s="11">
        <f t="array" ref="T318">XLOOKUP(Scenario_Selected, INDEX(Scenario_Table,0,1), INDEX(Scenario_Table,0,2))</f>
        <v/>
      </c>
      <c r="U318" s="11">
        <f t="array" ref="U318">XLOOKUP(Scenario_Selected, INDEX(Scenario_Table,0,1), INDEX(Scenario_Table,0,3))</f>
        <v/>
      </c>
      <c r="V318" s="11">
        <f t="array" ref="V318">XLOOKUP(Scenario_Selected, INDEX(Scenario_Table,0,1), INDEX(Scenario_Table,0,4))</f>
        <v/>
      </c>
      <c r="W318" s="11">
        <f t="array" ref="W318">LET(ev,$J318, ch,$L318, et,$I318, dr,$Q318, hpday,Assumptions!$B$2, hpw,Assumptions!$B$3, w,$M318,hm,INDIRECT("R[0]C[0]",FALSE),hrs, IF(et="Hours", ev, IF(et="Days", ev*IF(dr&gt;0, dr/$P318, hpday), IF(et="FTE", ev*hpw*w, ch))), IF(hrs="", "", hrs*hm))</f>
        <v/>
      </c>
      <c r="X318" s="11">
        <f>IF($P318="","", $P318*INDIRECT("R[0]C[-3]",FALSE))</f>
        <v/>
      </c>
      <c r="Y318" s="11">
        <f>IF(INDIRECT("R[0]C[-1]",FALSE)="","", INDIRECT("R[0]C[-2]",FALSE)*INDIRECT("R[0]C[-1]",FALSE)*(1+INDIRECT("R[0]C[-3]",FALSE)))</f>
        <v/>
      </c>
      <c r="Z318" s="13" t="n"/>
    </row>
    <row r="319" ht="15.75" customHeight="1" s="74">
      <c r="A319" s="11" t="n">
        <v>319</v>
      </c>
      <c r="C319" s="11">
        <f t="array" ref="C319">IFERROR(INDEX(Milestones!$A:$A, MATCH($B319, Milestones!$B:$B, 0)), "")</f>
        <v/>
      </c>
      <c r="D319" s="11">
        <f t="array" ref="D319">IFERROR(INDEX(Milestones!$C:$C, MATCH($B319, Milestones!$B:$B, 0)), "")</f>
        <v/>
      </c>
      <c r="F319" s="11">
        <f t="array" ref="F319">IFERROR(INDEX(Milestones!$E:$E, MATCH($B319, Milestones!$B:$B, 0)), "")</f>
        <v/>
      </c>
      <c r="I319" s="11" t="n"/>
      <c r="J319" s="20" t="n"/>
      <c r="K319" s="11" t="n"/>
      <c r="L319" s="11">
        <f t="array" ref="L319">IF($K319="","", IFERROR(IFS($K319="Low", INDEX('Lookups - Complexity'!$C:$C, MATCH($B319, 'Lookups - Complexity'!$B:$B,0)), $K319="Medium", INDEX('Lookups - Complexity'!$D:$D, MATCH($B319, 'Lookups - Complexity'!$B:$B,0)), $K319="High", INDEX('Lookups - Complexity'!$E:$E, MATCH($B319, 'Lookups - Complexity'!$B:$B,0))), ""))</f>
        <v/>
      </c>
      <c r="M319" s="11">
        <f>IF($I319="FTE", Assumptions!$B$3, "")</f>
        <v/>
      </c>
      <c r="N319" s="11">
        <f t="array" ref="N319">IFERROR(INDEX(Milestones!$F:$F, MATCH($B319, Milestones!$B:$B, 0)), "")</f>
        <v/>
      </c>
      <c r="O319" s="11">
        <f t="array" ref="O319">IFERROR(INDEX(Milestones!$G:$G, MATCH($B319, Milestones!$B:$B, 0)), "")</f>
        <v/>
      </c>
      <c r="P319" s="11">
        <f t="array" ref="P319">IFERROR(INDEX('Lookups - Rates'!$D:$D, MATCH($G319&amp;"|"&amp;$H319, 'Lookups - Rates'!$Z:$Z, 0)), "")</f>
        <v/>
      </c>
      <c r="Q319" s="11">
        <f t="array" ref="Q319">IFERROR(INDEX('Lookups - Rates'!$E:$E, MATCH($G319&amp;"|"&amp;$H319, 'Lookups - Rates'!$Z:$Z, 0)), "")</f>
        <v/>
      </c>
      <c r="R319" s="11">
        <f>LET(ev,$J319, ch,$L319, hr,$P319, dr,$Q319, hpday,Assumptions!$B$2, hpw,Assumptions!$B$3, w,$M319, hrs, IF($I319="Hours", ev, IF($I319="Days", ev*IF(dr&gt;0, dr/hr, hpday), IF($I319="FTE", ev*hpw*w, ch))), IF(hrs="", "", hrs*hr))</f>
        <v/>
      </c>
      <c r="S319" s="13" t="n"/>
      <c r="T319" s="11">
        <f t="array" ref="T319">XLOOKUP(Scenario_Selected, INDEX(Scenario_Table,0,1), INDEX(Scenario_Table,0,2))</f>
        <v/>
      </c>
      <c r="U319" s="11">
        <f t="array" ref="U319">XLOOKUP(Scenario_Selected, INDEX(Scenario_Table,0,1), INDEX(Scenario_Table,0,3))</f>
        <v/>
      </c>
      <c r="V319" s="11">
        <f t="array" ref="V319">XLOOKUP(Scenario_Selected, INDEX(Scenario_Table,0,1), INDEX(Scenario_Table,0,4))</f>
        <v/>
      </c>
      <c r="W319" s="11">
        <f t="array" ref="W319">LET(ev,$J319, ch,$L319, et,$I319, dr,$Q319, hpday,Assumptions!$B$2, hpw,Assumptions!$B$3, w,$M319,hm,INDIRECT("R[0]C[0]",FALSE),hrs, IF(et="Hours", ev, IF(et="Days", ev*IF(dr&gt;0, dr/$P319, hpday), IF(et="FTE", ev*hpw*w, ch))), IF(hrs="", "", hrs*hm))</f>
        <v/>
      </c>
      <c r="X319" s="11">
        <f>IF($P319="","", $P319*INDIRECT("R[0]C[-3]",FALSE))</f>
        <v/>
      </c>
      <c r="Y319" s="11">
        <f>IF(INDIRECT("R[0]C[-1]",FALSE)="","", INDIRECT("R[0]C[-2]",FALSE)*INDIRECT("R[0]C[-1]",FALSE)*(1+INDIRECT("R[0]C[-3]",FALSE)))</f>
        <v/>
      </c>
      <c r="Z319" s="13" t="n"/>
    </row>
    <row r="320" ht="15.75" customHeight="1" s="74">
      <c r="A320" s="11" t="n">
        <v>320</v>
      </c>
      <c r="C320" s="11">
        <f t="array" ref="C320">IFERROR(INDEX(Milestones!$A:$A, MATCH($B320, Milestones!$B:$B, 0)), "")</f>
        <v/>
      </c>
      <c r="D320" s="11">
        <f t="array" ref="D320">IFERROR(INDEX(Milestones!$C:$C, MATCH($B320, Milestones!$B:$B, 0)), "")</f>
        <v/>
      </c>
      <c r="F320" s="11">
        <f t="array" ref="F320">IFERROR(INDEX(Milestones!$E:$E, MATCH($B320, Milestones!$B:$B, 0)), "")</f>
        <v/>
      </c>
      <c r="I320" s="11" t="n"/>
      <c r="J320" s="20" t="n"/>
      <c r="K320" s="11" t="n"/>
      <c r="L320" s="11">
        <f t="array" ref="L320">IF($K320="","", IFERROR(IFS($K320="Low", INDEX('Lookups - Complexity'!$C:$C, MATCH($B320, 'Lookups - Complexity'!$B:$B,0)), $K320="Medium", INDEX('Lookups - Complexity'!$D:$D, MATCH($B320, 'Lookups - Complexity'!$B:$B,0)), $K320="High", INDEX('Lookups - Complexity'!$E:$E, MATCH($B320, 'Lookups - Complexity'!$B:$B,0))), ""))</f>
        <v/>
      </c>
      <c r="M320" s="11">
        <f>IF($I320="FTE", Assumptions!$B$3, "")</f>
        <v/>
      </c>
      <c r="N320" s="11">
        <f t="array" ref="N320">IFERROR(INDEX(Milestones!$F:$F, MATCH($B320, Milestones!$B:$B, 0)), "")</f>
        <v/>
      </c>
      <c r="O320" s="11">
        <f t="array" ref="O320">IFERROR(INDEX(Milestones!$G:$G, MATCH($B320, Milestones!$B:$B, 0)), "")</f>
        <v/>
      </c>
      <c r="P320" s="11">
        <f t="array" ref="P320">IFERROR(INDEX('Lookups - Rates'!$D:$D, MATCH($G320&amp;"|"&amp;$H320, 'Lookups - Rates'!$Z:$Z, 0)), "")</f>
        <v/>
      </c>
      <c r="Q320" s="11">
        <f t="array" ref="Q320">IFERROR(INDEX('Lookups - Rates'!$E:$E, MATCH($G320&amp;"|"&amp;$H320, 'Lookups - Rates'!$Z:$Z, 0)), "")</f>
        <v/>
      </c>
      <c r="R320" s="11">
        <f>LET(ev,$J320, ch,$L320, hr,$P320, dr,$Q320, hpday,Assumptions!$B$2, hpw,Assumptions!$B$3, w,$M320, hrs, IF($I320="Hours", ev, IF($I320="Days", ev*IF(dr&gt;0, dr/hr, hpday), IF($I320="FTE", ev*hpw*w, ch))), IF(hrs="", "", hrs*hr))</f>
        <v/>
      </c>
      <c r="S320" s="13" t="n"/>
      <c r="T320" s="11">
        <f t="array" ref="T320">XLOOKUP(Scenario_Selected, INDEX(Scenario_Table,0,1), INDEX(Scenario_Table,0,2))</f>
        <v/>
      </c>
      <c r="U320" s="11">
        <f t="array" ref="U320">XLOOKUP(Scenario_Selected, INDEX(Scenario_Table,0,1), INDEX(Scenario_Table,0,3))</f>
        <v/>
      </c>
      <c r="V320" s="11">
        <f t="array" ref="V320">XLOOKUP(Scenario_Selected, INDEX(Scenario_Table,0,1), INDEX(Scenario_Table,0,4))</f>
        <v/>
      </c>
      <c r="W320" s="11">
        <f t="array" ref="W320">LET(ev,$J320, ch,$L320, et,$I320, dr,$Q320, hpday,Assumptions!$B$2, hpw,Assumptions!$B$3, w,$M320,hm,INDIRECT("R[0]C[0]",FALSE),hrs, IF(et="Hours", ev, IF(et="Days", ev*IF(dr&gt;0, dr/$P320, hpday), IF(et="FTE", ev*hpw*w, ch))), IF(hrs="", "", hrs*hm))</f>
        <v/>
      </c>
      <c r="X320" s="11">
        <f>IF($P320="","", $P320*INDIRECT("R[0]C[-3]",FALSE))</f>
        <v/>
      </c>
      <c r="Y320" s="11">
        <f>IF(INDIRECT("R[0]C[-1]",FALSE)="","", INDIRECT("R[0]C[-2]",FALSE)*INDIRECT("R[0]C[-1]",FALSE)*(1+INDIRECT("R[0]C[-3]",FALSE)))</f>
        <v/>
      </c>
      <c r="Z320" s="13" t="n"/>
    </row>
    <row r="321" ht="15.75" customHeight="1" s="74">
      <c r="A321" s="11" t="n">
        <v>321</v>
      </c>
      <c r="C321" s="11">
        <f t="array" ref="C321">IFERROR(INDEX(Milestones!$A:$A, MATCH($B321, Milestones!$B:$B, 0)), "")</f>
        <v/>
      </c>
      <c r="D321" s="11">
        <f t="array" ref="D321">IFERROR(INDEX(Milestones!$C:$C, MATCH($B321, Milestones!$B:$B, 0)), "")</f>
        <v/>
      </c>
      <c r="F321" s="11">
        <f t="array" ref="F321">IFERROR(INDEX(Milestones!$E:$E, MATCH($B321, Milestones!$B:$B, 0)), "")</f>
        <v/>
      </c>
      <c r="I321" s="11" t="n"/>
      <c r="J321" s="20" t="n"/>
      <c r="K321" s="11" t="n"/>
      <c r="L321" s="11">
        <f t="array" ref="L321">IF($K321="","", IFERROR(IFS($K321="Low", INDEX('Lookups - Complexity'!$C:$C, MATCH($B321, 'Lookups - Complexity'!$B:$B,0)), $K321="Medium", INDEX('Lookups - Complexity'!$D:$D, MATCH($B321, 'Lookups - Complexity'!$B:$B,0)), $K321="High", INDEX('Lookups - Complexity'!$E:$E, MATCH($B321, 'Lookups - Complexity'!$B:$B,0))), ""))</f>
        <v/>
      </c>
      <c r="M321" s="11">
        <f>IF($I321="FTE", Assumptions!$B$3, "")</f>
        <v/>
      </c>
      <c r="N321" s="11">
        <f t="array" ref="N321">IFERROR(INDEX(Milestones!$F:$F, MATCH($B321, Milestones!$B:$B, 0)), "")</f>
        <v/>
      </c>
      <c r="O321" s="11">
        <f t="array" ref="O321">IFERROR(INDEX(Milestones!$G:$G, MATCH($B321, Milestones!$B:$B, 0)), "")</f>
        <v/>
      </c>
      <c r="P321" s="11">
        <f t="array" ref="P321">IFERROR(INDEX('Lookups - Rates'!$D:$D, MATCH($G321&amp;"|"&amp;$H321, 'Lookups - Rates'!$Z:$Z, 0)), "")</f>
        <v/>
      </c>
      <c r="Q321" s="11">
        <f t="array" ref="Q321">IFERROR(INDEX('Lookups - Rates'!$E:$E, MATCH($G321&amp;"|"&amp;$H321, 'Lookups - Rates'!$Z:$Z, 0)), "")</f>
        <v/>
      </c>
      <c r="R321" s="11">
        <f>LET(ev,$J321, ch,$L321, hr,$P321, dr,$Q321, hpday,Assumptions!$B$2, hpw,Assumptions!$B$3, w,$M321, hrs, IF($I321="Hours", ev, IF($I321="Days", ev*IF(dr&gt;0, dr/hr, hpday), IF($I321="FTE", ev*hpw*w, ch))), IF(hrs="", "", hrs*hr))</f>
        <v/>
      </c>
      <c r="S321" s="13" t="n"/>
      <c r="T321" s="11">
        <f t="array" ref="T321">XLOOKUP(Scenario_Selected, INDEX(Scenario_Table,0,1), INDEX(Scenario_Table,0,2))</f>
        <v/>
      </c>
      <c r="U321" s="11">
        <f t="array" ref="U321">XLOOKUP(Scenario_Selected, INDEX(Scenario_Table,0,1), INDEX(Scenario_Table,0,3))</f>
        <v/>
      </c>
      <c r="V321" s="11">
        <f t="array" ref="V321">XLOOKUP(Scenario_Selected, INDEX(Scenario_Table,0,1), INDEX(Scenario_Table,0,4))</f>
        <v/>
      </c>
      <c r="W321" s="11">
        <f t="array" ref="W321">LET(ev,$J321, ch,$L321, et,$I321, dr,$Q321, hpday,Assumptions!$B$2, hpw,Assumptions!$B$3, w,$M321,hm,INDIRECT("R[0]C[0]",FALSE),hrs, IF(et="Hours", ev, IF(et="Days", ev*IF(dr&gt;0, dr/$P321, hpday), IF(et="FTE", ev*hpw*w, ch))), IF(hrs="", "", hrs*hm))</f>
        <v/>
      </c>
      <c r="X321" s="11">
        <f>IF($P321="","", $P321*INDIRECT("R[0]C[-3]",FALSE))</f>
        <v/>
      </c>
      <c r="Y321" s="11">
        <f>IF(INDIRECT("R[0]C[-1]",FALSE)="","", INDIRECT("R[0]C[-2]",FALSE)*INDIRECT("R[0]C[-1]",FALSE)*(1+INDIRECT("R[0]C[-3]",FALSE)))</f>
        <v/>
      </c>
      <c r="Z321" s="13" t="n"/>
    </row>
    <row r="322" ht="15.75" customHeight="1" s="74">
      <c r="A322" s="11" t="n">
        <v>322</v>
      </c>
      <c r="C322" s="11">
        <f t="array" ref="C322">IFERROR(INDEX(Milestones!$A:$A, MATCH($B322, Milestones!$B:$B, 0)), "")</f>
        <v/>
      </c>
      <c r="D322" s="11">
        <f t="array" ref="D322">IFERROR(INDEX(Milestones!$C:$C, MATCH($B322, Milestones!$B:$B, 0)), "")</f>
        <v/>
      </c>
      <c r="F322" s="11">
        <f t="array" ref="F322">IFERROR(INDEX(Milestones!$E:$E, MATCH($B322, Milestones!$B:$B, 0)), "")</f>
        <v/>
      </c>
      <c r="I322" s="11" t="n"/>
      <c r="J322" s="20" t="n"/>
      <c r="K322" s="11" t="n"/>
      <c r="L322" s="11">
        <f t="array" ref="L322">IF($K322="","", IFERROR(IFS($K322="Low", INDEX('Lookups - Complexity'!$C:$C, MATCH($B322, 'Lookups - Complexity'!$B:$B,0)), $K322="Medium", INDEX('Lookups - Complexity'!$D:$D, MATCH($B322, 'Lookups - Complexity'!$B:$B,0)), $K322="High", INDEX('Lookups - Complexity'!$E:$E, MATCH($B322, 'Lookups - Complexity'!$B:$B,0))), ""))</f>
        <v/>
      </c>
      <c r="M322" s="11">
        <f>IF($I322="FTE", Assumptions!$B$3, "")</f>
        <v/>
      </c>
      <c r="N322" s="11">
        <f t="array" ref="N322">IFERROR(INDEX(Milestones!$F:$F, MATCH($B322, Milestones!$B:$B, 0)), "")</f>
        <v/>
      </c>
      <c r="O322" s="11">
        <f t="array" ref="O322">IFERROR(INDEX(Milestones!$G:$G, MATCH($B322, Milestones!$B:$B, 0)), "")</f>
        <v/>
      </c>
      <c r="P322" s="11">
        <f t="array" ref="P322">IFERROR(INDEX('Lookups - Rates'!$D:$D, MATCH($G322&amp;"|"&amp;$H322, 'Lookups - Rates'!$Z:$Z, 0)), "")</f>
        <v/>
      </c>
      <c r="Q322" s="11">
        <f t="array" ref="Q322">IFERROR(INDEX('Lookups - Rates'!$E:$E, MATCH($G322&amp;"|"&amp;$H322, 'Lookups - Rates'!$Z:$Z, 0)), "")</f>
        <v/>
      </c>
      <c r="R322" s="11">
        <f>LET(ev,$J322, ch,$L322, hr,$P322, dr,$Q322, hpday,Assumptions!$B$2, hpw,Assumptions!$B$3, w,$M322, hrs, IF($I322="Hours", ev, IF($I322="Days", ev*IF(dr&gt;0, dr/hr, hpday), IF($I322="FTE", ev*hpw*w, ch))), IF(hrs="", "", hrs*hr))</f>
        <v/>
      </c>
      <c r="S322" s="13" t="n"/>
      <c r="T322" s="11">
        <f t="array" ref="T322">XLOOKUP(Scenario_Selected, INDEX(Scenario_Table,0,1), INDEX(Scenario_Table,0,2))</f>
        <v/>
      </c>
      <c r="U322" s="11">
        <f t="array" ref="U322">XLOOKUP(Scenario_Selected, INDEX(Scenario_Table,0,1), INDEX(Scenario_Table,0,3))</f>
        <v/>
      </c>
      <c r="V322" s="11">
        <f t="array" ref="V322">XLOOKUP(Scenario_Selected, INDEX(Scenario_Table,0,1), INDEX(Scenario_Table,0,4))</f>
        <v/>
      </c>
      <c r="W322" s="11">
        <f t="array" ref="W322">LET(ev,$J322, ch,$L322, et,$I322, dr,$Q322, hpday,Assumptions!$B$2, hpw,Assumptions!$B$3, w,$M322,hm,INDIRECT("R[0]C[0]",FALSE),hrs, IF(et="Hours", ev, IF(et="Days", ev*IF(dr&gt;0, dr/$P322, hpday), IF(et="FTE", ev*hpw*w, ch))), IF(hrs="", "", hrs*hm))</f>
        <v/>
      </c>
      <c r="X322" s="11">
        <f>IF($P322="","", $P322*INDIRECT("R[0]C[-3]",FALSE))</f>
        <v/>
      </c>
      <c r="Y322" s="11">
        <f>IF(INDIRECT("R[0]C[-1]",FALSE)="","", INDIRECT("R[0]C[-2]",FALSE)*INDIRECT("R[0]C[-1]",FALSE)*(1+INDIRECT("R[0]C[-3]",FALSE)))</f>
        <v/>
      </c>
      <c r="Z322" s="13" t="n"/>
    </row>
    <row r="323" ht="15.75" customHeight="1" s="74">
      <c r="A323" s="11" t="n">
        <v>323</v>
      </c>
      <c r="C323" s="11">
        <f t="array" ref="C323">IFERROR(INDEX(Milestones!$A:$A, MATCH($B323, Milestones!$B:$B, 0)), "")</f>
        <v/>
      </c>
      <c r="D323" s="11">
        <f t="array" ref="D323">IFERROR(INDEX(Milestones!$C:$C, MATCH($B323, Milestones!$B:$B, 0)), "")</f>
        <v/>
      </c>
      <c r="F323" s="11">
        <f t="array" ref="F323">IFERROR(INDEX(Milestones!$E:$E, MATCH($B323, Milestones!$B:$B, 0)), "")</f>
        <v/>
      </c>
      <c r="I323" s="11" t="n"/>
      <c r="J323" s="20" t="n"/>
      <c r="K323" s="11" t="n"/>
      <c r="L323" s="11">
        <f t="array" ref="L323">IF($K323="","", IFERROR(IFS($K323="Low", INDEX('Lookups - Complexity'!$C:$C, MATCH($B323, 'Lookups - Complexity'!$B:$B,0)), $K323="Medium", INDEX('Lookups - Complexity'!$D:$D, MATCH($B323, 'Lookups - Complexity'!$B:$B,0)), $K323="High", INDEX('Lookups - Complexity'!$E:$E, MATCH($B323, 'Lookups - Complexity'!$B:$B,0))), ""))</f>
        <v/>
      </c>
      <c r="M323" s="11">
        <f>IF($I323="FTE", Assumptions!$B$3, "")</f>
        <v/>
      </c>
      <c r="N323" s="11">
        <f t="array" ref="N323">IFERROR(INDEX(Milestones!$F:$F, MATCH($B323, Milestones!$B:$B, 0)), "")</f>
        <v/>
      </c>
      <c r="O323" s="11">
        <f t="array" ref="O323">IFERROR(INDEX(Milestones!$G:$G, MATCH($B323, Milestones!$B:$B, 0)), "")</f>
        <v/>
      </c>
      <c r="P323" s="11">
        <f t="array" ref="P323">IFERROR(INDEX('Lookups - Rates'!$D:$D, MATCH($G323&amp;"|"&amp;$H323, 'Lookups - Rates'!$Z:$Z, 0)), "")</f>
        <v/>
      </c>
      <c r="Q323" s="11">
        <f t="array" ref="Q323">IFERROR(INDEX('Lookups - Rates'!$E:$E, MATCH($G323&amp;"|"&amp;$H323, 'Lookups - Rates'!$Z:$Z, 0)), "")</f>
        <v/>
      </c>
      <c r="R323" s="11">
        <f>LET(ev,$J323, ch,$L323, hr,$P323, dr,$Q323, hpday,Assumptions!$B$2, hpw,Assumptions!$B$3, w,$M323, hrs, IF($I323="Hours", ev, IF($I323="Days", ev*IF(dr&gt;0, dr/hr, hpday), IF($I323="FTE", ev*hpw*w, ch))), IF(hrs="", "", hrs*hr))</f>
        <v/>
      </c>
      <c r="S323" s="13" t="n"/>
      <c r="T323" s="11">
        <f t="array" ref="T323">XLOOKUP(Scenario_Selected, INDEX(Scenario_Table,0,1), INDEX(Scenario_Table,0,2))</f>
        <v/>
      </c>
      <c r="U323" s="11">
        <f t="array" ref="U323">XLOOKUP(Scenario_Selected, INDEX(Scenario_Table,0,1), INDEX(Scenario_Table,0,3))</f>
        <v/>
      </c>
      <c r="V323" s="11">
        <f t="array" ref="V323">XLOOKUP(Scenario_Selected, INDEX(Scenario_Table,0,1), INDEX(Scenario_Table,0,4))</f>
        <v/>
      </c>
      <c r="W323" s="11">
        <f t="array" ref="W323">LET(ev,$J323, ch,$L323, et,$I323, dr,$Q323, hpday,Assumptions!$B$2, hpw,Assumptions!$B$3, w,$M323,hm,INDIRECT("R[0]C[0]",FALSE),hrs, IF(et="Hours", ev, IF(et="Days", ev*IF(dr&gt;0, dr/$P323, hpday), IF(et="FTE", ev*hpw*w, ch))), IF(hrs="", "", hrs*hm))</f>
        <v/>
      </c>
      <c r="X323" s="11">
        <f>IF($P323="","", $P323*INDIRECT("R[0]C[-3]",FALSE))</f>
        <v/>
      </c>
      <c r="Y323" s="11">
        <f>IF(INDIRECT("R[0]C[-1]",FALSE)="","", INDIRECT("R[0]C[-2]",FALSE)*INDIRECT("R[0]C[-1]",FALSE)*(1+INDIRECT("R[0]C[-3]",FALSE)))</f>
        <v/>
      </c>
      <c r="Z323" s="13" t="n"/>
    </row>
    <row r="324" ht="15.75" customHeight="1" s="74">
      <c r="A324" s="11" t="n">
        <v>324</v>
      </c>
      <c r="C324" s="11">
        <f t="array" ref="C324">IFERROR(INDEX(Milestones!$A:$A, MATCH($B324, Milestones!$B:$B, 0)), "")</f>
        <v/>
      </c>
      <c r="D324" s="11">
        <f t="array" ref="D324">IFERROR(INDEX(Milestones!$C:$C, MATCH($B324, Milestones!$B:$B, 0)), "")</f>
        <v/>
      </c>
      <c r="F324" s="11">
        <f t="array" ref="F324">IFERROR(INDEX(Milestones!$E:$E, MATCH($B324, Milestones!$B:$B, 0)), "")</f>
        <v/>
      </c>
      <c r="I324" s="11" t="n"/>
      <c r="J324" s="20" t="n"/>
      <c r="K324" s="11" t="n"/>
      <c r="L324" s="11">
        <f t="array" ref="L324">IF($K324="","", IFERROR(IFS($K324="Low", INDEX('Lookups - Complexity'!$C:$C, MATCH($B324, 'Lookups - Complexity'!$B:$B,0)), $K324="Medium", INDEX('Lookups - Complexity'!$D:$D, MATCH($B324, 'Lookups - Complexity'!$B:$B,0)), $K324="High", INDEX('Lookups - Complexity'!$E:$E, MATCH($B324, 'Lookups - Complexity'!$B:$B,0))), ""))</f>
        <v/>
      </c>
      <c r="M324" s="11">
        <f>IF($I324="FTE", Assumptions!$B$3, "")</f>
        <v/>
      </c>
      <c r="N324" s="11">
        <f t="array" ref="N324">IFERROR(INDEX(Milestones!$F:$F, MATCH($B324, Milestones!$B:$B, 0)), "")</f>
        <v/>
      </c>
      <c r="O324" s="11">
        <f t="array" ref="O324">IFERROR(INDEX(Milestones!$G:$G, MATCH($B324, Milestones!$B:$B, 0)), "")</f>
        <v/>
      </c>
      <c r="P324" s="11">
        <f t="array" ref="P324">IFERROR(INDEX('Lookups - Rates'!$D:$D, MATCH($G324&amp;"|"&amp;$H324, 'Lookups - Rates'!$Z:$Z, 0)), "")</f>
        <v/>
      </c>
      <c r="Q324" s="11">
        <f t="array" ref="Q324">IFERROR(INDEX('Lookups - Rates'!$E:$E, MATCH($G324&amp;"|"&amp;$H324, 'Lookups - Rates'!$Z:$Z, 0)), "")</f>
        <v/>
      </c>
      <c r="R324" s="11">
        <f>LET(ev,$J324, ch,$L324, hr,$P324, dr,$Q324, hpday,Assumptions!$B$2, hpw,Assumptions!$B$3, w,$M324, hrs, IF($I324="Hours", ev, IF($I324="Days", ev*IF(dr&gt;0, dr/hr, hpday), IF($I324="FTE", ev*hpw*w, ch))), IF(hrs="", "", hrs*hr))</f>
        <v/>
      </c>
      <c r="S324" s="13" t="n"/>
      <c r="T324" s="11">
        <f t="array" ref="T324">XLOOKUP(Scenario_Selected, INDEX(Scenario_Table,0,1), INDEX(Scenario_Table,0,2))</f>
        <v/>
      </c>
      <c r="U324" s="11">
        <f t="array" ref="U324">XLOOKUP(Scenario_Selected, INDEX(Scenario_Table,0,1), INDEX(Scenario_Table,0,3))</f>
        <v/>
      </c>
      <c r="V324" s="11">
        <f t="array" ref="V324">XLOOKUP(Scenario_Selected, INDEX(Scenario_Table,0,1), INDEX(Scenario_Table,0,4))</f>
        <v/>
      </c>
      <c r="W324" s="11">
        <f t="array" ref="W324">LET(ev,$J324, ch,$L324, et,$I324, dr,$Q324, hpday,Assumptions!$B$2, hpw,Assumptions!$B$3, w,$M324,hm,INDIRECT("R[0]C[0]",FALSE),hrs, IF(et="Hours", ev, IF(et="Days", ev*IF(dr&gt;0, dr/$P324, hpday), IF(et="FTE", ev*hpw*w, ch))), IF(hrs="", "", hrs*hm))</f>
        <v/>
      </c>
      <c r="X324" s="11">
        <f>IF($P324="","", $P324*INDIRECT("R[0]C[-3]",FALSE))</f>
        <v/>
      </c>
      <c r="Y324" s="11">
        <f>IF(INDIRECT("R[0]C[-1]",FALSE)="","", INDIRECT("R[0]C[-2]",FALSE)*INDIRECT("R[0]C[-1]",FALSE)*(1+INDIRECT("R[0]C[-3]",FALSE)))</f>
        <v/>
      </c>
      <c r="Z324" s="13" t="n"/>
    </row>
    <row r="325" ht="15.75" customHeight="1" s="74">
      <c r="A325" s="11" t="n">
        <v>325</v>
      </c>
      <c r="C325" s="11">
        <f t="array" ref="C325">IFERROR(INDEX(Milestones!$A:$A, MATCH($B325, Milestones!$B:$B, 0)), "")</f>
        <v/>
      </c>
      <c r="D325" s="11">
        <f t="array" ref="D325">IFERROR(INDEX(Milestones!$C:$C, MATCH($B325, Milestones!$B:$B, 0)), "")</f>
        <v/>
      </c>
      <c r="F325" s="11">
        <f t="array" ref="F325">IFERROR(INDEX(Milestones!$E:$E, MATCH($B325, Milestones!$B:$B, 0)), "")</f>
        <v/>
      </c>
      <c r="I325" s="11" t="n"/>
      <c r="J325" s="20" t="n"/>
      <c r="K325" s="11" t="n"/>
      <c r="L325" s="11">
        <f t="array" ref="L325">IF($K325="","", IFERROR(IFS($K325="Low", INDEX('Lookups - Complexity'!$C:$C, MATCH($B325, 'Lookups - Complexity'!$B:$B,0)), $K325="Medium", INDEX('Lookups - Complexity'!$D:$D, MATCH($B325, 'Lookups - Complexity'!$B:$B,0)), $K325="High", INDEX('Lookups - Complexity'!$E:$E, MATCH($B325, 'Lookups - Complexity'!$B:$B,0))), ""))</f>
        <v/>
      </c>
      <c r="M325" s="11">
        <f>IF($I325="FTE", Assumptions!$B$3, "")</f>
        <v/>
      </c>
      <c r="N325" s="11">
        <f t="array" ref="N325">IFERROR(INDEX(Milestones!$F:$F, MATCH($B325, Milestones!$B:$B, 0)), "")</f>
        <v/>
      </c>
      <c r="O325" s="11">
        <f t="array" ref="O325">IFERROR(INDEX(Milestones!$G:$G, MATCH($B325, Milestones!$B:$B, 0)), "")</f>
        <v/>
      </c>
      <c r="P325" s="11">
        <f t="array" ref="P325">IFERROR(INDEX('Lookups - Rates'!$D:$D, MATCH($G325&amp;"|"&amp;$H325, 'Lookups - Rates'!$Z:$Z, 0)), "")</f>
        <v/>
      </c>
      <c r="Q325" s="11">
        <f t="array" ref="Q325">IFERROR(INDEX('Lookups - Rates'!$E:$E, MATCH($G325&amp;"|"&amp;$H325, 'Lookups - Rates'!$Z:$Z, 0)), "")</f>
        <v/>
      </c>
      <c r="R325" s="11">
        <f>LET(ev,$J325, ch,$L325, hr,$P325, dr,$Q325, hpday,Assumptions!$B$2, hpw,Assumptions!$B$3, w,$M325, hrs, IF($I325="Hours", ev, IF($I325="Days", ev*IF(dr&gt;0, dr/hr, hpday), IF($I325="FTE", ev*hpw*w, ch))), IF(hrs="", "", hrs*hr))</f>
        <v/>
      </c>
      <c r="S325" s="13" t="n"/>
      <c r="T325" s="11">
        <f t="array" ref="T325">XLOOKUP(Scenario_Selected, INDEX(Scenario_Table,0,1), INDEX(Scenario_Table,0,2))</f>
        <v/>
      </c>
      <c r="U325" s="11">
        <f t="array" ref="U325">XLOOKUP(Scenario_Selected, INDEX(Scenario_Table,0,1), INDEX(Scenario_Table,0,3))</f>
        <v/>
      </c>
      <c r="V325" s="11">
        <f t="array" ref="V325">XLOOKUP(Scenario_Selected, INDEX(Scenario_Table,0,1), INDEX(Scenario_Table,0,4))</f>
        <v/>
      </c>
      <c r="W325" s="11">
        <f t="array" ref="W325">LET(ev,$J325, ch,$L325, et,$I325, dr,$Q325, hpday,Assumptions!$B$2, hpw,Assumptions!$B$3, w,$M325,hm,INDIRECT("R[0]C[0]",FALSE),hrs, IF(et="Hours", ev, IF(et="Days", ev*IF(dr&gt;0, dr/$P325, hpday), IF(et="FTE", ev*hpw*w, ch))), IF(hrs="", "", hrs*hm))</f>
        <v/>
      </c>
      <c r="X325" s="11">
        <f>IF($P325="","", $P325*INDIRECT("R[0]C[-3]",FALSE))</f>
        <v/>
      </c>
      <c r="Y325" s="11">
        <f>IF(INDIRECT("R[0]C[-1]",FALSE)="","", INDIRECT("R[0]C[-2]",FALSE)*INDIRECT("R[0]C[-1]",FALSE)*(1+INDIRECT("R[0]C[-3]",FALSE)))</f>
        <v/>
      </c>
      <c r="Z325" s="13" t="n"/>
    </row>
    <row r="326" ht="15.75" customHeight="1" s="74">
      <c r="A326" s="11" t="n">
        <v>326</v>
      </c>
      <c r="C326" s="11">
        <f t="array" ref="C326">IFERROR(INDEX(Milestones!$A:$A, MATCH($B326, Milestones!$B:$B, 0)), "")</f>
        <v/>
      </c>
      <c r="D326" s="11">
        <f t="array" ref="D326">IFERROR(INDEX(Milestones!$C:$C, MATCH($B326, Milestones!$B:$B, 0)), "")</f>
        <v/>
      </c>
      <c r="F326" s="11">
        <f t="array" ref="F326">IFERROR(INDEX(Milestones!$E:$E, MATCH($B326, Milestones!$B:$B, 0)), "")</f>
        <v/>
      </c>
      <c r="I326" s="11" t="n"/>
      <c r="J326" s="20" t="n"/>
      <c r="K326" s="11" t="n"/>
      <c r="L326" s="11">
        <f t="array" ref="L326">IF($K326="","", IFERROR(IFS($K326="Low", INDEX('Lookups - Complexity'!$C:$C, MATCH($B326, 'Lookups - Complexity'!$B:$B,0)), $K326="Medium", INDEX('Lookups - Complexity'!$D:$D, MATCH($B326, 'Lookups - Complexity'!$B:$B,0)), $K326="High", INDEX('Lookups - Complexity'!$E:$E, MATCH($B326, 'Lookups - Complexity'!$B:$B,0))), ""))</f>
        <v/>
      </c>
      <c r="M326" s="11">
        <f>IF($I326="FTE", Assumptions!$B$3, "")</f>
        <v/>
      </c>
      <c r="N326" s="11">
        <f t="array" ref="N326">IFERROR(INDEX(Milestones!$F:$F, MATCH($B326, Milestones!$B:$B, 0)), "")</f>
        <v/>
      </c>
      <c r="O326" s="11">
        <f t="array" ref="O326">IFERROR(INDEX(Milestones!$G:$G, MATCH($B326, Milestones!$B:$B, 0)), "")</f>
        <v/>
      </c>
      <c r="P326" s="11">
        <f t="array" ref="P326">IFERROR(INDEX('Lookups - Rates'!$D:$D, MATCH($G326&amp;"|"&amp;$H326, 'Lookups - Rates'!$Z:$Z, 0)), "")</f>
        <v/>
      </c>
      <c r="Q326" s="11">
        <f t="array" ref="Q326">IFERROR(INDEX('Lookups - Rates'!$E:$E, MATCH($G326&amp;"|"&amp;$H326, 'Lookups - Rates'!$Z:$Z, 0)), "")</f>
        <v/>
      </c>
      <c r="R326" s="11">
        <f>LET(ev,$J326, ch,$L326, hr,$P326, dr,$Q326, hpday,Assumptions!$B$2, hpw,Assumptions!$B$3, w,$M326, hrs, IF($I326="Hours", ev, IF($I326="Days", ev*IF(dr&gt;0, dr/hr, hpday), IF($I326="FTE", ev*hpw*w, ch))), IF(hrs="", "", hrs*hr))</f>
        <v/>
      </c>
      <c r="S326" s="13" t="n"/>
      <c r="T326" s="11">
        <f t="array" ref="T326">XLOOKUP(Scenario_Selected, INDEX(Scenario_Table,0,1), INDEX(Scenario_Table,0,2))</f>
        <v/>
      </c>
      <c r="U326" s="11">
        <f t="array" ref="U326">XLOOKUP(Scenario_Selected, INDEX(Scenario_Table,0,1), INDEX(Scenario_Table,0,3))</f>
        <v/>
      </c>
      <c r="V326" s="11">
        <f t="array" ref="V326">XLOOKUP(Scenario_Selected, INDEX(Scenario_Table,0,1), INDEX(Scenario_Table,0,4))</f>
        <v/>
      </c>
      <c r="W326" s="11">
        <f t="array" ref="W326">LET(ev,$J326, ch,$L326, et,$I326, dr,$Q326, hpday,Assumptions!$B$2, hpw,Assumptions!$B$3, w,$M326,hm,INDIRECT("R[0]C[0]",FALSE),hrs, IF(et="Hours", ev, IF(et="Days", ev*IF(dr&gt;0, dr/$P326, hpday), IF(et="FTE", ev*hpw*w, ch))), IF(hrs="", "", hrs*hm))</f>
        <v/>
      </c>
      <c r="X326" s="11">
        <f>IF($P326="","", $P326*INDIRECT("R[0]C[-3]",FALSE))</f>
        <v/>
      </c>
      <c r="Y326" s="11">
        <f>IF(INDIRECT("R[0]C[-1]",FALSE)="","", INDIRECT("R[0]C[-2]",FALSE)*INDIRECT("R[0]C[-1]",FALSE)*(1+INDIRECT("R[0]C[-3]",FALSE)))</f>
        <v/>
      </c>
      <c r="Z326" s="13" t="n"/>
    </row>
    <row r="327" ht="15.75" customHeight="1" s="74">
      <c r="A327" s="11" t="n">
        <v>327</v>
      </c>
      <c r="C327" s="11">
        <f t="array" ref="C327">IFERROR(INDEX(Milestones!$A:$A, MATCH($B327, Milestones!$B:$B, 0)), "")</f>
        <v/>
      </c>
      <c r="D327" s="11">
        <f t="array" ref="D327">IFERROR(INDEX(Milestones!$C:$C, MATCH($B327, Milestones!$B:$B, 0)), "")</f>
        <v/>
      </c>
      <c r="F327" s="11">
        <f t="array" ref="F327">IFERROR(INDEX(Milestones!$E:$E, MATCH($B327, Milestones!$B:$B, 0)), "")</f>
        <v/>
      </c>
      <c r="I327" s="11" t="n"/>
      <c r="J327" s="20" t="n"/>
      <c r="K327" s="11" t="n"/>
      <c r="L327" s="11">
        <f t="array" ref="L327">IF($K327="","", IFERROR(IFS($K327="Low", INDEX('Lookups - Complexity'!$C:$C, MATCH($B327, 'Lookups - Complexity'!$B:$B,0)), $K327="Medium", INDEX('Lookups - Complexity'!$D:$D, MATCH($B327, 'Lookups - Complexity'!$B:$B,0)), $K327="High", INDEX('Lookups - Complexity'!$E:$E, MATCH($B327, 'Lookups - Complexity'!$B:$B,0))), ""))</f>
        <v/>
      </c>
      <c r="M327" s="11">
        <f>IF($I327="FTE", Assumptions!$B$3, "")</f>
        <v/>
      </c>
      <c r="N327" s="11">
        <f t="array" ref="N327">IFERROR(INDEX(Milestones!$F:$F, MATCH($B327, Milestones!$B:$B, 0)), "")</f>
        <v/>
      </c>
      <c r="O327" s="11">
        <f t="array" ref="O327">IFERROR(INDEX(Milestones!$G:$G, MATCH($B327, Milestones!$B:$B, 0)), "")</f>
        <v/>
      </c>
      <c r="P327" s="11">
        <f t="array" ref="P327">IFERROR(INDEX('Lookups - Rates'!$D:$D, MATCH($G327&amp;"|"&amp;$H327, 'Lookups - Rates'!$Z:$Z, 0)), "")</f>
        <v/>
      </c>
      <c r="Q327" s="11">
        <f t="array" ref="Q327">IFERROR(INDEX('Lookups - Rates'!$E:$E, MATCH($G327&amp;"|"&amp;$H327, 'Lookups - Rates'!$Z:$Z, 0)), "")</f>
        <v/>
      </c>
      <c r="R327" s="11">
        <f>LET(ev,$J327, ch,$L327, hr,$P327, dr,$Q327, hpday,Assumptions!$B$2, hpw,Assumptions!$B$3, w,$M327, hrs, IF($I327="Hours", ev, IF($I327="Days", ev*IF(dr&gt;0, dr/hr, hpday), IF($I327="FTE", ev*hpw*w, ch))), IF(hrs="", "", hrs*hr))</f>
        <v/>
      </c>
      <c r="S327" s="13" t="n"/>
      <c r="T327" s="11">
        <f t="array" ref="T327">XLOOKUP(Scenario_Selected, INDEX(Scenario_Table,0,1), INDEX(Scenario_Table,0,2))</f>
        <v/>
      </c>
      <c r="U327" s="11">
        <f t="array" ref="U327">XLOOKUP(Scenario_Selected, INDEX(Scenario_Table,0,1), INDEX(Scenario_Table,0,3))</f>
        <v/>
      </c>
      <c r="V327" s="11">
        <f t="array" ref="V327">XLOOKUP(Scenario_Selected, INDEX(Scenario_Table,0,1), INDEX(Scenario_Table,0,4))</f>
        <v/>
      </c>
      <c r="W327" s="11">
        <f t="array" ref="W327">LET(ev,$J327, ch,$L327, et,$I327, dr,$Q327, hpday,Assumptions!$B$2, hpw,Assumptions!$B$3, w,$M327,hm,INDIRECT("R[0]C[0]",FALSE),hrs, IF(et="Hours", ev, IF(et="Days", ev*IF(dr&gt;0, dr/$P327, hpday), IF(et="FTE", ev*hpw*w, ch))), IF(hrs="", "", hrs*hm))</f>
        <v/>
      </c>
      <c r="X327" s="11">
        <f>IF($P327="","", $P327*INDIRECT("R[0]C[-3]",FALSE))</f>
        <v/>
      </c>
      <c r="Y327" s="11">
        <f>IF(INDIRECT("R[0]C[-1]",FALSE)="","", INDIRECT("R[0]C[-2]",FALSE)*INDIRECT("R[0]C[-1]",FALSE)*(1+INDIRECT("R[0]C[-3]",FALSE)))</f>
        <v/>
      </c>
      <c r="Z327" s="13" t="n"/>
    </row>
    <row r="328" ht="15.75" customHeight="1" s="74">
      <c r="A328" s="11" t="n">
        <v>328</v>
      </c>
      <c r="C328" s="11">
        <f t="array" ref="C328">IFERROR(INDEX(Milestones!$A:$A, MATCH($B328, Milestones!$B:$B, 0)), "")</f>
        <v/>
      </c>
      <c r="D328" s="11">
        <f t="array" ref="D328">IFERROR(INDEX(Milestones!$C:$C, MATCH($B328, Milestones!$B:$B, 0)), "")</f>
        <v/>
      </c>
      <c r="F328" s="11">
        <f t="array" ref="F328">IFERROR(INDEX(Milestones!$E:$E, MATCH($B328, Milestones!$B:$B, 0)), "")</f>
        <v/>
      </c>
      <c r="I328" s="11" t="n"/>
      <c r="J328" s="20" t="n"/>
      <c r="K328" s="11" t="n"/>
      <c r="L328" s="11">
        <f t="array" ref="L328">IF($K328="","", IFERROR(IFS($K328="Low", INDEX('Lookups - Complexity'!$C:$C, MATCH($B328, 'Lookups - Complexity'!$B:$B,0)), $K328="Medium", INDEX('Lookups - Complexity'!$D:$D, MATCH($B328, 'Lookups - Complexity'!$B:$B,0)), $K328="High", INDEX('Lookups - Complexity'!$E:$E, MATCH($B328, 'Lookups - Complexity'!$B:$B,0))), ""))</f>
        <v/>
      </c>
      <c r="M328" s="11">
        <f>IF($I328="FTE", Assumptions!$B$3, "")</f>
        <v/>
      </c>
      <c r="N328" s="11">
        <f t="array" ref="N328">IFERROR(INDEX(Milestones!$F:$F, MATCH($B328, Milestones!$B:$B, 0)), "")</f>
        <v/>
      </c>
      <c r="O328" s="11">
        <f t="array" ref="O328">IFERROR(INDEX(Milestones!$G:$G, MATCH($B328, Milestones!$B:$B, 0)), "")</f>
        <v/>
      </c>
      <c r="P328" s="11">
        <f t="array" ref="P328">IFERROR(INDEX('Lookups - Rates'!$D:$D, MATCH($G328&amp;"|"&amp;$H328, 'Lookups - Rates'!$Z:$Z, 0)), "")</f>
        <v/>
      </c>
      <c r="Q328" s="11">
        <f t="array" ref="Q328">IFERROR(INDEX('Lookups - Rates'!$E:$E, MATCH($G328&amp;"|"&amp;$H328, 'Lookups - Rates'!$Z:$Z, 0)), "")</f>
        <v/>
      </c>
      <c r="R328" s="11">
        <f>LET(ev,$J328, ch,$L328, hr,$P328, dr,$Q328, hpday,Assumptions!$B$2, hpw,Assumptions!$B$3, w,$M328, hrs, IF($I328="Hours", ev, IF($I328="Days", ev*IF(dr&gt;0, dr/hr, hpday), IF($I328="FTE", ev*hpw*w, ch))), IF(hrs="", "", hrs*hr))</f>
        <v/>
      </c>
      <c r="S328" s="13" t="n"/>
      <c r="T328" s="11">
        <f t="array" ref="T328">XLOOKUP(Scenario_Selected, INDEX(Scenario_Table,0,1), INDEX(Scenario_Table,0,2))</f>
        <v/>
      </c>
      <c r="U328" s="11">
        <f t="array" ref="U328">XLOOKUP(Scenario_Selected, INDEX(Scenario_Table,0,1), INDEX(Scenario_Table,0,3))</f>
        <v/>
      </c>
      <c r="V328" s="11">
        <f t="array" ref="V328">XLOOKUP(Scenario_Selected, INDEX(Scenario_Table,0,1), INDEX(Scenario_Table,0,4))</f>
        <v/>
      </c>
      <c r="W328" s="11">
        <f t="array" ref="W328">LET(ev,$J328, ch,$L328, et,$I328, dr,$Q328, hpday,Assumptions!$B$2, hpw,Assumptions!$B$3, w,$M328,hm,INDIRECT("R[0]C[0]",FALSE),hrs, IF(et="Hours", ev, IF(et="Days", ev*IF(dr&gt;0, dr/$P328, hpday), IF(et="FTE", ev*hpw*w, ch))), IF(hrs="", "", hrs*hm))</f>
        <v/>
      </c>
      <c r="X328" s="11">
        <f>IF($P328="","", $P328*INDIRECT("R[0]C[-3]",FALSE))</f>
        <v/>
      </c>
      <c r="Y328" s="11">
        <f>IF(INDIRECT("R[0]C[-1]",FALSE)="","", INDIRECT("R[0]C[-2]",FALSE)*INDIRECT("R[0]C[-1]",FALSE)*(1+INDIRECT("R[0]C[-3]",FALSE)))</f>
        <v/>
      </c>
      <c r="Z328" s="13" t="n"/>
    </row>
    <row r="329" ht="15.75" customHeight="1" s="74">
      <c r="A329" s="11" t="n">
        <v>329</v>
      </c>
      <c r="C329" s="11">
        <f t="array" ref="C329">IFERROR(INDEX(Milestones!$A:$A, MATCH($B329, Milestones!$B:$B, 0)), "")</f>
        <v/>
      </c>
      <c r="D329" s="11">
        <f t="array" ref="D329">IFERROR(INDEX(Milestones!$C:$C, MATCH($B329, Milestones!$B:$B, 0)), "")</f>
        <v/>
      </c>
      <c r="F329" s="11">
        <f t="array" ref="F329">IFERROR(INDEX(Milestones!$E:$E, MATCH($B329, Milestones!$B:$B, 0)), "")</f>
        <v/>
      </c>
      <c r="I329" s="11" t="n"/>
      <c r="J329" s="20" t="n"/>
      <c r="K329" s="11" t="n"/>
      <c r="L329" s="11">
        <f t="array" ref="L329">IF($K329="","", IFERROR(IFS($K329="Low", INDEX('Lookups - Complexity'!$C:$C, MATCH($B329, 'Lookups - Complexity'!$B:$B,0)), $K329="Medium", INDEX('Lookups - Complexity'!$D:$D, MATCH($B329, 'Lookups - Complexity'!$B:$B,0)), $K329="High", INDEX('Lookups - Complexity'!$E:$E, MATCH($B329, 'Lookups - Complexity'!$B:$B,0))), ""))</f>
        <v/>
      </c>
      <c r="M329" s="11">
        <f>IF($I329="FTE", Assumptions!$B$3, "")</f>
        <v/>
      </c>
      <c r="N329" s="11">
        <f t="array" ref="N329">IFERROR(INDEX(Milestones!$F:$F, MATCH($B329, Milestones!$B:$B, 0)), "")</f>
        <v/>
      </c>
      <c r="O329" s="11">
        <f t="array" ref="O329">IFERROR(INDEX(Milestones!$G:$G, MATCH($B329, Milestones!$B:$B, 0)), "")</f>
        <v/>
      </c>
      <c r="P329" s="11">
        <f t="array" ref="P329">IFERROR(INDEX('Lookups - Rates'!$D:$D, MATCH($G329&amp;"|"&amp;$H329, 'Lookups - Rates'!$Z:$Z, 0)), "")</f>
        <v/>
      </c>
      <c r="Q329" s="11">
        <f t="array" ref="Q329">IFERROR(INDEX('Lookups - Rates'!$E:$E, MATCH($G329&amp;"|"&amp;$H329, 'Lookups - Rates'!$Z:$Z, 0)), "")</f>
        <v/>
      </c>
      <c r="R329" s="11">
        <f>LET(ev,$J329, ch,$L329, hr,$P329, dr,$Q329, hpday,Assumptions!$B$2, hpw,Assumptions!$B$3, w,$M329, hrs, IF($I329="Hours", ev, IF($I329="Days", ev*IF(dr&gt;0, dr/hr, hpday), IF($I329="FTE", ev*hpw*w, ch))), IF(hrs="", "", hrs*hr))</f>
        <v/>
      </c>
      <c r="S329" s="13" t="n"/>
      <c r="T329" s="11">
        <f t="array" ref="T329">XLOOKUP(Scenario_Selected, INDEX(Scenario_Table,0,1), INDEX(Scenario_Table,0,2))</f>
        <v/>
      </c>
      <c r="U329" s="11">
        <f t="array" ref="U329">XLOOKUP(Scenario_Selected, INDEX(Scenario_Table,0,1), INDEX(Scenario_Table,0,3))</f>
        <v/>
      </c>
      <c r="V329" s="11">
        <f t="array" ref="V329">XLOOKUP(Scenario_Selected, INDEX(Scenario_Table,0,1), INDEX(Scenario_Table,0,4))</f>
        <v/>
      </c>
      <c r="W329" s="11">
        <f t="array" ref="W329">LET(ev,$J329, ch,$L329, et,$I329, dr,$Q329, hpday,Assumptions!$B$2, hpw,Assumptions!$B$3, w,$M329,hm,INDIRECT("R[0]C[0]",FALSE),hrs, IF(et="Hours", ev, IF(et="Days", ev*IF(dr&gt;0, dr/$P329, hpday), IF(et="FTE", ev*hpw*w, ch))), IF(hrs="", "", hrs*hm))</f>
        <v/>
      </c>
      <c r="X329" s="11">
        <f>IF($P329="","", $P329*INDIRECT("R[0]C[-3]",FALSE))</f>
        <v/>
      </c>
      <c r="Y329" s="11">
        <f>IF(INDIRECT("R[0]C[-1]",FALSE)="","", INDIRECT("R[0]C[-2]",FALSE)*INDIRECT("R[0]C[-1]",FALSE)*(1+INDIRECT("R[0]C[-3]",FALSE)))</f>
        <v/>
      </c>
      <c r="Z329" s="13" t="n"/>
    </row>
    <row r="330" ht="15.75" customHeight="1" s="74">
      <c r="A330" s="11" t="n">
        <v>330</v>
      </c>
      <c r="C330" s="11">
        <f t="array" ref="C330">IFERROR(INDEX(Milestones!$A:$A, MATCH($B330, Milestones!$B:$B, 0)), "")</f>
        <v/>
      </c>
      <c r="D330" s="11">
        <f t="array" ref="D330">IFERROR(INDEX(Milestones!$C:$C, MATCH($B330, Milestones!$B:$B, 0)), "")</f>
        <v/>
      </c>
      <c r="F330" s="11">
        <f t="array" ref="F330">IFERROR(INDEX(Milestones!$E:$E, MATCH($B330, Milestones!$B:$B, 0)), "")</f>
        <v/>
      </c>
      <c r="I330" s="11" t="n"/>
      <c r="J330" s="20" t="n"/>
      <c r="K330" s="11" t="n"/>
      <c r="L330" s="11">
        <f t="array" ref="L330">IF($K330="","", IFERROR(IFS($K330="Low", INDEX('Lookups - Complexity'!$C:$C, MATCH($B330, 'Lookups - Complexity'!$B:$B,0)), $K330="Medium", INDEX('Lookups - Complexity'!$D:$D, MATCH($B330, 'Lookups - Complexity'!$B:$B,0)), $K330="High", INDEX('Lookups - Complexity'!$E:$E, MATCH($B330, 'Lookups - Complexity'!$B:$B,0))), ""))</f>
        <v/>
      </c>
      <c r="M330" s="11">
        <f>IF($I330="FTE", Assumptions!$B$3, "")</f>
        <v/>
      </c>
      <c r="N330" s="11">
        <f t="array" ref="N330">IFERROR(INDEX(Milestones!$F:$F, MATCH($B330, Milestones!$B:$B, 0)), "")</f>
        <v/>
      </c>
      <c r="O330" s="11">
        <f t="array" ref="O330">IFERROR(INDEX(Milestones!$G:$G, MATCH($B330, Milestones!$B:$B, 0)), "")</f>
        <v/>
      </c>
      <c r="P330" s="11">
        <f t="array" ref="P330">IFERROR(INDEX('Lookups - Rates'!$D:$D, MATCH($G330&amp;"|"&amp;$H330, 'Lookups - Rates'!$Z:$Z, 0)), "")</f>
        <v/>
      </c>
      <c r="Q330" s="11">
        <f t="array" ref="Q330">IFERROR(INDEX('Lookups - Rates'!$E:$E, MATCH($G330&amp;"|"&amp;$H330, 'Lookups - Rates'!$Z:$Z, 0)), "")</f>
        <v/>
      </c>
      <c r="R330" s="11">
        <f>LET(ev,$J330, ch,$L330, hr,$P330, dr,$Q330, hpday,Assumptions!$B$2, hpw,Assumptions!$B$3, w,$M330, hrs, IF($I330="Hours", ev, IF($I330="Days", ev*IF(dr&gt;0, dr/hr, hpday), IF($I330="FTE", ev*hpw*w, ch))), IF(hrs="", "", hrs*hr))</f>
        <v/>
      </c>
      <c r="S330" s="13" t="n"/>
      <c r="T330" s="11">
        <f t="array" ref="T330">XLOOKUP(Scenario_Selected, INDEX(Scenario_Table,0,1), INDEX(Scenario_Table,0,2))</f>
        <v/>
      </c>
      <c r="U330" s="11">
        <f t="array" ref="U330">XLOOKUP(Scenario_Selected, INDEX(Scenario_Table,0,1), INDEX(Scenario_Table,0,3))</f>
        <v/>
      </c>
      <c r="V330" s="11">
        <f t="array" ref="V330">XLOOKUP(Scenario_Selected, INDEX(Scenario_Table,0,1), INDEX(Scenario_Table,0,4))</f>
        <v/>
      </c>
      <c r="W330" s="11">
        <f t="array" ref="W330">LET(ev,$J330, ch,$L330, et,$I330, dr,$Q330, hpday,Assumptions!$B$2, hpw,Assumptions!$B$3, w,$M330,hm,INDIRECT("R[0]C[0]",FALSE),hrs, IF(et="Hours", ev, IF(et="Days", ev*IF(dr&gt;0, dr/$P330, hpday), IF(et="FTE", ev*hpw*w, ch))), IF(hrs="", "", hrs*hm))</f>
        <v/>
      </c>
      <c r="X330" s="11">
        <f>IF($P330="","", $P330*INDIRECT("R[0]C[-3]",FALSE))</f>
        <v/>
      </c>
      <c r="Y330" s="11">
        <f>IF(INDIRECT("R[0]C[-1]",FALSE)="","", INDIRECT("R[0]C[-2]",FALSE)*INDIRECT("R[0]C[-1]",FALSE)*(1+INDIRECT("R[0]C[-3]",FALSE)))</f>
        <v/>
      </c>
      <c r="Z330" s="13" t="n"/>
    </row>
    <row r="331" ht="15.75" customHeight="1" s="74">
      <c r="A331" s="11" t="n">
        <v>331</v>
      </c>
      <c r="C331" s="11">
        <f t="array" ref="C331">IFERROR(INDEX(Milestones!$A:$A, MATCH($B331, Milestones!$B:$B, 0)), "")</f>
        <v/>
      </c>
      <c r="D331" s="11">
        <f t="array" ref="D331">IFERROR(INDEX(Milestones!$C:$C, MATCH($B331, Milestones!$B:$B, 0)), "")</f>
        <v/>
      </c>
      <c r="F331" s="11">
        <f t="array" ref="F331">IFERROR(INDEX(Milestones!$E:$E, MATCH($B331, Milestones!$B:$B, 0)), "")</f>
        <v/>
      </c>
      <c r="I331" s="11" t="n"/>
      <c r="J331" s="20" t="n"/>
      <c r="K331" s="11" t="n"/>
      <c r="L331" s="11">
        <f t="array" ref="L331">IF($K331="","", IFERROR(IFS($K331="Low", INDEX('Lookups - Complexity'!$C:$C, MATCH($B331, 'Lookups - Complexity'!$B:$B,0)), $K331="Medium", INDEX('Lookups - Complexity'!$D:$D, MATCH($B331, 'Lookups - Complexity'!$B:$B,0)), $K331="High", INDEX('Lookups - Complexity'!$E:$E, MATCH($B331, 'Lookups - Complexity'!$B:$B,0))), ""))</f>
        <v/>
      </c>
      <c r="M331" s="11">
        <f>IF($I331="FTE", Assumptions!$B$3, "")</f>
        <v/>
      </c>
      <c r="N331" s="11">
        <f t="array" ref="N331">IFERROR(INDEX(Milestones!$F:$F, MATCH($B331, Milestones!$B:$B, 0)), "")</f>
        <v/>
      </c>
      <c r="O331" s="11">
        <f t="array" ref="O331">IFERROR(INDEX(Milestones!$G:$G, MATCH($B331, Milestones!$B:$B, 0)), "")</f>
        <v/>
      </c>
      <c r="P331" s="11">
        <f t="array" ref="P331">IFERROR(INDEX('Lookups - Rates'!$D:$D, MATCH($G331&amp;"|"&amp;$H331, 'Lookups - Rates'!$Z:$Z, 0)), "")</f>
        <v/>
      </c>
      <c r="Q331" s="11">
        <f t="array" ref="Q331">IFERROR(INDEX('Lookups - Rates'!$E:$E, MATCH($G331&amp;"|"&amp;$H331, 'Lookups - Rates'!$Z:$Z, 0)), "")</f>
        <v/>
      </c>
      <c r="R331" s="11">
        <f>LET(ev,$J331, ch,$L331, hr,$P331, dr,$Q331, hpday,Assumptions!$B$2, hpw,Assumptions!$B$3, w,$M331, hrs, IF($I331="Hours", ev, IF($I331="Days", ev*IF(dr&gt;0, dr/hr, hpday), IF($I331="FTE", ev*hpw*w, ch))), IF(hrs="", "", hrs*hr))</f>
        <v/>
      </c>
      <c r="S331" s="13" t="n"/>
      <c r="T331" s="11">
        <f t="array" ref="T331">XLOOKUP(Scenario_Selected, INDEX(Scenario_Table,0,1), INDEX(Scenario_Table,0,2))</f>
        <v/>
      </c>
      <c r="U331" s="11">
        <f t="array" ref="U331">XLOOKUP(Scenario_Selected, INDEX(Scenario_Table,0,1), INDEX(Scenario_Table,0,3))</f>
        <v/>
      </c>
      <c r="V331" s="11">
        <f t="array" ref="V331">XLOOKUP(Scenario_Selected, INDEX(Scenario_Table,0,1), INDEX(Scenario_Table,0,4))</f>
        <v/>
      </c>
      <c r="W331" s="11">
        <f t="array" ref="W331">LET(ev,$J331, ch,$L331, et,$I331, dr,$Q331, hpday,Assumptions!$B$2, hpw,Assumptions!$B$3, w,$M331,hm,INDIRECT("R[0]C[0]",FALSE),hrs, IF(et="Hours", ev, IF(et="Days", ev*IF(dr&gt;0, dr/$P331, hpday), IF(et="FTE", ev*hpw*w, ch))), IF(hrs="", "", hrs*hm))</f>
        <v/>
      </c>
      <c r="X331" s="11">
        <f>IF($P331="","", $P331*INDIRECT("R[0]C[-3]",FALSE))</f>
        <v/>
      </c>
      <c r="Y331" s="11">
        <f>IF(INDIRECT("R[0]C[-1]",FALSE)="","", INDIRECT("R[0]C[-2]",FALSE)*INDIRECT("R[0]C[-1]",FALSE)*(1+INDIRECT("R[0]C[-3]",FALSE)))</f>
        <v/>
      </c>
      <c r="Z331" s="13" t="n"/>
    </row>
    <row r="332" ht="15.75" customHeight="1" s="74">
      <c r="A332" s="11" t="n">
        <v>332</v>
      </c>
      <c r="C332" s="11">
        <f t="array" ref="C332">IFERROR(INDEX(Milestones!$A:$A, MATCH($B332, Milestones!$B:$B, 0)), "")</f>
        <v/>
      </c>
      <c r="D332" s="11">
        <f t="array" ref="D332">IFERROR(INDEX(Milestones!$C:$C, MATCH($B332, Milestones!$B:$B, 0)), "")</f>
        <v/>
      </c>
      <c r="F332" s="11">
        <f t="array" ref="F332">IFERROR(INDEX(Milestones!$E:$E, MATCH($B332, Milestones!$B:$B, 0)), "")</f>
        <v/>
      </c>
      <c r="I332" s="11" t="n"/>
      <c r="J332" s="20" t="n"/>
      <c r="K332" s="11" t="n"/>
      <c r="L332" s="11">
        <f t="array" ref="L332">IF($K332="","", IFERROR(IFS($K332="Low", INDEX('Lookups - Complexity'!$C:$C, MATCH($B332, 'Lookups - Complexity'!$B:$B,0)), $K332="Medium", INDEX('Lookups - Complexity'!$D:$D, MATCH($B332, 'Lookups - Complexity'!$B:$B,0)), $K332="High", INDEX('Lookups - Complexity'!$E:$E, MATCH($B332, 'Lookups - Complexity'!$B:$B,0))), ""))</f>
        <v/>
      </c>
      <c r="M332" s="11">
        <f>IF($I332="FTE", Assumptions!$B$3, "")</f>
        <v/>
      </c>
      <c r="N332" s="11">
        <f t="array" ref="N332">IFERROR(INDEX(Milestones!$F:$F, MATCH($B332, Milestones!$B:$B, 0)), "")</f>
        <v/>
      </c>
      <c r="O332" s="11">
        <f t="array" ref="O332">IFERROR(INDEX(Milestones!$G:$G, MATCH($B332, Milestones!$B:$B, 0)), "")</f>
        <v/>
      </c>
      <c r="P332" s="11">
        <f t="array" ref="P332">IFERROR(INDEX('Lookups - Rates'!$D:$D, MATCH($G332&amp;"|"&amp;$H332, 'Lookups - Rates'!$Z:$Z, 0)), "")</f>
        <v/>
      </c>
      <c r="Q332" s="11">
        <f t="array" ref="Q332">IFERROR(INDEX('Lookups - Rates'!$E:$E, MATCH($G332&amp;"|"&amp;$H332, 'Lookups - Rates'!$Z:$Z, 0)), "")</f>
        <v/>
      </c>
      <c r="R332" s="11">
        <f>LET(ev,$J332, ch,$L332, hr,$P332, dr,$Q332, hpday,Assumptions!$B$2, hpw,Assumptions!$B$3, w,$M332, hrs, IF($I332="Hours", ev, IF($I332="Days", ev*IF(dr&gt;0, dr/hr, hpday), IF($I332="FTE", ev*hpw*w, ch))), IF(hrs="", "", hrs*hr))</f>
        <v/>
      </c>
      <c r="S332" s="13" t="n"/>
      <c r="T332" s="11">
        <f t="array" ref="T332">XLOOKUP(Scenario_Selected, INDEX(Scenario_Table,0,1), INDEX(Scenario_Table,0,2))</f>
        <v/>
      </c>
      <c r="U332" s="11">
        <f t="array" ref="U332">XLOOKUP(Scenario_Selected, INDEX(Scenario_Table,0,1), INDEX(Scenario_Table,0,3))</f>
        <v/>
      </c>
      <c r="V332" s="11">
        <f t="array" ref="V332">XLOOKUP(Scenario_Selected, INDEX(Scenario_Table,0,1), INDEX(Scenario_Table,0,4))</f>
        <v/>
      </c>
      <c r="W332" s="11">
        <f t="array" ref="W332">LET(ev,$J332, ch,$L332, et,$I332, dr,$Q332, hpday,Assumptions!$B$2, hpw,Assumptions!$B$3, w,$M332,hm,INDIRECT("R[0]C[0]",FALSE),hrs, IF(et="Hours", ev, IF(et="Days", ev*IF(dr&gt;0, dr/$P332, hpday), IF(et="FTE", ev*hpw*w, ch))), IF(hrs="", "", hrs*hm))</f>
        <v/>
      </c>
      <c r="X332" s="11">
        <f>IF($P332="","", $P332*INDIRECT("R[0]C[-3]",FALSE))</f>
        <v/>
      </c>
      <c r="Y332" s="11">
        <f>IF(INDIRECT("R[0]C[-1]",FALSE)="","", INDIRECT("R[0]C[-2]",FALSE)*INDIRECT("R[0]C[-1]",FALSE)*(1+INDIRECT("R[0]C[-3]",FALSE)))</f>
        <v/>
      </c>
      <c r="Z332" s="13" t="n"/>
    </row>
    <row r="333" ht="15.75" customHeight="1" s="74">
      <c r="A333" s="11" t="n">
        <v>333</v>
      </c>
      <c r="C333" s="11">
        <f t="array" ref="C333">IFERROR(INDEX(Milestones!$A:$A, MATCH($B333, Milestones!$B:$B, 0)), "")</f>
        <v/>
      </c>
      <c r="D333" s="11">
        <f t="array" ref="D333">IFERROR(INDEX(Milestones!$C:$C, MATCH($B333, Milestones!$B:$B, 0)), "")</f>
        <v/>
      </c>
      <c r="F333" s="11">
        <f t="array" ref="F333">IFERROR(INDEX(Milestones!$E:$E, MATCH($B333, Milestones!$B:$B, 0)), "")</f>
        <v/>
      </c>
      <c r="I333" s="11" t="n"/>
      <c r="J333" s="20" t="n"/>
      <c r="K333" s="11" t="n"/>
      <c r="L333" s="11">
        <f t="array" ref="L333">IF($K333="","", IFERROR(IFS($K333="Low", INDEX('Lookups - Complexity'!$C:$C, MATCH($B333, 'Lookups - Complexity'!$B:$B,0)), $K333="Medium", INDEX('Lookups - Complexity'!$D:$D, MATCH($B333, 'Lookups - Complexity'!$B:$B,0)), $K333="High", INDEX('Lookups - Complexity'!$E:$E, MATCH($B333, 'Lookups - Complexity'!$B:$B,0))), ""))</f>
        <v/>
      </c>
      <c r="M333" s="11">
        <f>IF($I333="FTE", Assumptions!$B$3, "")</f>
        <v/>
      </c>
      <c r="N333" s="11">
        <f t="array" ref="N333">IFERROR(INDEX(Milestones!$F:$F, MATCH($B333, Milestones!$B:$B, 0)), "")</f>
        <v/>
      </c>
      <c r="O333" s="11">
        <f t="array" ref="O333">IFERROR(INDEX(Milestones!$G:$G, MATCH($B333, Milestones!$B:$B, 0)), "")</f>
        <v/>
      </c>
      <c r="P333" s="11">
        <f t="array" ref="P333">IFERROR(INDEX('Lookups - Rates'!$D:$D, MATCH($G333&amp;"|"&amp;$H333, 'Lookups - Rates'!$Z:$Z, 0)), "")</f>
        <v/>
      </c>
      <c r="Q333" s="11">
        <f t="array" ref="Q333">IFERROR(INDEX('Lookups - Rates'!$E:$E, MATCH($G333&amp;"|"&amp;$H333, 'Lookups - Rates'!$Z:$Z, 0)), "")</f>
        <v/>
      </c>
      <c r="R333" s="11">
        <f>LET(ev,$J333, ch,$L333, hr,$P333, dr,$Q333, hpday,Assumptions!$B$2, hpw,Assumptions!$B$3, w,$M333, hrs, IF($I333="Hours", ev, IF($I333="Days", ev*IF(dr&gt;0, dr/hr, hpday), IF($I333="FTE", ev*hpw*w, ch))), IF(hrs="", "", hrs*hr))</f>
        <v/>
      </c>
      <c r="S333" s="13" t="n"/>
      <c r="T333" s="11">
        <f t="array" ref="T333">XLOOKUP(Scenario_Selected, INDEX(Scenario_Table,0,1), INDEX(Scenario_Table,0,2))</f>
        <v/>
      </c>
      <c r="U333" s="11">
        <f t="array" ref="U333">XLOOKUP(Scenario_Selected, INDEX(Scenario_Table,0,1), INDEX(Scenario_Table,0,3))</f>
        <v/>
      </c>
      <c r="V333" s="11">
        <f t="array" ref="V333">XLOOKUP(Scenario_Selected, INDEX(Scenario_Table,0,1), INDEX(Scenario_Table,0,4))</f>
        <v/>
      </c>
      <c r="W333" s="11">
        <f t="array" ref="W333">LET(ev,$J333, ch,$L333, et,$I333, dr,$Q333, hpday,Assumptions!$B$2, hpw,Assumptions!$B$3, w,$M333,hm,INDIRECT("R[0]C[0]",FALSE),hrs, IF(et="Hours", ev, IF(et="Days", ev*IF(dr&gt;0, dr/$P333, hpday), IF(et="FTE", ev*hpw*w, ch))), IF(hrs="", "", hrs*hm))</f>
        <v/>
      </c>
      <c r="X333" s="11">
        <f>IF($P333="","", $P333*INDIRECT("R[0]C[-3]",FALSE))</f>
        <v/>
      </c>
      <c r="Y333" s="11">
        <f>IF(INDIRECT("R[0]C[-1]",FALSE)="","", INDIRECT("R[0]C[-2]",FALSE)*INDIRECT("R[0]C[-1]",FALSE)*(1+INDIRECT("R[0]C[-3]",FALSE)))</f>
        <v/>
      </c>
      <c r="Z333" s="13" t="n"/>
    </row>
    <row r="334" ht="15.75" customHeight="1" s="74">
      <c r="A334" s="11" t="n">
        <v>334</v>
      </c>
      <c r="C334" s="11">
        <f t="array" ref="C334">IFERROR(INDEX(Milestones!$A:$A, MATCH($B334, Milestones!$B:$B, 0)), "")</f>
        <v/>
      </c>
      <c r="D334" s="11">
        <f t="array" ref="D334">IFERROR(INDEX(Milestones!$C:$C, MATCH($B334, Milestones!$B:$B, 0)), "")</f>
        <v/>
      </c>
      <c r="F334" s="11">
        <f t="array" ref="F334">IFERROR(INDEX(Milestones!$E:$E, MATCH($B334, Milestones!$B:$B, 0)), "")</f>
        <v/>
      </c>
      <c r="I334" s="11" t="n"/>
      <c r="J334" s="20" t="n"/>
      <c r="K334" s="11" t="n"/>
      <c r="L334" s="11">
        <f t="array" ref="L334">IF($K334="","", IFERROR(IFS($K334="Low", INDEX('Lookups - Complexity'!$C:$C, MATCH($B334, 'Lookups - Complexity'!$B:$B,0)), $K334="Medium", INDEX('Lookups - Complexity'!$D:$D, MATCH($B334, 'Lookups - Complexity'!$B:$B,0)), $K334="High", INDEX('Lookups - Complexity'!$E:$E, MATCH($B334, 'Lookups - Complexity'!$B:$B,0))), ""))</f>
        <v/>
      </c>
      <c r="M334" s="11">
        <f>IF($I334="FTE", Assumptions!$B$3, "")</f>
        <v/>
      </c>
      <c r="N334" s="11">
        <f t="array" ref="N334">IFERROR(INDEX(Milestones!$F:$F, MATCH($B334, Milestones!$B:$B, 0)), "")</f>
        <v/>
      </c>
      <c r="O334" s="11">
        <f t="array" ref="O334">IFERROR(INDEX(Milestones!$G:$G, MATCH($B334, Milestones!$B:$B, 0)), "")</f>
        <v/>
      </c>
      <c r="P334" s="11">
        <f t="array" ref="P334">IFERROR(INDEX('Lookups - Rates'!$D:$D, MATCH($G334&amp;"|"&amp;$H334, 'Lookups - Rates'!$Z:$Z, 0)), "")</f>
        <v/>
      </c>
      <c r="Q334" s="11">
        <f t="array" ref="Q334">IFERROR(INDEX('Lookups - Rates'!$E:$E, MATCH($G334&amp;"|"&amp;$H334, 'Lookups - Rates'!$Z:$Z, 0)), "")</f>
        <v/>
      </c>
      <c r="R334" s="11">
        <f>LET(ev,$J334, ch,$L334, hr,$P334, dr,$Q334, hpday,Assumptions!$B$2, hpw,Assumptions!$B$3, w,$M334, hrs, IF($I334="Hours", ev, IF($I334="Days", ev*IF(dr&gt;0, dr/hr, hpday), IF($I334="FTE", ev*hpw*w, ch))), IF(hrs="", "", hrs*hr))</f>
        <v/>
      </c>
      <c r="S334" s="13" t="n"/>
      <c r="T334" s="11">
        <f t="array" ref="T334">XLOOKUP(Scenario_Selected, INDEX(Scenario_Table,0,1), INDEX(Scenario_Table,0,2))</f>
        <v/>
      </c>
      <c r="U334" s="11">
        <f t="array" ref="U334">XLOOKUP(Scenario_Selected, INDEX(Scenario_Table,0,1), INDEX(Scenario_Table,0,3))</f>
        <v/>
      </c>
      <c r="V334" s="11">
        <f t="array" ref="V334">XLOOKUP(Scenario_Selected, INDEX(Scenario_Table,0,1), INDEX(Scenario_Table,0,4))</f>
        <v/>
      </c>
      <c r="W334" s="11">
        <f t="array" ref="W334">LET(ev,$J334, ch,$L334, et,$I334, dr,$Q334, hpday,Assumptions!$B$2, hpw,Assumptions!$B$3, w,$M334,hm,INDIRECT("R[0]C[0]",FALSE),hrs, IF(et="Hours", ev, IF(et="Days", ev*IF(dr&gt;0, dr/$P334, hpday), IF(et="FTE", ev*hpw*w, ch))), IF(hrs="", "", hrs*hm))</f>
        <v/>
      </c>
      <c r="X334" s="11">
        <f>IF($P334="","", $P334*INDIRECT("R[0]C[-3]",FALSE))</f>
        <v/>
      </c>
      <c r="Y334" s="11">
        <f>IF(INDIRECT("R[0]C[-1]",FALSE)="","", INDIRECT("R[0]C[-2]",FALSE)*INDIRECT("R[0]C[-1]",FALSE)*(1+INDIRECT("R[0]C[-3]",FALSE)))</f>
        <v/>
      </c>
      <c r="Z334" s="13" t="n"/>
    </row>
    <row r="335" ht="15.75" customHeight="1" s="74">
      <c r="A335" s="11" t="n">
        <v>335</v>
      </c>
      <c r="C335" s="11">
        <f t="array" ref="C335">IFERROR(INDEX(Milestones!$A:$A, MATCH($B335, Milestones!$B:$B, 0)), "")</f>
        <v/>
      </c>
      <c r="D335" s="11">
        <f t="array" ref="D335">IFERROR(INDEX(Milestones!$C:$C, MATCH($B335, Milestones!$B:$B, 0)), "")</f>
        <v/>
      </c>
      <c r="F335" s="11">
        <f t="array" ref="F335">IFERROR(INDEX(Milestones!$E:$E, MATCH($B335, Milestones!$B:$B, 0)), "")</f>
        <v/>
      </c>
      <c r="I335" s="11" t="n"/>
      <c r="J335" s="20" t="n"/>
      <c r="K335" s="11" t="n"/>
      <c r="L335" s="11">
        <f t="array" ref="L335">IF($K335="","", IFERROR(IFS($K335="Low", INDEX('Lookups - Complexity'!$C:$C, MATCH($B335, 'Lookups - Complexity'!$B:$B,0)), $K335="Medium", INDEX('Lookups - Complexity'!$D:$D, MATCH($B335, 'Lookups - Complexity'!$B:$B,0)), $K335="High", INDEX('Lookups - Complexity'!$E:$E, MATCH($B335, 'Lookups - Complexity'!$B:$B,0))), ""))</f>
        <v/>
      </c>
      <c r="M335" s="11">
        <f>IF($I335="FTE", Assumptions!$B$3, "")</f>
        <v/>
      </c>
      <c r="N335" s="11">
        <f t="array" ref="N335">IFERROR(INDEX(Milestones!$F:$F, MATCH($B335, Milestones!$B:$B, 0)), "")</f>
        <v/>
      </c>
      <c r="O335" s="11">
        <f t="array" ref="O335">IFERROR(INDEX(Milestones!$G:$G, MATCH($B335, Milestones!$B:$B, 0)), "")</f>
        <v/>
      </c>
      <c r="P335" s="11">
        <f t="array" ref="P335">IFERROR(INDEX('Lookups - Rates'!$D:$D, MATCH($G335&amp;"|"&amp;$H335, 'Lookups - Rates'!$Z:$Z, 0)), "")</f>
        <v/>
      </c>
      <c r="Q335" s="11">
        <f t="array" ref="Q335">IFERROR(INDEX('Lookups - Rates'!$E:$E, MATCH($G335&amp;"|"&amp;$H335, 'Lookups - Rates'!$Z:$Z, 0)), "")</f>
        <v/>
      </c>
      <c r="R335" s="11">
        <f>LET(ev,$J335, ch,$L335, hr,$P335, dr,$Q335, hpday,Assumptions!$B$2, hpw,Assumptions!$B$3, w,$M335, hrs, IF($I335="Hours", ev, IF($I335="Days", ev*IF(dr&gt;0, dr/hr, hpday), IF($I335="FTE", ev*hpw*w, ch))), IF(hrs="", "", hrs*hr))</f>
        <v/>
      </c>
      <c r="S335" s="13" t="n"/>
      <c r="T335" s="11">
        <f t="array" ref="T335">XLOOKUP(Scenario_Selected, INDEX(Scenario_Table,0,1), INDEX(Scenario_Table,0,2))</f>
        <v/>
      </c>
      <c r="U335" s="11">
        <f t="array" ref="U335">XLOOKUP(Scenario_Selected, INDEX(Scenario_Table,0,1), INDEX(Scenario_Table,0,3))</f>
        <v/>
      </c>
      <c r="V335" s="11">
        <f t="array" ref="V335">XLOOKUP(Scenario_Selected, INDEX(Scenario_Table,0,1), INDEX(Scenario_Table,0,4))</f>
        <v/>
      </c>
      <c r="W335" s="11">
        <f t="array" ref="W335">LET(ev,$J335, ch,$L335, et,$I335, dr,$Q335, hpday,Assumptions!$B$2, hpw,Assumptions!$B$3, w,$M335,hm,INDIRECT("R[0]C[0]",FALSE),hrs, IF(et="Hours", ev, IF(et="Days", ev*IF(dr&gt;0, dr/$P335, hpday), IF(et="FTE", ev*hpw*w, ch))), IF(hrs="", "", hrs*hm))</f>
        <v/>
      </c>
      <c r="X335" s="11">
        <f>IF($P335="","", $P335*INDIRECT("R[0]C[-3]",FALSE))</f>
        <v/>
      </c>
      <c r="Y335" s="11">
        <f>IF(INDIRECT("R[0]C[-1]",FALSE)="","", INDIRECT("R[0]C[-2]",FALSE)*INDIRECT("R[0]C[-1]",FALSE)*(1+INDIRECT("R[0]C[-3]",FALSE)))</f>
        <v/>
      </c>
      <c r="Z335" s="13" t="n"/>
    </row>
    <row r="336" ht="15.75" customHeight="1" s="74">
      <c r="A336" s="11" t="n">
        <v>336</v>
      </c>
      <c r="C336" s="11">
        <f t="array" ref="C336">IFERROR(INDEX(Milestones!$A:$A, MATCH($B336, Milestones!$B:$B, 0)), "")</f>
        <v/>
      </c>
      <c r="D336" s="11">
        <f t="array" ref="D336">IFERROR(INDEX(Milestones!$C:$C, MATCH($B336, Milestones!$B:$B, 0)), "")</f>
        <v/>
      </c>
      <c r="F336" s="11">
        <f t="array" ref="F336">IFERROR(INDEX(Milestones!$E:$E, MATCH($B336, Milestones!$B:$B, 0)), "")</f>
        <v/>
      </c>
      <c r="I336" s="11" t="n"/>
      <c r="J336" s="20" t="n"/>
      <c r="K336" s="11" t="n"/>
      <c r="L336" s="11">
        <f t="array" ref="L336">IF($K336="","", IFERROR(IFS($K336="Low", INDEX('Lookups - Complexity'!$C:$C, MATCH($B336, 'Lookups - Complexity'!$B:$B,0)), $K336="Medium", INDEX('Lookups - Complexity'!$D:$D, MATCH($B336, 'Lookups - Complexity'!$B:$B,0)), $K336="High", INDEX('Lookups - Complexity'!$E:$E, MATCH($B336, 'Lookups - Complexity'!$B:$B,0))), ""))</f>
        <v/>
      </c>
      <c r="M336" s="11">
        <f>IF($I336="FTE", Assumptions!$B$3, "")</f>
        <v/>
      </c>
      <c r="N336" s="11">
        <f t="array" ref="N336">IFERROR(INDEX(Milestones!$F:$F, MATCH($B336, Milestones!$B:$B, 0)), "")</f>
        <v/>
      </c>
      <c r="O336" s="11">
        <f t="array" ref="O336">IFERROR(INDEX(Milestones!$G:$G, MATCH($B336, Milestones!$B:$B, 0)), "")</f>
        <v/>
      </c>
      <c r="P336" s="11">
        <f t="array" ref="P336">IFERROR(INDEX('Lookups - Rates'!$D:$D, MATCH($G336&amp;"|"&amp;$H336, 'Lookups - Rates'!$Z:$Z, 0)), "")</f>
        <v/>
      </c>
      <c r="Q336" s="11">
        <f t="array" ref="Q336">IFERROR(INDEX('Lookups - Rates'!$E:$E, MATCH($G336&amp;"|"&amp;$H336, 'Lookups - Rates'!$Z:$Z, 0)), "")</f>
        <v/>
      </c>
      <c r="R336" s="11">
        <f>LET(ev,$J336, ch,$L336, hr,$P336, dr,$Q336, hpday,Assumptions!$B$2, hpw,Assumptions!$B$3, w,$M336, hrs, IF($I336="Hours", ev, IF($I336="Days", ev*IF(dr&gt;0, dr/hr, hpday), IF($I336="FTE", ev*hpw*w, ch))), IF(hrs="", "", hrs*hr))</f>
        <v/>
      </c>
      <c r="S336" s="13" t="n"/>
      <c r="T336" s="11">
        <f t="array" ref="T336">XLOOKUP(Scenario_Selected, INDEX(Scenario_Table,0,1), INDEX(Scenario_Table,0,2))</f>
        <v/>
      </c>
      <c r="U336" s="11">
        <f t="array" ref="U336">XLOOKUP(Scenario_Selected, INDEX(Scenario_Table,0,1), INDEX(Scenario_Table,0,3))</f>
        <v/>
      </c>
      <c r="V336" s="11">
        <f t="array" ref="V336">XLOOKUP(Scenario_Selected, INDEX(Scenario_Table,0,1), INDEX(Scenario_Table,0,4))</f>
        <v/>
      </c>
      <c r="W336" s="11">
        <f t="array" ref="W336">LET(ev,$J336, ch,$L336, et,$I336, dr,$Q336, hpday,Assumptions!$B$2, hpw,Assumptions!$B$3, w,$M336,hm,INDIRECT("R[0]C[0]",FALSE),hrs, IF(et="Hours", ev, IF(et="Days", ev*IF(dr&gt;0, dr/$P336, hpday), IF(et="FTE", ev*hpw*w, ch))), IF(hrs="", "", hrs*hm))</f>
        <v/>
      </c>
      <c r="X336" s="11">
        <f>IF($P336="","", $P336*INDIRECT("R[0]C[-3]",FALSE))</f>
        <v/>
      </c>
      <c r="Y336" s="11">
        <f>IF(INDIRECT("R[0]C[-1]",FALSE)="","", INDIRECT("R[0]C[-2]",FALSE)*INDIRECT("R[0]C[-1]",FALSE)*(1+INDIRECT("R[0]C[-3]",FALSE)))</f>
        <v/>
      </c>
      <c r="Z336" s="13" t="n"/>
    </row>
    <row r="337" ht="15.75" customHeight="1" s="74">
      <c r="A337" s="11" t="n">
        <v>337</v>
      </c>
      <c r="C337" s="11">
        <f t="array" ref="C337">IFERROR(INDEX(Milestones!$A:$A, MATCH($B337, Milestones!$B:$B, 0)), "")</f>
        <v/>
      </c>
      <c r="D337" s="11">
        <f t="array" ref="D337">IFERROR(INDEX(Milestones!$C:$C, MATCH($B337, Milestones!$B:$B, 0)), "")</f>
        <v/>
      </c>
      <c r="F337" s="11">
        <f t="array" ref="F337">IFERROR(INDEX(Milestones!$E:$E, MATCH($B337, Milestones!$B:$B, 0)), "")</f>
        <v/>
      </c>
      <c r="I337" s="11" t="n"/>
      <c r="J337" s="20" t="n"/>
      <c r="K337" s="11" t="n"/>
      <c r="L337" s="11">
        <f t="array" ref="L337">IF($K337="","", IFERROR(IFS($K337="Low", INDEX('Lookups - Complexity'!$C:$C, MATCH($B337, 'Lookups - Complexity'!$B:$B,0)), $K337="Medium", INDEX('Lookups - Complexity'!$D:$D, MATCH($B337, 'Lookups - Complexity'!$B:$B,0)), $K337="High", INDEX('Lookups - Complexity'!$E:$E, MATCH($B337, 'Lookups - Complexity'!$B:$B,0))), ""))</f>
        <v/>
      </c>
      <c r="M337" s="11">
        <f>IF($I337="FTE", Assumptions!$B$3, "")</f>
        <v/>
      </c>
      <c r="N337" s="11">
        <f t="array" ref="N337">IFERROR(INDEX(Milestones!$F:$F, MATCH($B337, Milestones!$B:$B, 0)), "")</f>
        <v/>
      </c>
      <c r="O337" s="11">
        <f t="array" ref="O337">IFERROR(INDEX(Milestones!$G:$G, MATCH($B337, Milestones!$B:$B, 0)), "")</f>
        <v/>
      </c>
      <c r="P337" s="11">
        <f t="array" ref="P337">IFERROR(INDEX('Lookups - Rates'!$D:$D, MATCH($G337&amp;"|"&amp;$H337, 'Lookups - Rates'!$Z:$Z, 0)), "")</f>
        <v/>
      </c>
      <c r="Q337" s="11">
        <f t="array" ref="Q337">IFERROR(INDEX('Lookups - Rates'!$E:$E, MATCH($G337&amp;"|"&amp;$H337, 'Lookups - Rates'!$Z:$Z, 0)), "")</f>
        <v/>
      </c>
      <c r="R337" s="11">
        <f>LET(ev,$J337, ch,$L337, hr,$P337, dr,$Q337, hpday,Assumptions!$B$2, hpw,Assumptions!$B$3, w,$M337, hrs, IF($I337="Hours", ev, IF($I337="Days", ev*IF(dr&gt;0, dr/hr, hpday), IF($I337="FTE", ev*hpw*w, ch))), IF(hrs="", "", hrs*hr))</f>
        <v/>
      </c>
      <c r="S337" s="13" t="n"/>
      <c r="T337" s="11">
        <f t="array" ref="T337">XLOOKUP(Scenario_Selected, INDEX(Scenario_Table,0,1), INDEX(Scenario_Table,0,2))</f>
        <v/>
      </c>
      <c r="U337" s="11">
        <f t="array" ref="U337">XLOOKUP(Scenario_Selected, INDEX(Scenario_Table,0,1), INDEX(Scenario_Table,0,3))</f>
        <v/>
      </c>
      <c r="V337" s="11">
        <f t="array" ref="V337">XLOOKUP(Scenario_Selected, INDEX(Scenario_Table,0,1), INDEX(Scenario_Table,0,4))</f>
        <v/>
      </c>
      <c r="W337" s="11">
        <f t="array" ref="W337">LET(ev,$J337, ch,$L337, et,$I337, dr,$Q337, hpday,Assumptions!$B$2, hpw,Assumptions!$B$3, w,$M337,hm,INDIRECT("R[0]C[0]",FALSE),hrs, IF(et="Hours", ev, IF(et="Days", ev*IF(dr&gt;0, dr/$P337, hpday), IF(et="FTE", ev*hpw*w, ch))), IF(hrs="", "", hrs*hm))</f>
        <v/>
      </c>
      <c r="X337" s="11">
        <f>IF($P337="","", $P337*INDIRECT("R[0]C[-3]",FALSE))</f>
        <v/>
      </c>
      <c r="Y337" s="11">
        <f>IF(INDIRECT("R[0]C[-1]",FALSE)="","", INDIRECT("R[0]C[-2]",FALSE)*INDIRECT("R[0]C[-1]",FALSE)*(1+INDIRECT("R[0]C[-3]",FALSE)))</f>
        <v/>
      </c>
      <c r="Z337" s="13" t="n"/>
    </row>
    <row r="338" ht="15.75" customHeight="1" s="74">
      <c r="A338" s="11" t="n">
        <v>338</v>
      </c>
      <c r="C338" s="11">
        <f t="array" ref="C338">IFERROR(INDEX(Milestones!$A:$A, MATCH($B338, Milestones!$B:$B, 0)), "")</f>
        <v/>
      </c>
      <c r="D338" s="11">
        <f t="array" ref="D338">IFERROR(INDEX(Milestones!$C:$C, MATCH($B338, Milestones!$B:$B, 0)), "")</f>
        <v/>
      </c>
      <c r="F338" s="11">
        <f t="array" ref="F338">IFERROR(INDEX(Milestones!$E:$E, MATCH($B338, Milestones!$B:$B, 0)), "")</f>
        <v/>
      </c>
      <c r="I338" s="11" t="n"/>
      <c r="J338" s="20" t="n"/>
      <c r="K338" s="11" t="n"/>
      <c r="L338" s="11">
        <f t="array" ref="L338">IF($K338="","", IFERROR(IFS($K338="Low", INDEX('Lookups - Complexity'!$C:$C, MATCH($B338, 'Lookups - Complexity'!$B:$B,0)), $K338="Medium", INDEX('Lookups - Complexity'!$D:$D, MATCH($B338, 'Lookups - Complexity'!$B:$B,0)), $K338="High", INDEX('Lookups - Complexity'!$E:$E, MATCH($B338, 'Lookups - Complexity'!$B:$B,0))), ""))</f>
        <v/>
      </c>
      <c r="M338" s="11">
        <f>IF($I338="FTE", Assumptions!$B$3, "")</f>
        <v/>
      </c>
      <c r="N338" s="11">
        <f t="array" ref="N338">IFERROR(INDEX(Milestones!$F:$F, MATCH($B338, Milestones!$B:$B, 0)), "")</f>
        <v/>
      </c>
      <c r="O338" s="11">
        <f t="array" ref="O338">IFERROR(INDEX(Milestones!$G:$G, MATCH($B338, Milestones!$B:$B, 0)), "")</f>
        <v/>
      </c>
      <c r="P338" s="11">
        <f t="array" ref="P338">IFERROR(INDEX('Lookups - Rates'!$D:$D, MATCH($G338&amp;"|"&amp;$H338, 'Lookups - Rates'!$Z:$Z, 0)), "")</f>
        <v/>
      </c>
      <c r="Q338" s="11">
        <f t="array" ref="Q338">IFERROR(INDEX('Lookups - Rates'!$E:$E, MATCH($G338&amp;"|"&amp;$H338, 'Lookups - Rates'!$Z:$Z, 0)), "")</f>
        <v/>
      </c>
      <c r="R338" s="11">
        <f>LET(ev,$J338, ch,$L338, hr,$P338, dr,$Q338, hpday,Assumptions!$B$2, hpw,Assumptions!$B$3, w,$M338, hrs, IF($I338="Hours", ev, IF($I338="Days", ev*IF(dr&gt;0, dr/hr, hpday), IF($I338="FTE", ev*hpw*w, ch))), IF(hrs="", "", hrs*hr))</f>
        <v/>
      </c>
      <c r="S338" s="13" t="n"/>
      <c r="T338" s="11">
        <f t="array" ref="T338">XLOOKUP(Scenario_Selected, INDEX(Scenario_Table,0,1), INDEX(Scenario_Table,0,2))</f>
        <v/>
      </c>
      <c r="U338" s="11">
        <f t="array" ref="U338">XLOOKUP(Scenario_Selected, INDEX(Scenario_Table,0,1), INDEX(Scenario_Table,0,3))</f>
        <v/>
      </c>
      <c r="V338" s="11">
        <f t="array" ref="V338">XLOOKUP(Scenario_Selected, INDEX(Scenario_Table,0,1), INDEX(Scenario_Table,0,4))</f>
        <v/>
      </c>
      <c r="W338" s="11">
        <f t="array" ref="W338">LET(ev,$J338, ch,$L338, et,$I338, dr,$Q338, hpday,Assumptions!$B$2, hpw,Assumptions!$B$3, w,$M338,hm,INDIRECT("R[0]C[0]",FALSE),hrs, IF(et="Hours", ev, IF(et="Days", ev*IF(dr&gt;0, dr/$P338, hpday), IF(et="FTE", ev*hpw*w, ch))), IF(hrs="", "", hrs*hm))</f>
        <v/>
      </c>
      <c r="X338" s="11">
        <f>IF($P338="","", $P338*INDIRECT("R[0]C[-3]",FALSE))</f>
        <v/>
      </c>
      <c r="Y338" s="11">
        <f>IF(INDIRECT("R[0]C[-1]",FALSE)="","", INDIRECT("R[0]C[-2]",FALSE)*INDIRECT("R[0]C[-1]",FALSE)*(1+INDIRECT("R[0]C[-3]",FALSE)))</f>
        <v/>
      </c>
      <c r="Z338" s="13" t="n"/>
    </row>
    <row r="339" ht="15.75" customHeight="1" s="74">
      <c r="A339" s="11" t="n">
        <v>339</v>
      </c>
      <c r="C339" s="11">
        <f t="array" ref="C339">IFERROR(INDEX(Milestones!$A:$A, MATCH($B339, Milestones!$B:$B, 0)), "")</f>
        <v/>
      </c>
      <c r="D339" s="11">
        <f t="array" ref="D339">IFERROR(INDEX(Milestones!$C:$C, MATCH($B339, Milestones!$B:$B, 0)), "")</f>
        <v/>
      </c>
      <c r="F339" s="11">
        <f t="array" ref="F339">IFERROR(INDEX(Milestones!$E:$E, MATCH($B339, Milestones!$B:$B, 0)), "")</f>
        <v/>
      </c>
      <c r="I339" s="11" t="n"/>
      <c r="J339" s="20" t="n"/>
      <c r="K339" s="11" t="n"/>
      <c r="L339" s="11">
        <f t="array" ref="L339">IF($K339="","", IFERROR(IFS($K339="Low", INDEX('Lookups - Complexity'!$C:$C, MATCH($B339, 'Lookups - Complexity'!$B:$B,0)), $K339="Medium", INDEX('Lookups - Complexity'!$D:$D, MATCH($B339, 'Lookups - Complexity'!$B:$B,0)), $K339="High", INDEX('Lookups - Complexity'!$E:$E, MATCH($B339, 'Lookups - Complexity'!$B:$B,0))), ""))</f>
        <v/>
      </c>
      <c r="M339" s="11">
        <f>IF($I339="FTE", Assumptions!$B$3, "")</f>
        <v/>
      </c>
      <c r="N339" s="11">
        <f t="array" ref="N339">IFERROR(INDEX(Milestones!$F:$F, MATCH($B339, Milestones!$B:$B, 0)), "")</f>
        <v/>
      </c>
      <c r="O339" s="11">
        <f t="array" ref="O339">IFERROR(INDEX(Milestones!$G:$G, MATCH($B339, Milestones!$B:$B, 0)), "")</f>
        <v/>
      </c>
      <c r="P339" s="11">
        <f t="array" ref="P339">IFERROR(INDEX('Lookups - Rates'!$D:$D, MATCH($G339&amp;"|"&amp;$H339, 'Lookups - Rates'!$Z:$Z, 0)), "")</f>
        <v/>
      </c>
      <c r="Q339" s="11">
        <f t="array" ref="Q339">IFERROR(INDEX('Lookups - Rates'!$E:$E, MATCH($G339&amp;"|"&amp;$H339, 'Lookups - Rates'!$Z:$Z, 0)), "")</f>
        <v/>
      </c>
      <c r="R339" s="11">
        <f>LET(ev,$J339, ch,$L339, hr,$P339, dr,$Q339, hpday,Assumptions!$B$2, hpw,Assumptions!$B$3, w,$M339, hrs, IF($I339="Hours", ev, IF($I339="Days", ev*IF(dr&gt;0, dr/hr, hpday), IF($I339="FTE", ev*hpw*w, ch))), IF(hrs="", "", hrs*hr))</f>
        <v/>
      </c>
      <c r="S339" s="13" t="n"/>
      <c r="T339" s="11">
        <f t="array" ref="T339">XLOOKUP(Scenario_Selected, INDEX(Scenario_Table,0,1), INDEX(Scenario_Table,0,2))</f>
        <v/>
      </c>
      <c r="U339" s="11">
        <f t="array" ref="U339">XLOOKUP(Scenario_Selected, INDEX(Scenario_Table,0,1), INDEX(Scenario_Table,0,3))</f>
        <v/>
      </c>
      <c r="V339" s="11">
        <f t="array" ref="V339">XLOOKUP(Scenario_Selected, INDEX(Scenario_Table,0,1), INDEX(Scenario_Table,0,4))</f>
        <v/>
      </c>
      <c r="W339" s="11">
        <f t="array" ref="W339">LET(ev,$J339, ch,$L339, et,$I339, dr,$Q339, hpday,Assumptions!$B$2, hpw,Assumptions!$B$3, w,$M339,hm,INDIRECT("R[0]C[0]",FALSE),hrs, IF(et="Hours", ev, IF(et="Days", ev*IF(dr&gt;0, dr/$P339, hpday), IF(et="FTE", ev*hpw*w, ch))), IF(hrs="", "", hrs*hm))</f>
        <v/>
      </c>
      <c r="X339" s="11">
        <f>IF($P339="","", $P339*INDIRECT("R[0]C[-3]",FALSE))</f>
        <v/>
      </c>
      <c r="Y339" s="11">
        <f>IF(INDIRECT("R[0]C[-1]",FALSE)="","", INDIRECT("R[0]C[-2]",FALSE)*INDIRECT("R[0]C[-1]",FALSE)*(1+INDIRECT("R[0]C[-3]",FALSE)))</f>
        <v/>
      </c>
      <c r="Z339" s="13" t="n"/>
    </row>
    <row r="340" ht="15.75" customHeight="1" s="74">
      <c r="A340" s="11" t="n">
        <v>340</v>
      </c>
      <c r="C340" s="11">
        <f t="array" ref="C340">IFERROR(INDEX(Milestones!$A:$A, MATCH($B340, Milestones!$B:$B, 0)), "")</f>
        <v/>
      </c>
      <c r="D340" s="11">
        <f t="array" ref="D340">IFERROR(INDEX(Milestones!$C:$C, MATCH($B340, Milestones!$B:$B, 0)), "")</f>
        <v/>
      </c>
      <c r="F340" s="11">
        <f t="array" ref="F340">IFERROR(INDEX(Milestones!$E:$E, MATCH($B340, Milestones!$B:$B, 0)), "")</f>
        <v/>
      </c>
      <c r="I340" s="11" t="n"/>
      <c r="J340" s="20" t="n"/>
      <c r="K340" s="11" t="n"/>
      <c r="L340" s="11">
        <f t="array" ref="L340">IF($K340="","", IFERROR(IFS($K340="Low", INDEX('Lookups - Complexity'!$C:$C, MATCH($B340, 'Lookups - Complexity'!$B:$B,0)), $K340="Medium", INDEX('Lookups - Complexity'!$D:$D, MATCH($B340, 'Lookups - Complexity'!$B:$B,0)), $K340="High", INDEX('Lookups - Complexity'!$E:$E, MATCH($B340, 'Lookups - Complexity'!$B:$B,0))), ""))</f>
        <v/>
      </c>
      <c r="M340" s="11">
        <f>IF($I340="FTE", Assumptions!$B$3, "")</f>
        <v/>
      </c>
      <c r="N340" s="11">
        <f t="array" ref="N340">IFERROR(INDEX(Milestones!$F:$F, MATCH($B340, Milestones!$B:$B, 0)), "")</f>
        <v/>
      </c>
      <c r="O340" s="11">
        <f t="array" ref="O340">IFERROR(INDEX(Milestones!$G:$G, MATCH($B340, Milestones!$B:$B, 0)), "")</f>
        <v/>
      </c>
      <c r="P340" s="11">
        <f t="array" ref="P340">IFERROR(INDEX('Lookups - Rates'!$D:$D, MATCH($G340&amp;"|"&amp;$H340, 'Lookups - Rates'!$Z:$Z, 0)), "")</f>
        <v/>
      </c>
      <c r="Q340" s="11">
        <f t="array" ref="Q340">IFERROR(INDEX('Lookups - Rates'!$E:$E, MATCH($G340&amp;"|"&amp;$H340, 'Lookups - Rates'!$Z:$Z, 0)), "")</f>
        <v/>
      </c>
      <c r="R340" s="11">
        <f>LET(ev,$J340, ch,$L340, hr,$P340, dr,$Q340, hpday,Assumptions!$B$2, hpw,Assumptions!$B$3, w,$M340, hrs, IF($I340="Hours", ev, IF($I340="Days", ev*IF(dr&gt;0, dr/hr, hpday), IF($I340="FTE", ev*hpw*w, ch))), IF(hrs="", "", hrs*hr))</f>
        <v/>
      </c>
      <c r="S340" s="13" t="n"/>
      <c r="T340" s="11">
        <f t="array" ref="T340">XLOOKUP(Scenario_Selected, INDEX(Scenario_Table,0,1), INDEX(Scenario_Table,0,2))</f>
        <v/>
      </c>
      <c r="U340" s="11">
        <f t="array" ref="U340">XLOOKUP(Scenario_Selected, INDEX(Scenario_Table,0,1), INDEX(Scenario_Table,0,3))</f>
        <v/>
      </c>
      <c r="V340" s="11">
        <f t="array" ref="V340">XLOOKUP(Scenario_Selected, INDEX(Scenario_Table,0,1), INDEX(Scenario_Table,0,4))</f>
        <v/>
      </c>
      <c r="W340" s="11">
        <f t="array" ref="W340">LET(ev,$J340, ch,$L340, et,$I340, dr,$Q340, hpday,Assumptions!$B$2, hpw,Assumptions!$B$3, w,$M340,hm,INDIRECT("R[0]C[0]",FALSE),hrs, IF(et="Hours", ev, IF(et="Days", ev*IF(dr&gt;0, dr/$P340, hpday), IF(et="FTE", ev*hpw*w, ch))), IF(hrs="", "", hrs*hm))</f>
        <v/>
      </c>
      <c r="X340" s="11">
        <f>IF($P340="","", $P340*INDIRECT("R[0]C[-3]",FALSE))</f>
        <v/>
      </c>
      <c r="Y340" s="11">
        <f>IF(INDIRECT("R[0]C[-1]",FALSE)="","", INDIRECT("R[0]C[-2]",FALSE)*INDIRECT("R[0]C[-1]",FALSE)*(1+INDIRECT("R[0]C[-3]",FALSE)))</f>
        <v/>
      </c>
      <c r="Z340" s="13" t="n"/>
    </row>
    <row r="341" ht="15.75" customHeight="1" s="74">
      <c r="A341" s="11" t="n">
        <v>341</v>
      </c>
      <c r="C341" s="11">
        <f t="array" ref="C341">IFERROR(INDEX(Milestones!$A:$A, MATCH($B341, Milestones!$B:$B, 0)), "")</f>
        <v/>
      </c>
      <c r="D341" s="11">
        <f t="array" ref="D341">IFERROR(INDEX(Milestones!$C:$C, MATCH($B341, Milestones!$B:$B, 0)), "")</f>
        <v/>
      </c>
      <c r="F341" s="11">
        <f t="array" ref="F341">IFERROR(INDEX(Milestones!$E:$E, MATCH($B341, Milestones!$B:$B, 0)), "")</f>
        <v/>
      </c>
      <c r="I341" s="11" t="n"/>
      <c r="J341" s="20" t="n"/>
      <c r="K341" s="11" t="n"/>
      <c r="L341" s="11">
        <f t="array" ref="L341">IF($K341="","", IFERROR(IFS($K341="Low", INDEX('Lookups - Complexity'!$C:$C, MATCH($B341, 'Lookups - Complexity'!$B:$B,0)), $K341="Medium", INDEX('Lookups - Complexity'!$D:$D, MATCH($B341, 'Lookups - Complexity'!$B:$B,0)), $K341="High", INDEX('Lookups - Complexity'!$E:$E, MATCH($B341, 'Lookups - Complexity'!$B:$B,0))), ""))</f>
        <v/>
      </c>
      <c r="M341" s="11">
        <f>IF($I341="FTE", Assumptions!$B$3, "")</f>
        <v/>
      </c>
      <c r="N341" s="11">
        <f t="array" ref="N341">IFERROR(INDEX(Milestones!$F:$F, MATCH($B341, Milestones!$B:$B, 0)), "")</f>
        <v/>
      </c>
      <c r="O341" s="11">
        <f t="array" ref="O341">IFERROR(INDEX(Milestones!$G:$G, MATCH($B341, Milestones!$B:$B, 0)), "")</f>
        <v/>
      </c>
      <c r="P341" s="11">
        <f t="array" ref="P341">IFERROR(INDEX('Lookups - Rates'!$D:$D, MATCH($G341&amp;"|"&amp;$H341, 'Lookups - Rates'!$Z:$Z, 0)), "")</f>
        <v/>
      </c>
      <c r="Q341" s="11">
        <f t="array" ref="Q341">IFERROR(INDEX('Lookups - Rates'!$E:$E, MATCH($G341&amp;"|"&amp;$H341, 'Lookups - Rates'!$Z:$Z, 0)), "")</f>
        <v/>
      </c>
      <c r="R341" s="11">
        <f>LET(ev,$J341, ch,$L341, hr,$P341, dr,$Q341, hpday,Assumptions!$B$2, hpw,Assumptions!$B$3, w,$M341, hrs, IF($I341="Hours", ev, IF($I341="Days", ev*IF(dr&gt;0, dr/hr, hpday), IF($I341="FTE", ev*hpw*w, ch))), IF(hrs="", "", hrs*hr))</f>
        <v/>
      </c>
      <c r="S341" s="13" t="n"/>
      <c r="T341" s="11">
        <f t="array" ref="T341">XLOOKUP(Scenario_Selected, INDEX(Scenario_Table,0,1), INDEX(Scenario_Table,0,2))</f>
        <v/>
      </c>
      <c r="U341" s="11">
        <f t="array" ref="U341">XLOOKUP(Scenario_Selected, INDEX(Scenario_Table,0,1), INDEX(Scenario_Table,0,3))</f>
        <v/>
      </c>
      <c r="V341" s="11">
        <f t="array" ref="V341">XLOOKUP(Scenario_Selected, INDEX(Scenario_Table,0,1), INDEX(Scenario_Table,0,4))</f>
        <v/>
      </c>
      <c r="W341" s="11">
        <f t="array" ref="W341">LET(ev,$J341, ch,$L341, et,$I341, dr,$Q341, hpday,Assumptions!$B$2, hpw,Assumptions!$B$3, w,$M341,hm,INDIRECT("R[0]C[0]",FALSE),hrs, IF(et="Hours", ev, IF(et="Days", ev*IF(dr&gt;0, dr/$P341, hpday), IF(et="FTE", ev*hpw*w, ch))), IF(hrs="", "", hrs*hm))</f>
        <v/>
      </c>
      <c r="X341" s="11">
        <f>IF($P341="","", $P341*INDIRECT("R[0]C[-3]",FALSE))</f>
        <v/>
      </c>
      <c r="Y341" s="11">
        <f>IF(INDIRECT("R[0]C[-1]",FALSE)="","", INDIRECT("R[0]C[-2]",FALSE)*INDIRECT("R[0]C[-1]",FALSE)*(1+INDIRECT("R[0]C[-3]",FALSE)))</f>
        <v/>
      </c>
      <c r="Z341" s="13" t="n"/>
    </row>
    <row r="342" ht="15.75" customHeight="1" s="74">
      <c r="A342" s="11" t="n">
        <v>342</v>
      </c>
      <c r="C342" s="11">
        <f t="array" ref="C342">IFERROR(INDEX(Milestones!$A:$A, MATCH($B342, Milestones!$B:$B, 0)), "")</f>
        <v/>
      </c>
      <c r="D342" s="11">
        <f t="array" ref="D342">IFERROR(INDEX(Milestones!$C:$C, MATCH($B342, Milestones!$B:$B, 0)), "")</f>
        <v/>
      </c>
      <c r="F342" s="11">
        <f t="array" ref="F342">IFERROR(INDEX(Milestones!$E:$E, MATCH($B342, Milestones!$B:$B, 0)), "")</f>
        <v/>
      </c>
      <c r="I342" s="11" t="n"/>
      <c r="J342" s="20" t="n"/>
      <c r="K342" s="11" t="n"/>
      <c r="L342" s="11">
        <f t="array" ref="L342">IF($K342="","", IFERROR(IFS($K342="Low", INDEX('Lookups - Complexity'!$C:$C, MATCH($B342, 'Lookups - Complexity'!$B:$B,0)), $K342="Medium", INDEX('Lookups - Complexity'!$D:$D, MATCH($B342, 'Lookups - Complexity'!$B:$B,0)), $K342="High", INDEX('Lookups - Complexity'!$E:$E, MATCH($B342, 'Lookups - Complexity'!$B:$B,0))), ""))</f>
        <v/>
      </c>
      <c r="M342" s="11">
        <f>IF($I342="FTE", Assumptions!$B$3, "")</f>
        <v/>
      </c>
      <c r="N342" s="11">
        <f t="array" ref="N342">IFERROR(INDEX(Milestones!$F:$F, MATCH($B342, Milestones!$B:$B, 0)), "")</f>
        <v/>
      </c>
      <c r="O342" s="11">
        <f t="array" ref="O342">IFERROR(INDEX(Milestones!$G:$G, MATCH($B342, Milestones!$B:$B, 0)), "")</f>
        <v/>
      </c>
      <c r="P342" s="11">
        <f t="array" ref="P342">IFERROR(INDEX('Lookups - Rates'!$D:$D, MATCH($G342&amp;"|"&amp;$H342, 'Lookups - Rates'!$Z:$Z, 0)), "")</f>
        <v/>
      </c>
      <c r="Q342" s="11">
        <f t="array" ref="Q342">IFERROR(INDEX('Lookups - Rates'!$E:$E, MATCH($G342&amp;"|"&amp;$H342, 'Lookups - Rates'!$Z:$Z, 0)), "")</f>
        <v/>
      </c>
      <c r="R342" s="11">
        <f>LET(ev,$J342, ch,$L342, hr,$P342, dr,$Q342, hpday,Assumptions!$B$2, hpw,Assumptions!$B$3, w,$M342, hrs, IF($I342="Hours", ev, IF($I342="Days", ev*IF(dr&gt;0, dr/hr, hpday), IF($I342="FTE", ev*hpw*w, ch))), IF(hrs="", "", hrs*hr))</f>
        <v/>
      </c>
      <c r="S342" s="13" t="n"/>
      <c r="T342" s="11">
        <f t="array" ref="T342">XLOOKUP(Scenario_Selected, INDEX(Scenario_Table,0,1), INDEX(Scenario_Table,0,2))</f>
        <v/>
      </c>
      <c r="U342" s="11">
        <f t="array" ref="U342">XLOOKUP(Scenario_Selected, INDEX(Scenario_Table,0,1), INDEX(Scenario_Table,0,3))</f>
        <v/>
      </c>
      <c r="V342" s="11">
        <f t="array" ref="V342">XLOOKUP(Scenario_Selected, INDEX(Scenario_Table,0,1), INDEX(Scenario_Table,0,4))</f>
        <v/>
      </c>
      <c r="W342" s="11">
        <f t="array" ref="W342">LET(ev,$J342, ch,$L342, et,$I342, dr,$Q342, hpday,Assumptions!$B$2, hpw,Assumptions!$B$3, w,$M342,hm,INDIRECT("R[0]C[0]",FALSE),hrs, IF(et="Hours", ev, IF(et="Days", ev*IF(dr&gt;0, dr/$P342, hpday), IF(et="FTE", ev*hpw*w, ch))), IF(hrs="", "", hrs*hm))</f>
        <v/>
      </c>
      <c r="X342" s="11">
        <f>IF($P342="","", $P342*INDIRECT("R[0]C[-3]",FALSE))</f>
        <v/>
      </c>
      <c r="Y342" s="11">
        <f>IF(INDIRECT("R[0]C[-1]",FALSE)="","", INDIRECT("R[0]C[-2]",FALSE)*INDIRECT("R[0]C[-1]",FALSE)*(1+INDIRECT("R[0]C[-3]",FALSE)))</f>
        <v/>
      </c>
      <c r="Z342" s="13" t="n"/>
    </row>
    <row r="343" ht="15.75" customHeight="1" s="74">
      <c r="A343" s="11" t="n">
        <v>343</v>
      </c>
      <c r="C343" s="11">
        <f t="array" ref="C343">IFERROR(INDEX(Milestones!$A:$A, MATCH($B343, Milestones!$B:$B, 0)), "")</f>
        <v/>
      </c>
      <c r="D343" s="11">
        <f t="array" ref="D343">IFERROR(INDEX(Milestones!$C:$C, MATCH($B343, Milestones!$B:$B, 0)), "")</f>
        <v/>
      </c>
      <c r="F343" s="11">
        <f t="array" ref="F343">IFERROR(INDEX(Milestones!$E:$E, MATCH($B343, Milestones!$B:$B, 0)), "")</f>
        <v/>
      </c>
      <c r="I343" s="11" t="n"/>
      <c r="J343" s="20" t="n"/>
      <c r="K343" s="11" t="n"/>
      <c r="L343" s="11">
        <f t="array" ref="L343">IF($K343="","", IFERROR(IFS($K343="Low", INDEX('Lookups - Complexity'!$C:$C, MATCH($B343, 'Lookups - Complexity'!$B:$B,0)), $K343="Medium", INDEX('Lookups - Complexity'!$D:$D, MATCH($B343, 'Lookups - Complexity'!$B:$B,0)), $K343="High", INDEX('Lookups - Complexity'!$E:$E, MATCH($B343, 'Lookups - Complexity'!$B:$B,0))), ""))</f>
        <v/>
      </c>
      <c r="M343" s="11">
        <f>IF($I343="FTE", Assumptions!$B$3, "")</f>
        <v/>
      </c>
      <c r="N343" s="11">
        <f t="array" ref="N343">IFERROR(INDEX(Milestones!$F:$F, MATCH($B343, Milestones!$B:$B, 0)), "")</f>
        <v/>
      </c>
      <c r="O343" s="11">
        <f t="array" ref="O343">IFERROR(INDEX(Milestones!$G:$G, MATCH($B343, Milestones!$B:$B, 0)), "")</f>
        <v/>
      </c>
      <c r="P343" s="11">
        <f t="array" ref="P343">IFERROR(INDEX('Lookups - Rates'!$D:$D, MATCH($G343&amp;"|"&amp;$H343, 'Lookups - Rates'!$Z:$Z, 0)), "")</f>
        <v/>
      </c>
      <c r="Q343" s="11">
        <f t="array" ref="Q343">IFERROR(INDEX('Lookups - Rates'!$E:$E, MATCH($G343&amp;"|"&amp;$H343, 'Lookups - Rates'!$Z:$Z, 0)), "")</f>
        <v/>
      </c>
      <c r="R343" s="11">
        <f>LET(ev,$J343, ch,$L343, hr,$P343, dr,$Q343, hpday,Assumptions!$B$2, hpw,Assumptions!$B$3, w,$M343, hrs, IF($I343="Hours", ev, IF($I343="Days", ev*IF(dr&gt;0, dr/hr, hpday), IF($I343="FTE", ev*hpw*w, ch))), IF(hrs="", "", hrs*hr))</f>
        <v/>
      </c>
      <c r="S343" s="13" t="n"/>
      <c r="T343" s="11">
        <f t="array" ref="T343">XLOOKUP(Scenario_Selected, INDEX(Scenario_Table,0,1), INDEX(Scenario_Table,0,2))</f>
        <v/>
      </c>
      <c r="U343" s="11">
        <f t="array" ref="U343">XLOOKUP(Scenario_Selected, INDEX(Scenario_Table,0,1), INDEX(Scenario_Table,0,3))</f>
        <v/>
      </c>
      <c r="V343" s="11">
        <f t="array" ref="V343">XLOOKUP(Scenario_Selected, INDEX(Scenario_Table,0,1), INDEX(Scenario_Table,0,4))</f>
        <v/>
      </c>
      <c r="W343" s="11">
        <f t="array" ref="W343">LET(ev,$J343, ch,$L343, et,$I343, dr,$Q343, hpday,Assumptions!$B$2, hpw,Assumptions!$B$3, w,$M343,hm,INDIRECT("R[0]C[0]",FALSE),hrs, IF(et="Hours", ev, IF(et="Days", ev*IF(dr&gt;0, dr/$P343, hpday), IF(et="FTE", ev*hpw*w, ch))), IF(hrs="", "", hrs*hm))</f>
        <v/>
      </c>
      <c r="X343" s="11">
        <f>IF($P343="","", $P343*INDIRECT("R[0]C[-3]",FALSE))</f>
        <v/>
      </c>
      <c r="Y343" s="11">
        <f>IF(INDIRECT("R[0]C[-1]",FALSE)="","", INDIRECT("R[0]C[-2]",FALSE)*INDIRECT("R[0]C[-1]",FALSE)*(1+INDIRECT("R[0]C[-3]",FALSE)))</f>
        <v/>
      </c>
      <c r="Z343" s="13" t="n"/>
    </row>
    <row r="344" ht="15.75" customHeight="1" s="74">
      <c r="A344" s="11" t="n">
        <v>344</v>
      </c>
      <c r="C344" s="11">
        <f t="array" ref="C344">IFERROR(INDEX(Milestones!$A:$A, MATCH($B344, Milestones!$B:$B, 0)), "")</f>
        <v/>
      </c>
      <c r="D344" s="11">
        <f t="array" ref="D344">IFERROR(INDEX(Milestones!$C:$C, MATCH($B344, Milestones!$B:$B, 0)), "")</f>
        <v/>
      </c>
      <c r="F344" s="11">
        <f t="array" ref="F344">IFERROR(INDEX(Milestones!$E:$E, MATCH($B344, Milestones!$B:$B, 0)), "")</f>
        <v/>
      </c>
      <c r="I344" s="11" t="n"/>
      <c r="J344" s="20" t="n"/>
      <c r="K344" s="11" t="n"/>
      <c r="L344" s="11">
        <f t="array" ref="L344">IF($K344="","", IFERROR(IFS($K344="Low", INDEX('Lookups - Complexity'!$C:$C, MATCH($B344, 'Lookups - Complexity'!$B:$B,0)), $K344="Medium", INDEX('Lookups - Complexity'!$D:$D, MATCH($B344, 'Lookups - Complexity'!$B:$B,0)), $K344="High", INDEX('Lookups - Complexity'!$E:$E, MATCH($B344, 'Lookups - Complexity'!$B:$B,0))), ""))</f>
        <v/>
      </c>
      <c r="M344" s="11">
        <f>IF($I344="FTE", Assumptions!$B$3, "")</f>
        <v/>
      </c>
      <c r="N344" s="11">
        <f t="array" ref="N344">IFERROR(INDEX(Milestones!$F:$F, MATCH($B344, Milestones!$B:$B, 0)), "")</f>
        <v/>
      </c>
      <c r="O344" s="11">
        <f t="array" ref="O344">IFERROR(INDEX(Milestones!$G:$G, MATCH($B344, Milestones!$B:$B, 0)), "")</f>
        <v/>
      </c>
      <c r="P344" s="11">
        <f t="array" ref="P344">IFERROR(INDEX('Lookups - Rates'!$D:$D, MATCH($G344&amp;"|"&amp;$H344, 'Lookups - Rates'!$Z:$Z, 0)), "")</f>
        <v/>
      </c>
      <c r="Q344" s="11">
        <f t="array" ref="Q344">IFERROR(INDEX('Lookups - Rates'!$E:$E, MATCH($G344&amp;"|"&amp;$H344, 'Lookups - Rates'!$Z:$Z, 0)), "")</f>
        <v/>
      </c>
      <c r="R344" s="11">
        <f>LET(ev,$J344, ch,$L344, hr,$P344, dr,$Q344, hpday,Assumptions!$B$2, hpw,Assumptions!$B$3, w,$M344, hrs, IF($I344="Hours", ev, IF($I344="Days", ev*IF(dr&gt;0, dr/hr, hpday), IF($I344="FTE", ev*hpw*w, ch))), IF(hrs="", "", hrs*hr))</f>
        <v/>
      </c>
      <c r="S344" s="13" t="n"/>
      <c r="T344" s="11">
        <f t="array" ref="T344">XLOOKUP(Scenario_Selected, INDEX(Scenario_Table,0,1), INDEX(Scenario_Table,0,2))</f>
        <v/>
      </c>
      <c r="U344" s="11">
        <f t="array" ref="U344">XLOOKUP(Scenario_Selected, INDEX(Scenario_Table,0,1), INDEX(Scenario_Table,0,3))</f>
        <v/>
      </c>
      <c r="V344" s="11">
        <f t="array" ref="V344">XLOOKUP(Scenario_Selected, INDEX(Scenario_Table,0,1), INDEX(Scenario_Table,0,4))</f>
        <v/>
      </c>
      <c r="W344" s="11">
        <f t="array" ref="W344">LET(ev,$J344, ch,$L344, et,$I344, dr,$Q344, hpday,Assumptions!$B$2, hpw,Assumptions!$B$3, w,$M344,hm,INDIRECT("R[0]C[0]",FALSE),hrs, IF(et="Hours", ev, IF(et="Days", ev*IF(dr&gt;0, dr/$P344, hpday), IF(et="FTE", ev*hpw*w, ch))), IF(hrs="", "", hrs*hm))</f>
        <v/>
      </c>
      <c r="X344" s="11">
        <f>IF($P344="","", $P344*INDIRECT("R[0]C[-3]",FALSE))</f>
        <v/>
      </c>
      <c r="Y344" s="11">
        <f>IF(INDIRECT("R[0]C[-1]",FALSE)="","", INDIRECT("R[0]C[-2]",FALSE)*INDIRECT("R[0]C[-1]",FALSE)*(1+INDIRECT("R[0]C[-3]",FALSE)))</f>
        <v/>
      </c>
      <c r="Z344" s="13" t="n"/>
    </row>
    <row r="345" ht="15.75" customHeight="1" s="74">
      <c r="A345" s="11" t="n">
        <v>345</v>
      </c>
      <c r="C345" s="11">
        <f t="array" ref="C345">IFERROR(INDEX(Milestones!$A:$A, MATCH($B345, Milestones!$B:$B, 0)), "")</f>
        <v/>
      </c>
      <c r="D345" s="11">
        <f t="array" ref="D345">IFERROR(INDEX(Milestones!$C:$C, MATCH($B345, Milestones!$B:$B, 0)), "")</f>
        <v/>
      </c>
      <c r="F345" s="11">
        <f t="array" ref="F345">IFERROR(INDEX(Milestones!$E:$E, MATCH($B345, Milestones!$B:$B, 0)), "")</f>
        <v/>
      </c>
      <c r="I345" s="11" t="n"/>
      <c r="J345" s="20" t="n"/>
      <c r="K345" s="11" t="n"/>
      <c r="L345" s="11">
        <f t="array" ref="L345">IF($K345="","", IFERROR(IFS($K345="Low", INDEX('Lookups - Complexity'!$C:$C, MATCH($B345, 'Lookups - Complexity'!$B:$B,0)), $K345="Medium", INDEX('Lookups - Complexity'!$D:$D, MATCH($B345, 'Lookups - Complexity'!$B:$B,0)), $K345="High", INDEX('Lookups - Complexity'!$E:$E, MATCH($B345, 'Lookups - Complexity'!$B:$B,0))), ""))</f>
        <v/>
      </c>
      <c r="M345" s="11">
        <f>IF($I345="FTE", Assumptions!$B$3, "")</f>
        <v/>
      </c>
      <c r="N345" s="11">
        <f t="array" ref="N345">IFERROR(INDEX(Milestones!$F:$F, MATCH($B345, Milestones!$B:$B, 0)), "")</f>
        <v/>
      </c>
      <c r="O345" s="11">
        <f t="array" ref="O345">IFERROR(INDEX(Milestones!$G:$G, MATCH($B345, Milestones!$B:$B, 0)), "")</f>
        <v/>
      </c>
      <c r="P345" s="11">
        <f t="array" ref="P345">IFERROR(INDEX('Lookups - Rates'!$D:$D, MATCH($G345&amp;"|"&amp;$H345, 'Lookups - Rates'!$Z:$Z, 0)), "")</f>
        <v/>
      </c>
      <c r="Q345" s="11">
        <f t="array" ref="Q345">IFERROR(INDEX('Lookups - Rates'!$E:$E, MATCH($G345&amp;"|"&amp;$H345, 'Lookups - Rates'!$Z:$Z, 0)), "")</f>
        <v/>
      </c>
      <c r="R345" s="11">
        <f>LET(ev,$J345, ch,$L345, hr,$P345, dr,$Q345, hpday,Assumptions!$B$2, hpw,Assumptions!$B$3, w,$M345, hrs, IF($I345="Hours", ev, IF($I345="Days", ev*IF(dr&gt;0, dr/hr, hpday), IF($I345="FTE", ev*hpw*w, ch))), IF(hrs="", "", hrs*hr))</f>
        <v/>
      </c>
      <c r="S345" s="13" t="n"/>
      <c r="T345" s="11">
        <f t="array" ref="T345">XLOOKUP(Scenario_Selected, INDEX(Scenario_Table,0,1), INDEX(Scenario_Table,0,2))</f>
        <v/>
      </c>
      <c r="U345" s="11">
        <f t="array" ref="U345">XLOOKUP(Scenario_Selected, INDEX(Scenario_Table,0,1), INDEX(Scenario_Table,0,3))</f>
        <v/>
      </c>
      <c r="V345" s="11">
        <f t="array" ref="V345">XLOOKUP(Scenario_Selected, INDEX(Scenario_Table,0,1), INDEX(Scenario_Table,0,4))</f>
        <v/>
      </c>
      <c r="W345" s="11">
        <f t="array" ref="W345">LET(ev,$J345, ch,$L345, et,$I345, dr,$Q345, hpday,Assumptions!$B$2, hpw,Assumptions!$B$3, w,$M345,hm,INDIRECT("R[0]C[0]",FALSE),hrs, IF(et="Hours", ev, IF(et="Days", ev*IF(dr&gt;0, dr/$P345, hpday), IF(et="FTE", ev*hpw*w, ch))), IF(hrs="", "", hrs*hm))</f>
        <v/>
      </c>
      <c r="X345" s="11">
        <f>IF($P345="","", $P345*INDIRECT("R[0]C[-3]",FALSE))</f>
        <v/>
      </c>
      <c r="Y345" s="11">
        <f>IF(INDIRECT("R[0]C[-1]",FALSE)="","", INDIRECT("R[0]C[-2]",FALSE)*INDIRECT("R[0]C[-1]",FALSE)*(1+INDIRECT("R[0]C[-3]",FALSE)))</f>
        <v/>
      </c>
      <c r="Z345" s="13" t="n"/>
    </row>
    <row r="346" ht="15.75" customHeight="1" s="74">
      <c r="A346" s="11" t="n">
        <v>346</v>
      </c>
      <c r="C346" s="11">
        <f t="array" ref="C346">IFERROR(INDEX(Milestones!$A:$A, MATCH($B346, Milestones!$B:$B, 0)), "")</f>
        <v/>
      </c>
      <c r="D346" s="11">
        <f t="array" ref="D346">IFERROR(INDEX(Milestones!$C:$C, MATCH($B346, Milestones!$B:$B, 0)), "")</f>
        <v/>
      </c>
      <c r="F346" s="11">
        <f t="array" ref="F346">IFERROR(INDEX(Milestones!$E:$E, MATCH($B346, Milestones!$B:$B, 0)), "")</f>
        <v/>
      </c>
      <c r="I346" s="11" t="n"/>
      <c r="J346" s="20" t="n"/>
      <c r="K346" s="11" t="n"/>
      <c r="L346" s="11">
        <f t="array" ref="L346">IF($K346="","", IFERROR(IFS($K346="Low", INDEX('Lookups - Complexity'!$C:$C, MATCH($B346, 'Lookups - Complexity'!$B:$B,0)), $K346="Medium", INDEX('Lookups - Complexity'!$D:$D, MATCH($B346, 'Lookups - Complexity'!$B:$B,0)), $K346="High", INDEX('Lookups - Complexity'!$E:$E, MATCH($B346, 'Lookups - Complexity'!$B:$B,0))), ""))</f>
        <v/>
      </c>
      <c r="M346" s="11">
        <f>IF($I346="FTE", Assumptions!$B$3, "")</f>
        <v/>
      </c>
      <c r="N346" s="11">
        <f t="array" ref="N346">IFERROR(INDEX(Milestones!$F:$F, MATCH($B346, Milestones!$B:$B, 0)), "")</f>
        <v/>
      </c>
      <c r="O346" s="11">
        <f t="array" ref="O346">IFERROR(INDEX(Milestones!$G:$G, MATCH($B346, Milestones!$B:$B, 0)), "")</f>
        <v/>
      </c>
      <c r="P346" s="11">
        <f t="array" ref="P346">IFERROR(INDEX('Lookups - Rates'!$D:$D, MATCH($G346&amp;"|"&amp;$H346, 'Lookups - Rates'!$Z:$Z, 0)), "")</f>
        <v/>
      </c>
      <c r="Q346" s="11">
        <f t="array" ref="Q346">IFERROR(INDEX('Lookups - Rates'!$E:$E, MATCH($G346&amp;"|"&amp;$H346, 'Lookups - Rates'!$Z:$Z, 0)), "")</f>
        <v/>
      </c>
      <c r="R346" s="11">
        <f>LET(ev,$J346, ch,$L346, hr,$P346, dr,$Q346, hpday,Assumptions!$B$2, hpw,Assumptions!$B$3, w,$M346, hrs, IF($I346="Hours", ev, IF($I346="Days", ev*IF(dr&gt;0, dr/hr, hpday), IF($I346="FTE", ev*hpw*w, ch))), IF(hrs="", "", hrs*hr))</f>
        <v/>
      </c>
      <c r="S346" s="13" t="n"/>
      <c r="T346" s="11">
        <f t="array" ref="T346">XLOOKUP(Scenario_Selected, INDEX(Scenario_Table,0,1), INDEX(Scenario_Table,0,2))</f>
        <v/>
      </c>
      <c r="U346" s="11">
        <f t="array" ref="U346">XLOOKUP(Scenario_Selected, INDEX(Scenario_Table,0,1), INDEX(Scenario_Table,0,3))</f>
        <v/>
      </c>
      <c r="V346" s="11">
        <f t="array" ref="V346">XLOOKUP(Scenario_Selected, INDEX(Scenario_Table,0,1), INDEX(Scenario_Table,0,4))</f>
        <v/>
      </c>
      <c r="W346" s="11">
        <f t="array" ref="W346">LET(ev,$J346, ch,$L346, et,$I346, dr,$Q346, hpday,Assumptions!$B$2, hpw,Assumptions!$B$3, w,$M346,hm,INDIRECT("R[0]C[0]",FALSE),hrs, IF(et="Hours", ev, IF(et="Days", ev*IF(dr&gt;0, dr/$P346, hpday), IF(et="FTE", ev*hpw*w, ch))), IF(hrs="", "", hrs*hm))</f>
        <v/>
      </c>
      <c r="X346" s="11">
        <f>IF($P346="","", $P346*INDIRECT("R[0]C[-3]",FALSE))</f>
        <v/>
      </c>
      <c r="Y346" s="11">
        <f>IF(INDIRECT("R[0]C[-1]",FALSE)="","", INDIRECT("R[0]C[-2]",FALSE)*INDIRECT("R[0]C[-1]",FALSE)*(1+INDIRECT("R[0]C[-3]",FALSE)))</f>
        <v/>
      </c>
      <c r="Z346" s="13" t="n"/>
    </row>
    <row r="347" ht="15.75" customHeight="1" s="74">
      <c r="A347" s="11" t="n">
        <v>347</v>
      </c>
      <c r="C347" s="11">
        <f t="array" ref="C347">IFERROR(INDEX(Milestones!$A:$A, MATCH($B347, Milestones!$B:$B, 0)), "")</f>
        <v/>
      </c>
      <c r="D347" s="11">
        <f t="array" ref="D347">IFERROR(INDEX(Milestones!$C:$C, MATCH($B347, Milestones!$B:$B, 0)), "")</f>
        <v/>
      </c>
      <c r="F347" s="11">
        <f t="array" ref="F347">IFERROR(INDEX(Milestones!$E:$E, MATCH($B347, Milestones!$B:$B, 0)), "")</f>
        <v/>
      </c>
      <c r="I347" s="11" t="n"/>
      <c r="J347" s="20" t="n"/>
      <c r="K347" s="11" t="n"/>
      <c r="L347" s="11">
        <f t="array" ref="L347">IF($K347="","", IFERROR(IFS($K347="Low", INDEX('Lookups - Complexity'!$C:$C, MATCH($B347, 'Lookups - Complexity'!$B:$B,0)), $K347="Medium", INDEX('Lookups - Complexity'!$D:$D, MATCH($B347, 'Lookups - Complexity'!$B:$B,0)), $K347="High", INDEX('Lookups - Complexity'!$E:$E, MATCH($B347, 'Lookups - Complexity'!$B:$B,0))), ""))</f>
        <v/>
      </c>
      <c r="M347" s="11">
        <f>IF($I347="FTE", Assumptions!$B$3, "")</f>
        <v/>
      </c>
      <c r="N347" s="11">
        <f t="array" ref="N347">IFERROR(INDEX(Milestones!$F:$F, MATCH($B347, Milestones!$B:$B, 0)), "")</f>
        <v/>
      </c>
      <c r="O347" s="11">
        <f t="array" ref="O347">IFERROR(INDEX(Milestones!$G:$G, MATCH($B347, Milestones!$B:$B, 0)), "")</f>
        <v/>
      </c>
      <c r="P347" s="11">
        <f t="array" ref="P347">IFERROR(INDEX('Lookups - Rates'!$D:$D, MATCH($G347&amp;"|"&amp;$H347, 'Lookups - Rates'!$Z:$Z, 0)), "")</f>
        <v/>
      </c>
      <c r="Q347" s="11">
        <f t="array" ref="Q347">IFERROR(INDEX('Lookups - Rates'!$E:$E, MATCH($G347&amp;"|"&amp;$H347, 'Lookups - Rates'!$Z:$Z, 0)), "")</f>
        <v/>
      </c>
      <c r="R347" s="11">
        <f>LET(ev,$J347, ch,$L347, hr,$P347, dr,$Q347, hpday,Assumptions!$B$2, hpw,Assumptions!$B$3, w,$M347, hrs, IF($I347="Hours", ev, IF($I347="Days", ev*IF(dr&gt;0, dr/hr, hpday), IF($I347="FTE", ev*hpw*w, ch))), IF(hrs="", "", hrs*hr))</f>
        <v/>
      </c>
      <c r="S347" s="13" t="n"/>
      <c r="T347" s="11">
        <f t="array" ref="T347">XLOOKUP(Scenario_Selected, INDEX(Scenario_Table,0,1), INDEX(Scenario_Table,0,2))</f>
        <v/>
      </c>
      <c r="U347" s="11">
        <f t="array" ref="U347">XLOOKUP(Scenario_Selected, INDEX(Scenario_Table,0,1), INDEX(Scenario_Table,0,3))</f>
        <v/>
      </c>
      <c r="V347" s="11">
        <f t="array" ref="V347">XLOOKUP(Scenario_Selected, INDEX(Scenario_Table,0,1), INDEX(Scenario_Table,0,4))</f>
        <v/>
      </c>
      <c r="W347" s="11">
        <f t="array" ref="W347">LET(ev,$J347, ch,$L347, et,$I347, dr,$Q347, hpday,Assumptions!$B$2, hpw,Assumptions!$B$3, w,$M347,hm,INDIRECT("R[0]C[0]",FALSE),hrs, IF(et="Hours", ev, IF(et="Days", ev*IF(dr&gt;0, dr/$P347, hpday), IF(et="FTE", ev*hpw*w, ch))), IF(hrs="", "", hrs*hm))</f>
        <v/>
      </c>
      <c r="X347" s="11">
        <f>IF($P347="","", $P347*INDIRECT("R[0]C[-3]",FALSE))</f>
        <v/>
      </c>
      <c r="Y347" s="11">
        <f>IF(INDIRECT("R[0]C[-1]",FALSE)="","", INDIRECT("R[0]C[-2]",FALSE)*INDIRECT("R[0]C[-1]",FALSE)*(1+INDIRECT("R[0]C[-3]",FALSE)))</f>
        <v/>
      </c>
      <c r="Z347" s="13" t="n"/>
    </row>
    <row r="348" ht="15.75" customHeight="1" s="74">
      <c r="A348" s="11" t="n">
        <v>348</v>
      </c>
      <c r="C348" s="11">
        <f t="array" ref="C348">IFERROR(INDEX(Milestones!$A:$A, MATCH($B348, Milestones!$B:$B, 0)), "")</f>
        <v/>
      </c>
      <c r="D348" s="11">
        <f t="array" ref="D348">IFERROR(INDEX(Milestones!$C:$C, MATCH($B348, Milestones!$B:$B, 0)), "")</f>
        <v/>
      </c>
      <c r="F348" s="11">
        <f t="array" ref="F348">IFERROR(INDEX(Milestones!$E:$E, MATCH($B348, Milestones!$B:$B, 0)), "")</f>
        <v/>
      </c>
      <c r="I348" s="11" t="n"/>
      <c r="J348" s="20" t="n"/>
      <c r="K348" s="11" t="n"/>
      <c r="L348" s="11">
        <f t="array" ref="L348">IF($K348="","", IFERROR(IFS($K348="Low", INDEX('Lookups - Complexity'!$C:$C, MATCH($B348, 'Lookups - Complexity'!$B:$B,0)), $K348="Medium", INDEX('Lookups - Complexity'!$D:$D, MATCH($B348, 'Lookups - Complexity'!$B:$B,0)), $K348="High", INDEX('Lookups - Complexity'!$E:$E, MATCH($B348, 'Lookups - Complexity'!$B:$B,0))), ""))</f>
        <v/>
      </c>
      <c r="M348" s="11">
        <f>IF($I348="FTE", Assumptions!$B$3, "")</f>
        <v/>
      </c>
      <c r="N348" s="11">
        <f t="array" ref="N348">IFERROR(INDEX(Milestones!$F:$F, MATCH($B348, Milestones!$B:$B, 0)), "")</f>
        <v/>
      </c>
      <c r="O348" s="11">
        <f t="array" ref="O348">IFERROR(INDEX(Milestones!$G:$G, MATCH($B348, Milestones!$B:$B, 0)), "")</f>
        <v/>
      </c>
      <c r="P348" s="11">
        <f t="array" ref="P348">IFERROR(INDEX('Lookups - Rates'!$D:$D, MATCH($G348&amp;"|"&amp;$H348, 'Lookups - Rates'!$Z:$Z, 0)), "")</f>
        <v/>
      </c>
      <c r="Q348" s="11">
        <f t="array" ref="Q348">IFERROR(INDEX('Lookups - Rates'!$E:$E, MATCH($G348&amp;"|"&amp;$H348, 'Lookups - Rates'!$Z:$Z, 0)), "")</f>
        <v/>
      </c>
      <c r="R348" s="11">
        <f>LET(ev,$J348, ch,$L348, hr,$P348, dr,$Q348, hpday,Assumptions!$B$2, hpw,Assumptions!$B$3, w,$M348, hrs, IF($I348="Hours", ev, IF($I348="Days", ev*IF(dr&gt;0, dr/hr, hpday), IF($I348="FTE", ev*hpw*w, ch))), IF(hrs="", "", hrs*hr))</f>
        <v/>
      </c>
      <c r="S348" s="13" t="n"/>
      <c r="T348" s="11">
        <f t="array" ref="T348">XLOOKUP(Scenario_Selected, INDEX(Scenario_Table,0,1), INDEX(Scenario_Table,0,2))</f>
        <v/>
      </c>
      <c r="U348" s="11">
        <f t="array" ref="U348">XLOOKUP(Scenario_Selected, INDEX(Scenario_Table,0,1), INDEX(Scenario_Table,0,3))</f>
        <v/>
      </c>
      <c r="V348" s="11">
        <f t="array" ref="V348">XLOOKUP(Scenario_Selected, INDEX(Scenario_Table,0,1), INDEX(Scenario_Table,0,4))</f>
        <v/>
      </c>
      <c r="W348" s="11">
        <f t="array" ref="W348">LET(ev,$J348, ch,$L348, et,$I348, dr,$Q348, hpday,Assumptions!$B$2, hpw,Assumptions!$B$3, w,$M348,hm,INDIRECT("R[0]C[0]",FALSE),hrs, IF(et="Hours", ev, IF(et="Days", ev*IF(dr&gt;0, dr/$P348, hpday), IF(et="FTE", ev*hpw*w, ch))), IF(hrs="", "", hrs*hm))</f>
        <v/>
      </c>
      <c r="X348" s="11">
        <f>IF($P348="","", $P348*INDIRECT("R[0]C[-3]",FALSE))</f>
        <v/>
      </c>
      <c r="Y348" s="11">
        <f>IF(INDIRECT("R[0]C[-1]",FALSE)="","", INDIRECT("R[0]C[-2]",FALSE)*INDIRECT("R[0]C[-1]",FALSE)*(1+INDIRECT("R[0]C[-3]",FALSE)))</f>
        <v/>
      </c>
      <c r="Z348" s="13" t="n"/>
    </row>
    <row r="349" ht="15.75" customHeight="1" s="74">
      <c r="A349" s="11" t="n">
        <v>349</v>
      </c>
      <c r="C349" s="11">
        <f t="array" ref="C349">IFERROR(INDEX(Milestones!$A:$A, MATCH($B349, Milestones!$B:$B, 0)), "")</f>
        <v/>
      </c>
      <c r="D349" s="11">
        <f t="array" ref="D349">IFERROR(INDEX(Milestones!$C:$C, MATCH($B349, Milestones!$B:$B, 0)), "")</f>
        <v/>
      </c>
      <c r="F349" s="11">
        <f t="array" ref="F349">IFERROR(INDEX(Milestones!$E:$E, MATCH($B349, Milestones!$B:$B, 0)), "")</f>
        <v/>
      </c>
      <c r="I349" s="11" t="n"/>
      <c r="J349" s="20" t="n"/>
      <c r="K349" s="11" t="n"/>
      <c r="L349" s="11">
        <f t="array" ref="L349">IF($K349="","", IFERROR(IFS($K349="Low", INDEX('Lookups - Complexity'!$C:$C, MATCH($B349, 'Lookups - Complexity'!$B:$B,0)), $K349="Medium", INDEX('Lookups - Complexity'!$D:$D, MATCH($B349, 'Lookups - Complexity'!$B:$B,0)), $K349="High", INDEX('Lookups - Complexity'!$E:$E, MATCH($B349, 'Lookups - Complexity'!$B:$B,0))), ""))</f>
        <v/>
      </c>
      <c r="M349" s="11">
        <f>IF($I349="FTE", Assumptions!$B$3, "")</f>
        <v/>
      </c>
      <c r="N349" s="11">
        <f t="array" ref="N349">IFERROR(INDEX(Milestones!$F:$F, MATCH($B349, Milestones!$B:$B, 0)), "")</f>
        <v/>
      </c>
      <c r="O349" s="11">
        <f t="array" ref="O349">IFERROR(INDEX(Milestones!$G:$G, MATCH($B349, Milestones!$B:$B, 0)), "")</f>
        <v/>
      </c>
      <c r="P349" s="11">
        <f t="array" ref="P349">IFERROR(INDEX('Lookups - Rates'!$D:$D, MATCH($G349&amp;"|"&amp;$H349, 'Lookups - Rates'!$Z:$Z, 0)), "")</f>
        <v/>
      </c>
      <c r="Q349" s="11">
        <f t="array" ref="Q349">IFERROR(INDEX('Lookups - Rates'!$E:$E, MATCH($G349&amp;"|"&amp;$H349, 'Lookups - Rates'!$Z:$Z, 0)), "")</f>
        <v/>
      </c>
      <c r="R349" s="11">
        <f>LET(ev,$J349, ch,$L349, hr,$P349, dr,$Q349, hpday,Assumptions!$B$2, hpw,Assumptions!$B$3, w,$M349, hrs, IF($I349="Hours", ev, IF($I349="Days", ev*IF(dr&gt;0, dr/hr, hpday), IF($I349="FTE", ev*hpw*w, ch))), IF(hrs="", "", hrs*hr))</f>
        <v/>
      </c>
      <c r="S349" s="13" t="n"/>
      <c r="T349" s="11">
        <f t="array" ref="T349">XLOOKUP(Scenario_Selected, INDEX(Scenario_Table,0,1), INDEX(Scenario_Table,0,2))</f>
        <v/>
      </c>
      <c r="U349" s="11">
        <f t="array" ref="U349">XLOOKUP(Scenario_Selected, INDEX(Scenario_Table,0,1), INDEX(Scenario_Table,0,3))</f>
        <v/>
      </c>
      <c r="V349" s="11">
        <f t="array" ref="V349">XLOOKUP(Scenario_Selected, INDEX(Scenario_Table,0,1), INDEX(Scenario_Table,0,4))</f>
        <v/>
      </c>
      <c r="W349" s="11">
        <f t="array" ref="W349">LET(ev,$J349, ch,$L349, et,$I349, dr,$Q349, hpday,Assumptions!$B$2, hpw,Assumptions!$B$3, w,$M349,hm,INDIRECT("R[0]C[0]",FALSE),hrs, IF(et="Hours", ev, IF(et="Days", ev*IF(dr&gt;0, dr/$P349, hpday), IF(et="FTE", ev*hpw*w, ch))), IF(hrs="", "", hrs*hm))</f>
        <v/>
      </c>
      <c r="X349" s="11">
        <f>IF($P349="","", $P349*INDIRECT("R[0]C[-3]",FALSE))</f>
        <v/>
      </c>
      <c r="Y349" s="11">
        <f>IF(INDIRECT("R[0]C[-1]",FALSE)="","", INDIRECT("R[0]C[-2]",FALSE)*INDIRECT("R[0]C[-1]",FALSE)*(1+INDIRECT("R[0]C[-3]",FALSE)))</f>
        <v/>
      </c>
      <c r="Z349" s="13" t="n"/>
    </row>
    <row r="350" ht="15.75" customHeight="1" s="74">
      <c r="A350" s="11" t="n">
        <v>350</v>
      </c>
      <c r="C350" s="11">
        <f t="array" ref="C350">IFERROR(INDEX(Milestones!$A:$A, MATCH($B350, Milestones!$B:$B, 0)), "")</f>
        <v/>
      </c>
      <c r="D350" s="11">
        <f t="array" ref="D350">IFERROR(INDEX(Milestones!$C:$C, MATCH($B350, Milestones!$B:$B, 0)), "")</f>
        <v/>
      </c>
      <c r="F350" s="11">
        <f t="array" ref="F350">IFERROR(INDEX(Milestones!$E:$E, MATCH($B350, Milestones!$B:$B, 0)), "")</f>
        <v/>
      </c>
      <c r="I350" s="11" t="n"/>
      <c r="J350" s="20" t="n"/>
      <c r="K350" s="11" t="n"/>
      <c r="L350" s="11">
        <f t="array" ref="L350">IF($K350="","", IFERROR(IFS($K350="Low", INDEX('Lookups - Complexity'!$C:$C, MATCH($B350, 'Lookups - Complexity'!$B:$B,0)), $K350="Medium", INDEX('Lookups - Complexity'!$D:$D, MATCH($B350, 'Lookups - Complexity'!$B:$B,0)), $K350="High", INDEX('Lookups - Complexity'!$E:$E, MATCH($B350, 'Lookups - Complexity'!$B:$B,0))), ""))</f>
        <v/>
      </c>
      <c r="M350" s="11">
        <f>IF($I350="FTE", Assumptions!$B$3, "")</f>
        <v/>
      </c>
      <c r="N350" s="11">
        <f t="array" ref="N350">IFERROR(INDEX(Milestones!$F:$F, MATCH($B350, Milestones!$B:$B, 0)), "")</f>
        <v/>
      </c>
      <c r="O350" s="11">
        <f t="array" ref="O350">IFERROR(INDEX(Milestones!$G:$G, MATCH($B350, Milestones!$B:$B, 0)), "")</f>
        <v/>
      </c>
      <c r="P350" s="11">
        <f t="array" ref="P350">IFERROR(INDEX('Lookups - Rates'!$D:$D, MATCH($G350&amp;"|"&amp;$H350, 'Lookups - Rates'!$Z:$Z, 0)), "")</f>
        <v/>
      </c>
      <c r="Q350" s="11">
        <f t="array" ref="Q350">IFERROR(INDEX('Lookups - Rates'!$E:$E, MATCH($G350&amp;"|"&amp;$H350, 'Lookups - Rates'!$Z:$Z, 0)), "")</f>
        <v/>
      </c>
      <c r="R350" s="11">
        <f>LET(ev,$J350, ch,$L350, hr,$P350, dr,$Q350, hpday,Assumptions!$B$2, hpw,Assumptions!$B$3, w,$M350, hrs, IF($I350="Hours", ev, IF($I350="Days", ev*IF(dr&gt;0, dr/hr, hpday), IF($I350="FTE", ev*hpw*w, ch))), IF(hrs="", "", hrs*hr))</f>
        <v/>
      </c>
      <c r="S350" s="13" t="n"/>
      <c r="T350" s="11">
        <f t="array" ref="T350">XLOOKUP(Scenario_Selected, INDEX(Scenario_Table,0,1), INDEX(Scenario_Table,0,2))</f>
        <v/>
      </c>
      <c r="U350" s="11">
        <f t="array" ref="U350">XLOOKUP(Scenario_Selected, INDEX(Scenario_Table,0,1), INDEX(Scenario_Table,0,3))</f>
        <v/>
      </c>
      <c r="V350" s="11">
        <f t="array" ref="V350">XLOOKUP(Scenario_Selected, INDEX(Scenario_Table,0,1), INDEX(Scenario_Table,0,4))</f>
        <v/>
      </c>
      <c r="W350" s="11">
        <f t="array" ref="W350">LET(ev,$J350, ch,$L350, et,$I350, dr,$Q350, hpday,Assumptions!$B$2, hpw,Assumptions!$B$3, w,$M350,hm,INDIRECT("R[0]C[0]",FALSE),hrs, IF(et="Hours", ev, IF(et="Days", ev*IF(dr&gt;0, dr/$P350, hpday), IF(et="FTE", ev*hpw*w, ch))), IF(hrs="", "", hrs*hm))</f>
        <v/>
      </c>
      <c r="X350" s="11">
        <f>IF($P350="","", $P350*INDIRECT("R[0]C[-3]",FALSE))</f>
        <v/>
      </c>
      <c r="Y350" s="11">
        <f>IF(INDIRECT("R[0]C[-1]",FALSE)="","", INDIRECT("R[0]C[-2]",FALSE)*INDIRECT("R[0]C[-1]",FALSE)*(1+INDIRECT("R[0]C[-3]",FALSE)))</f>
        <v/>
      </c>
      <c r="Z350" s="13" t="n"/>
    </row>
    <row r="351" ht="15.75" customHeight="1" s="74">
      <c r="A351" s="11" t="n">
        <v>351</v>
      </c>
      <c r="C351" s="11">
        <f t="array" ref="C351">IFERROR(INDEX(Milestones!$A:$A, MATCH($B351, Milestones!$B:$B, 0)), "")</f>
        <v/>
      </c>
      <c r="D351" s="11">
        <f t="array" ref="D351">IFERROR(INDEX(Milestones!$C:$C, MATCH($B351, Milestones!$B:$B, 0)), "")</f>
        <v/>
      </c>
      <c r="F351" s="11">
        <f t="array" ref="F351">IFERROR(INDEX(Milestones!$E:$E, MATCH($B351, Milestones!$B:$B, 0)), "")</f>
        <v/>
      </c>
      <c r="I351" s="11" t="n"/>
      <c r="J351" s="20" t="n"/>
      <c r="K351" s="11" t="n"/>
      <c r="L351" s="11">
        <f t="array" ref="L351">IF($K351="","", IFERROR(IFS($K351="Low", INDEX('Lookups - Complexity'!$C:$C, MATCH($B351, 'Lookups - Complexity'!$B:$B,0)), $K351="Medium", INDEX('Lookups - Complexity'!$D:$D, MATCH($B351, 'Lookups - Complexity'!$B:$B,0)), $K351="High", INDEX('Lookups - Complexity'!$E:$E, MATCH($B351, 'Lookups - Complexity'!$B:$B,0))), ""))</f>
        <v/>
      </c>
      <c r="M351" s="11">
        <f>IF($I351="FTE", Assumptions!$B$3, "")</f>
        <v/>
      </c>
      <c r="N351" s="11">
        <f t="array" ref="N351">IFERROR(INDEX(Milestones!$F:$F, MATCH($B351, Milestones!$B:$B, 0)), "")</f>
        <v/>
      </c>
      <c r="O351" s="11">
        <f t="array" ref="O351">IFERROR(INDEX(Milestones!$G:$G, MATCH($B351, Milestones!$B:$B, 0)), "")</f>
        <v/>
      </c>
      <c r="P351" s="11">
        <f t="array" ref="P351">IFERROR(INDEX('Lookups - Rates'!$D:$D, MATCH($G351&amp;"|"&amp;$H351, 'Lookups - Rates'!$Z:$Z, 0)), "")</f>
        <v/>
      </c>
      <c r="Q351" s="11">
        <f t="array" ref="Q351">IFERROR(INDEX('Lookups - Rates'!$E:$E, MATCH($G351&amp;"|"&amp;$H351, 'Lookups - Rates'!$Z:$Z, 0)), "")</f>
        <v/>
      </c>
      <c r="R351" s="11">
        <f>LET(ev,$J351, ch,$L351, hr,$P351, dr,$Q351, hpday,Assumptions!$B$2, hpw,Assumptions!$B$3, w,$M351, hrs, IF($I351="Hours", ev, IF($I351="Days", ev*IF(dr&gt;0, dr/hr, hpday), IF($I351="FTE", ev*hpw*w, ch))), IF(hrs="", "", hrs*hr))</f>
        <v/>
      </c>
      <c r="S351" s="13" t="n"/>
      <c r="T351" s="11">
        <f t="array" ref="T351">XLOOKUP(Scenario_Selected, INDEX(Scenario_Table,0,1), INDEX(Scenario_Table,0,2))</f>
        <v/>
      </c>
      <c r="U351" s="11">
        <f t="array" ref="U351">XLOOKUP(Scenario_Selected, INDEX(Scenario_Table,0,1), INDEX(Scenario_Table,0,3))</f>
        <v/>
      </c>
      <c r="V351" s="11">
        <f t="array" ref="V351">XLOOKUP(Scenario_Selected, INDEX(Scenario_Table,0,1), INDEX(Scenario_Table,0,4))</f>
        <v/>
      </c>
      <c r="W351" s="11">
        <f t="array" ref="W351">LET(ev,$J351, ch,$L351, et,$I351, dr,$Q351, hpday,Assumptions!$B$2, hpw,Assumptions!$B$3, w,$M351,hm,INDIRECT("R[0]C[0]",FALSE),hrs, IF(et="Hours", ev, IF(et="Days", ev*IF(dr&gt;0, dr/$P351, hpday), IF(et="FTE", ev*hpw*w, ch))), IF(hrs="", "", hrs*hm))</f>
        <v/>
      </c>
      <c r="X351" s="11">
        <f>IF($P351="","", $P351*INDIRECT("R[0]C[-3]",FALSE))</f>
        <v/>
      </c>
      <c r="Y351" s="11">
        <f>IF(INDIRECT("R[0]C[-1]",FALSE)="","", INDIRECT("R[0]C[-2]",FALSE)*INDIRECT("R[0]C[-1]",FALSE)*(1+INDIRECT("R[0]C[-3]",FALSE)))</f>
        <v/>
      </c>
      <c r="Z351" s="13" t="n"/>
    </row>
    <row r="352" ht="15.75" customHeight="1" s="74">
      <c r="A352" s="11" t="n">
        <v>352</v>
      </c>
      <c r="C352" s="11">
        <f t="array" ref="C352">IFERROR(INDEX(Milestones!$A:$A, MATCH($B352, Milestones!$B:$B, 0)), "")</f>
        <v/>
      </c>
      <c r="D352" s="11">
        <f t="array" ref="D352">IFERROR(INDEX(Milestones!$C:$C, MATCH($B352, Milestones!$B:$B, 0)), "")</f>
        <v/>
      </c>
      <c r="F352" s="11">
        <f t="array" ref="F352">IFERROR(INDEX(Milestones!$E:$E, MATCH($B352, Milestones!$B:$B, 0)), "")</f>
        <v/>
      </c>
      <c r="I352" s="11" t="n"/>
      <c r="J352" s="20" t="n"/>
      <c r="K352" s="11" t="n"/>
      <c r="L352" s="11">
        <f t="array" ref="L352">IF($K352="","", IFERROR(IFS($K352="Low", INDEX('Lookups - Complexity'!$C:$C, MATCH($B352, 'Lookups - Complexity'!$B:$B,0)), $K352="Medium", INDEX('Lookups - Complexity'!$D:$D, MATCH($B352, 'Lookups - Complexity'!$B:$B,0)), $K352="High", INDEX('Lookups - Complexity'!$E:$E, MATCH($B352, 'Lookups - Complexity'!$B:$B,0))), ""))</f>
        <v/>
      </c>
      <c r="M352" s="11">
        <f>IF($I352="FTE", Assumptions!$B$3, "")</f>
        <v/>
      </c>
      <c r="N352" s="11">
        <f t="array" ref="N352">IFERROR(INDEX(Milestones!$F:$F, MATCH($B352, Milestones!$B:$B, 0)), "")</f>
        <v/>
      </c>
      <c r="O352" s="11">
        <f t="array" ref="O352">IFERROR(INDEX(Milestones!$G:$G, MATCH($B352, Milestones!$B:$B, 0)), "")</f>
        <v/>
      </c>
      <c r="P352" s="11">
        <f t="array" ref="P352">IFERROR(INDEX('Lookups - Rates'!$D:$D, MATCH($G352&amp;"|"&amp;$H352, 'Lookups - Rates'!$Z:$Z, 0)), "")</f>
        <v/>
      </c>
      <c r="Q352" s="11">
        <f t="array" ref="Q352">IFERROR(INDEX('Lookups - Rates'!$E:$E, MATCH($G352&amp;"|"&amp;$H352, 'Lookups - Rates'!$Z:$Z, 0)), "")</f>
        <v/>
      </c>
      <c r="R352" s="11">
        <f>LET(ev,$J352, ch,$L352, hr,$P352, dr,$Q352, hpday,Assumptions!$B$2, hpw,Assumptions!$B$3, w,$M352, hrs, IF($I352="Hours", ev, IF($I352="Days", ev*IF(dr&gt;0, dr/hr, hpday), IF($I352="FTE", ev*hpw*w, ch))), IF(hrs="", "", hrs*hr))</f>
        <v/>
      </c>
      <c r="S352" s="13" t="n"/>
      <c r="T352" s="11">
        <f t="array" ref="T352">XLOOKUP(Scenario_Selected, INDEX(Scenario_Table,0,1), INDEX(Scenario_Table,0,2))</f>
        <v/>
      </c>
      <c r="U352" s="11">
        <f t="array" ref="U352">XLOOKUP(Scenario_Selected, INDEX(Scenario_Table,0,1), INDEX(Scenario_Table,0,3))</f>
        <v/>
      </c>
      <c r="V352" s="11">
        <f t="array" ref="V352">XLOOKUP(Scenario_Selected, INDEX(Scenario_Table,0,1), INDEX(Scenario_Table,0,4))</f>
        <v/>
      </c>
      <c r="W352" s="11">
        <f t="array" ref="W352">LET(ev,$J352, ch,$L352, et,$I352, dr,$Q352, hpday,Assumptions!$B$2, hpw,Assumptions!$B$3, w,$M352,hm,INDIRECT("R[0]C[0]",FALSE),hrs, IF(et="Hours", ev, IF(et="Days", ev*IF(dr&gt;0, dr/$P352, hpday), IF(et="FTE", ev*hpw*w, ch))), IF(hrs="", "", hrs*hm))</f>
        <v/>
      </c>
      <c r="X352" s="11">
        <f>IF($P352="","", $P352*INDIRECT("R[0]C[-3]",FALSE))</f>
        <v/>
      </c>
      <c r="Y352" s="11">
        <f>IF(INDIRECT("R[0]C[-1]",FALSE)="","", INDIRECT("R[0]C[-2]",FALSE)*INDIRECT("R[0]C[-1]",FALSE)*(1+INDIRECT("R[0]C[-3]",FALSE)))</f>
        <v/>
      </c>
      <c r="Z352" s="13" t="n"/>
    </row>
    <row r="353" ht="15.75" customHeight="1" s="74">
      <c r="A353" s="11" t="n">
        <v>353</v>
      </c>
      <c r="C353" s="11">
        <f t="array" ref="C353">IFERROR(INDEX(Milestones!$A:$A, MATCH($B353, Milestones!$B:$B, 0)), "")</f>
        <v/>
      </c>
      <c r="D353" s="11">
        <f t="array" ref="D353">IFERROR(INDEX(Milestones!$C:$C, MATCH($B353, Milestones!$B:$B, 0)), "")</f>
        <v/>
      </c>
      <c r="F353" s="11">
        <f t="array" ref="F353">IFERROR(INDEX(Milestones!$E:$E, MATCH($B353, Milestones!$B:$B, 0)), "")</f>
        <v/>
      </c>
      <c r="I353" s="11" t="n"/>
      <c r="J353" s="20" t="n"/>
      <c r="K353" s="11" t="n"/>
      <c r="L353" s="11">
        <f t="array" ref="L353">IF($K353="","", IFERROR(IFS($K353="Low", INDEX('Lookups - Complexity'!$C:$C, MATCH($B353, 'Lookups - Complexity'!$B:$B,0)), $K353="Medium", INDEX('Lookups - Complexity'!$D:$D, MATCH($B353, 'Lookups - Complexity'!$B:$B,0)), $K353="High", INDEX('Lookups - Complexity'!$E:$E, MATCH($B353, 'Lookups - Complexity'!$B:$B,0))), ""))</f>
        <v/>
      </c>
      <c r="M353" s="11">
        <f>IF($I353="FTE", Assumptions!$B$3, "")</f>
        <v/>
      </c>
      <c r="N353" s="11">
        <f t="array" ref="N353">IFERROR(INDEX(Milestones!$F:$F, MATCH($B353, Milestones!$B:$B, 0)), "")</f>
        <v/>
      </c>
      <c r="O353" s="11">
        <f t="array" ref="O353">IFERROR(INDEX(Milestones!$G:$G, MATCH($B353, Milestones!$B:$B, 0)), "")</f>
        <v/>
      </c>
      <c r="P353" s="11">
        <f t="array" ref="P353">IFERROR(INDEX('Lookups - Rates'!$D:$D, MATCH($G353&amp;"|"&amp;$H353, 'Lookups - Rates'!$Z:$Z, 0)), "")</f>
        <v/>
      </c>
      <c r="Q353" s="11">
        <f t="array" ref="Q353">IFERROR(INDEX('Lookups - Rates'!$E:$E, MATCH($G353&amp;"|"&amp;$H353, 'Lookups - Rates'!$Z:$Z, 0)), "")</f>
        <v/>
      </c>
      <c r="R353" s="11">
        <f>LET(ev,$J353, ch,$L353, hr,$P353, dr,$Q353, hpday,Assumptions!$B$2, hpw,Assumptions!$B$3, w,$M353, hrs, IF($I353="Hours", ev, IF($I353="Days", ev*IF(dr&gt;0, dr/hr, hpday), IF($I353="FTE", ev*hpw*w, ch))), IF(hrs="", "", hrs*hr))</f>
        <v/>
      </c>
      <c r="S353" s="13" t="n"/>
      <c r="T353" s="11">
        <f t="array" ref="T353">XLOOKUP(Scenario_Selected, INDEX(Scenario_Table,0,1), INDEX(Scenario_Table,0,2))</f>
        <v/>
      </c>
      <c r="U353" s="11">
        <f t="array" ref="U353">XLOOKUP(Scenario_Selected, INDEX(Scenario_Table,0,1), INDEX(Scenario_Table,0,3))</f>
        <v/>
      </c>
      <c r="V353" s="11">
        <f t="array" ref="V353">XLOOKUP(Scenario_Selected, INDEX(Scenario_Table,0,1), INDEX(Scenario_Table,0,4))</f>
        <v/>
      </c>
      <c r="W353" s="11">
        <f t="array" ref="W353">LET(ev,$J353, ch,$L353, et,$I353, dr,$Q353, hpday,Assumptions!$B$2, hpw,Assumptions!$B$3, w,$M353,hm,INDIRECT("R[0]C[0]",FALSE),hrs, IF(et="Hours", ev, IF(et="Days", ev*IF(dr&gt;0, dr/$P353, hpday), IF(et="FTE", ev*hpw*w, ch))), IF(hrs="", "", hrs*hm))</f>
        <v/>
      </c>
      <c r="X353" s="11">
        <f>IF($P353="","", $P353*INDIRECT("R[0]C[-3]",FALSE))</f>
        <v/>
      </c>
      <c r="Y353" s="11">
        <f>IF(INDIRECT("R[0]C[-1]",FALSE)="","", INDIRECT("R[0]C[-2]",FALSE)*INDIRECT("R[0]C[-1]",FALSE)*(1+INDIRECT("R[0]C[-3]",FALSE)))</f>
        <v/>
      </c>
      <c r="Z353" s="13" t="n"/>
    </row>
    <row r="354" ht="15.75" customHeight="1" s="74">
      <c r="A354" s="11" t="n">
        <v>354</v>
      </c>
      <c r="C354" s="11">
        <f t="array" ref="C354">IFERROR(INDEX(Milestones!$A:$A, MATCH($B354, Milestones!$B:$B, 0)), "")</f>
        <v/>
      </c>
      <c r="D354" s="11">
        <f t="array" ref="D354">IFERROR(INDEX(Milestones!$C:$C, MATCH($B354, Milestones!$B:$B, 0)), "")</f>
        <v/>
      </c>
      <c r="F354" s="11">
        <f t="array" ref="F354">IFERROR(INDEX(Milestones!$E:$E, MATCH($B354, Milestones!$B:$B, 0)), "")</f>
        <v/>
      </c>
      <c r="I354" s="11" t="n"/>
      <c r="J354" s="20" t="n"/>
      <c r="K354" s="11" t="n"/>
      <c r="L354" s="11">
        <f t="array" ref="L354">IF($K354="","", IFERROR(IFS($K354="Low", INDEX('Lookups - Complexity'!$C:$C, MATCH($B354, 'Lookups - Complexity'!$B:$B,0)), $K354="Medium", INDEX('Lookups - Complexity'!$D:$D, MATCH($B354, 'Lookups - Complexity'!$B:$B,0)), $K354="High", INDEX('Lookups - Complexity'!$E:$E, MATCH($B354, 'Lookups - Complexity'!$B:$B,0))), ""))</f>
        <v/>
      </c>
      <c r="M354" s="11">
        <f>IF($I354="FTE", Assumptions!$B$3, "")</f>
        <v/>
      </c>
      <c r="N354" s="11">
        <f t="array" ref="N354">IFERROR(INDEX(Milestones!$F:$F, MATCH($B354, Milestones!$B:$B, 0)), "")</f>
        <v/>
      </c>
      <c r="O354" s="11">
        <f t="array" ref="O354">IFERROR(INDEX(Milestones!$G:$G, MATCH($B354, Milestones!$B:$B, 0)), "")</f>
        <v/>
      </c>
      <c r="P354" s="11">
        <f t="array" ref="P354">IFERROR(INDEX('Lookups - Rates'!$D:$D, MATCH($G354&amp;"|"&amp;$H354, 'Lookups - Rates'!$Z:$Z, 0)), "")</f>
        <v/>
      </c>
      <c r="Q354" s="11">
        <f t="array" ref="Q354">IFERROR(INDEX('Lookups - Rates'!$E:$E, MATCH($G354&amp;"|"&amp;$H354, 'Lookups - Rates'!$Z:$Z, 0)), "")</f>
        <v/>
      </c>
      <c r="R354" s="11">
        <f>LET(ev,$J354, ch,$L354, hr,$P354, dr,$Q354, hpday,Assumptions!$B$2, hpw,Assumptions!$B$3, w,$M354, hrs, IF($I354="Hours", ev, IF($I354="Days", ev*IF(dr&gt;0, dr/hr, hpday), IF($I354="FTE", ev*hpw*w, ch))), IF(hrs="", "", hrs*hr))</f>
        <v/>
      </c>
      <c r="S354" s="13" t="n"/>
      <c r="T354" s="11">
        <f t="array" ref="T354">XLOOKUP(Scenario_Selected, INDEX(Scenario_Table,0,1), INDEX(Scenario_Table,0,2))</f>
        <v/>
      </c>
      <c r="U354" s="11">
        <f t="array" ref="U354">XLOOKUP(Scenario_Selected, INDEX(Scenario_Table,0,1), INDEX(Scenario_Table,0,3))</f>
        <v/>
      </c>
      <c r="V354" s="11">
        <f t="array" ref="V354">XLOOKUP(Scenario_Selected, INDEX(Scenario_Table,0,1), INDEX(Scenario_Table,0,4))</f>
        <v/>
      </c>
      <c r="W354" s="11">
        <f t="array" ref="W354">LET(ev,$J354, ch,$L354, et,$I354, dr,$Q354, hpday,Assumptions!$B$2, hpw,Assumptions!$B$3, w,$M354,hm,INDIRECT("R[0]C[0]",FALSE),hrs, IF(et="Hours", ev, IF(et="Days", ev*IF(dr&gt;0, dr/$P354, hpday), IF(et="FTE", ev*hpw*w, ch))), IF(hrs="", "", hrs*hm))</f>
        <v/>
      </c>
      <c r="X354" s="11">
        <f>IF($P354="","", $P354*INDIRECT("R[0]C[-3]",FALSE))</f>
        <v/>
      </c>
      <c r="Y354" s="11">
        <f>IF(INDIRECT("R[0]C[-1]",FALSE)="","", INDIRECT("R[0]C[-2]",FALSE)*INDIRECT("R[0]C[-1]",FALSE)*(1+INDIRECT("R[0]C[-3]",FALSE)))</f>
        <v/>
      </c>
      <c r="Z354" s="13" t="n"/>
    </row>
    <row r="355" ht="15.75" customHeight="1" s="74">
      <c r="A355" s="11" t="n">
        <v>355</v>
      </c>
      <c r="C355" s="11">
        <f t="array" ref="C355">IFERROR(INDEX(Milestones!$A:$A, MATCH($B355, Milestones!$B:$B, 0)), "")</f>
        <v/>
      </c>
      <c r="D355" s="11">
        <f t="array" ref="D355">IFERROR(INDEX(Milestones!$C:$C, MATCH($B355, Milestones!$B:$B, 0)), "")</f>
        <v/>
      </c>
      <c r="F355" s="11">
        <f t="array" ref="F355">IFERROR(INDEX(Milestones!$E:$E, MATCH($B355, Milestones!$B:$B, 0)), "")</f>
        <v/>
      </c>
      <c r="I355" s="11" t="n"/>
      <c r="J355" s="20" t="n"/>
      <c r="K355" s="11" t="n"/>
      <c r="L355" s="11">
        <f t="array" ref="L355">IF($K355="","", IFERROR(IFS($K355="Low", INDEX('Lookups - Complexity'!$C:$C, MATCH($B355, 'Lookups - Complexity'!$B:$B,0)), $K355="Medium", INDEX('Lookups - Complexity'!$D:$D, MATCH($B355, 'Lookups - Complexity'!$B:$B,0)), $K355="High", INDEX('Lookups - Complexity'!$E:$E, MATCH($B355, 'Lookups - Complexity'!$B:$B,0))), ""))</f>
        <v/>
      </c>
      <c r="M355" s="11">
        <f>IF($I355="FTE", Assumptions!$B$3, "")</f>
        <v/>
      </c>
      <c r="N355" s="11">
        <f t="array" ref="N355">IFERROR(INDEX(Milestones!$F:$F, MATCH($B355, Milestones!$B:$B, 0)), "")</f>
        <v/>
      </c>
      <c r="O355" s="11">
        <f t="array" ref="O355">IFERROR(INDEX(Milestones!$G:$G, MATCH($B355, Milestones!$B:$B, 0)), "")</f>
        <v/>
      </c>
      <c r="P355" s="11">
        <f t="array" ref="P355">IFERROR(INDEX('Lookups - Rates'!$D:$D, MATCH($G355&amp;"|"&amp;$H355, 'Lookups - Rates'!$Z:$Z, 0)), "")</f>
        <v/>
      </c>
      <c r="Q355" s="11">
        <f t="array" ref="Q355">IFERROR(INDEX('Lookups - Rates'!$E:$E, MATCH($G355&amp;"|"&amp;$H355, 'Lookups - Rates'!$Z:$Z, 0)), "")</f>
        <v/>
      </c>
      <c r="R355" s="11">
        <f>LET(ev,$J355, ch,$L355, hr,$P355, dr,$Q355, hpday,Assumptions!$B$2, hpw,Assumptions!$B$3, w,$M355, hrs, IF($I355="Hours", ev, IF($I355="Days", ev*IF(dr&gt;0, dr/hr, hpday), IF($I355="FTE", ev*hpw*w, ch))), IF(hrs="", "", hrs*hr))</f>
        <v/>
      </c>
      <c r="S355" s="13" t="n"/>
      <c r="T355" s="11">
        <f t="array" ref="T355">XLOOKUP(Scenario_Selected, INDEX(Scenario_Table,0,1), INDEX(Scenario_Table,0,2))</f>
        <v/>
      </c>
      <c r="U355" s="11">
        <f t="array" ref="U355">XLOOKUP(Scenario_Selected, INDEX(Scenario_Table,0,1), INDEX(Scenario_Table,0,3))</f>
        <v/>
      </c>
      <c r="V355" s="11">
        <f t="array" ref="V355">XLOOKUP(Scenario_Selected, INDEX(Scenario_Table,0,1), INDEX(Scenario_Table,0,4))</f>
        <v/>
      </c>
      <c r="W355" s="11">
        <f t="array" ref="W355">LET(ev,$J355, ch,$L355, et,$I355, dr,$Q355, hpday,Assumptions!$B$2, hpw,Assumptions!$B$3, w,$M355,hm,INDIRECT("R[0]C[0]",FALSE),hrs, IF(et="Hours", ev, IF(et="Days", ev*IF(dr&gt;0, dr/$P355, hpday), IF(et="FTE", ev*hpw*w, ch))), IF(hrs="", "", hrs*hm))</f>
        <v/>
      </c>
      <c r="X355" s="11">
        <f>IF($P355="","", $P355*INDIRECT("R[0]C[-3]",FALSE))</f>
        <v/>
      </c>
      <c r="Y355" s="11">
        <f>IF(INDIRECT("R[0]C[-1]",FALSE)="","", INDIRECT("R[0]C[-2]",FALSE)*INDIRECT("R[0]C[-1]",FALSE)*(1+INDIRECT("R[0]C[-3]",FALSE)))</f>
        <v/>
      </c>
      <c r="Z355" s="13" t="n"/>
    </row>
    <row r="356" ht="15.75" customHeight="1" s="74">
      <c r="A356" s="11" t="n">
        <v>356</v>
      </c>
      <c r="C356" s="11">
        <f t="array" ref="C356">IFERROR(INDEX(Milestones!$A:$A, MATCH($B356, Milestones!$B:$B, 0)), "")</f>
        <v/>
      </c>
      <c r="D356" s="11">
        <f t="array" ref="D356">IFERROR(INDEX(Milestones!$C:$C, MATCH($B356, Milestones!$B:$B, 0)), "")</f>
        <v/>
      </c>
      <c r="F356" s="11">
        <f t="array" ref="F356">IFERROR(INDEX(Milestones!$E:$E, MATCH($B356, Milestones!$B:$B, 0)), "")</f>
        <v/>
      </c>
      <c r="I356" s="11" t="n"/>
      <c r="J356" s="20" t="n"/>
      <c r="K356" s="11" t="n"/>
      <c r="L356" s="11">
        <f t="array" ref="L356">IF($K356="","", IFERROR(IFS($K356="Low", INDEX('Lookups - Complexity'!$C:$C, MATCH($B356, 'Lookups - Complexity'!$B:$B,0)), $K356="Medium", INDEX('Lookups - Complexity'!$D:$D, MATCH($B356, 'Lookups - Complexity'!$B:$B,0)), $K356="High", INDEX('Lookups - Complexity'!$E:$E, MATCH($B356, 'Lookups - Complexity'!$B:$B,0))), ""))</f>
        <v/>
      </c>
      <c r="M356" s="11">
        <f>IF($I356="FTE", Assumptions!$B$3, "")</f>
        <v/>
      </c>
      <c r="N356" s="11">
        <f t="array" ref="N356">IFERROR(INDEX(Milestones!$F:$F, MATCH($B356, Milestones!$B:$B, 0)), "")</f>
        <v/>
      </c>
      <c r="O356" s="11">
        <f t="array" ref="O356">IFERROR(INDEX(Milestones!$G:$G, MATCH($B356, Milestones!$B:$B, 0)), "")</f>
        <v/>
      </c>
      <c r="P356" s="11">
        <f t="array" ref="P356">IFERROR(INDEX('Lookups - Rates'!$D:$D, MATCH($G356&amp;"|"&amp;$H356, 'Lookups - Rates'!$Z:$Z, 0)), "")</f>
        <v/>
      </c>
      <c r="Q356" s="11">
        <f t="array" ref="Q356">IFERROR(INDEX('Lookups - Rates'!$E:$E, MATCH($G356&amp;"|"&amp;$H356, 'Lookups - Rates'!$Z:$Z, 0)), "")</f>
        <v/>
      </c>
      <c r="R356" s="11">
        <f>LET(ev,$J356, ch,$L356, hr,$P356, dr,$Q356, hpday,Assumptions!$B$2, hpw,Assumptions!$B$3, w,$M356, hrs, IF($I356="Hours", ev, IF($I356="Days", ev*IF(dr&gt;0, dr/hr, hpday), IF($I356="FTE", ev*hpw*w, ch))), IF(hrs="", "", hrs*hr))</f>
        <v/>
      </c>
      <c r="S356" s="13" t="n"/>
      <c r="T356" s="11">
        <f t="array" ref="T356">XLOOKUP(Scenario_Selected, INDEX(Scenario_Table,0,1), INDEX(Scenario_Table,0,2))</f>
        <v/>
      </c>
      <c r="U356" s="11">
        <f t="array" ref="U356">XLOOKUP(Scenario_Selected, INDEX(Scenario_Table,0,1), INDEX(Scenario_Table,0,3))</f>
        <v/>
      </c>
      <c r="V356" s="11">
        <f t="array" ref="V356">XLOOKUP(Scenario_Selected, INDEX(Scenario_Table,0,1), INDEX(Scenario_Table,0,4))</f>
        <v/>
      </c>
      <c r="W356" s="11">
        <f t="array" ref="W356">LET(ev,$J356, ch,$L356, et,$I356, dr,$Q356, hpday,Assumptions!$B$2, hpw,Assumptions!$B$3, w,$M356,hm,INDIRECT("R[0]C[0]",FALSE),hrs, IF(et="Hours", ev, IF(et="Days", ev*IF(dr&gt;0, dr/$P356, hpday), IF(et="FTE", ev*hpw*w, ch))), IF(hrs="", "", hrs*hm))</f>
        <v/>
      </c>
      <c r="X356" s="11">
        <f>IF($P356="","", $P356*INDIRECT("R[0]C[-3]",FALSE))</f>
        <v/>
      </c>
      <c r="Y356" s="11">
        <f>IF(INDIRECT("R[0]C[-1]",FALSE)="","", INDIRECT("R[0]C[-2]",FALSE)*INDIRECT("R[0]C[-1]",FALSE)*(1+INDIRECT("R[0]C[-3]",FALSE)))</f>
        <v/>
      </c>
      <c r="Z356" s="13" t="n"/>
    </row>
    <row r="357" ht="15.75" customHeight="1" s="74">
      <c r="A357" s="11" t="n">
        <v>357</v>
      </c>
      <c r="C357" s="11">
        <f t="array" ref="C357">IFERROR(INDEX(Milestones!$A:$A, MATCH($B357, Milestones!$B:$B, 0)), "")</f>
        <v/>
      </c>
      <c r="D357" s="11">
        <f t="array" ref="D357">IFERROR(INDEX(Milestones!$C:$C, MATCH($B357, Milestones!$B:$B, 0)), "")</f>
        <v/>
      </c>
      <c r="F357" s="11">
        <f t="array" ref="F357">IFERROR(INDEX(Milestones!$E:$E, MATCH($B357, Milestones!$B:$B, 0)), "")</f>
        <v/>
      </c>
      <c r="I357" s="11" t="n"/>
      <c r="J357" s="20" t="n"/>
      <c r="K357" s="11" t="n"/>
      <c r="L357" s="11">
        <f t="array" ref="L357">IF($K357="","", IFERROR(IFS($K357="Low", INDEX('Lookups - Complexity'!$C:$C, MATCH($B357, 'Lookups - Complexity'!$B:$B,0)), $K357="Medium", INDEX('Lookups - Complexity'!$D:$D, MATCH($B357, 'Lookups - Complexity'!$B:$B,0)), $K357="High", INDEX('Lookups - Complexity'!$E:$E, MATCH($B357, 'Lookups - Complexity'!$B:$B,0))), ""))</f>
        <v/>
      </c>
      <c r="M357" s="11">
        <f>IF($I357="FTE", Assumptions!$B$3, "")</f>
        <v/>
      </c>
      <c r="N357" s="11">
        <f t="array" ref="N357">IFERROR(INDEX(Milestones!$F:$F, MATCH($B357, Milestones!$B:$B, 0)), "")</f>
        <v/>
      </c>
      <c r="O357" s="11">
        <f t="array" ref="O357">IFERROR(INDEX(Milestones!$G:$G, MATCH($B357, Milestones!$B:$B, 0)), "")</f>
        <v/>
      </c>
      <c r="P357" s="11">
        <f t="array" ref="P357">IFERROR(INDEX('Lookups - Rates'!$D:$D, MATCH($G357&amp;"|"&amp;$H357, 'Lookups - Rates'!$Z:$Z, 0)), "")</f>
        <v/>
      </c>
      <c r="Q357" s="11">
        <f t="array" ref="Q357">IFERROR(INDEX('Lookups - Rates'!$E:$E, MATCH($G357&amp;"|"&amp;$H357, 'Lookups - Rates'!$Z:$Z, 0)), "")</f>
        <v/>
      </c>
      <c r="R357" s="11">
        <f>LET(ev,$J357, ch,$L357, hr,$P357, dr,$Q357, hpday,Assumptions!$B$2, hpw,Assumptions!$B$3, w,$M357, hrs, IF($I357="Hours", ev, IF($I357="Days", ev*IF(dr&gt;0, dr/hr, hpday), IF($I357="FTE", ev*hpw*w, ch))), IF(hrs="", "", hrs*hr))</f>
        <v/>
      </c>
      <c r="S357" s="13" t="n"/>
      <c r="T357" s="11">
        <f t="array" ref="T357">XLOOKUP(Scenario_Selected, INDEX(Scenario_Table,0,1), INDEX(Scenario_Table,0,2))</f>
        <v/>
      </c>
      <c r="U357" s="11">
        <f t="array" ref="U357">XLOOKUP(Scenario_Selected, INDEX(Scenario_Table,0,1), INDEX(Scenario_Table,0,3))</f>
        <v/>
      </c>
      <c r="V357" s="11">
        <f t="array" ref="V357">XLOOKUP(Scenario_Selected, INDEX(Scenario_Table,0,1), INDEX(Scenario_Table,0,4))</f>
        <v/>
      </c>
      <c r="W357" s="11">
        <f t="array" ref="W357">LET(ev,$J357, ch,$L357, et,$I357, dr,$Q357, hpday,Assumptions!$B$2, hpw,Assumptions!$B$3, w,$M357,hm,INDIRECT("R[0]C[0]",FALSE),hrs, IF(et="Hours", ev, IF(et="Days", ev*IF(dr&gt;0, dr/$P357, hpday), IF(et="FTE", ev*hpw*w, ch))), IF(hrs="", "", hrs*hm))</f>
        <v/>
      </c>
      <c r="X357" s="11">
        <f>IF($P357="","", $P357*INDIRECT("R[0]C[-3]",FALSE))</f>
        <v/>
      </c>
      <c r="Y357" s="11">
        <f>IF(INDIRECT("R[0]C[-1]",FALSE)="","", INDIRECT("R[0]C[-2]",FALSE)*INDIRECT("R[0]C[-1]",FALSE)*(1+INDIRECT("R[0]C[-3]",FALSE)))</f>
        <v/>
      </c>
      <c r="Z357" s="13" t="n"/>
    </row>
    <row r="358" ht="15.75" customHeight="1" s="74">
      <c r="A358" s="11" t="n">
        <v>358</v>
      </c>
      <c r="C358" s="11">
        <f t="array" ref="C358">IFERROR(INDEX(Milestones!$A:$A, MATCH($B358, Milestones!$B:$B, 0)), "")</f>
        <v/>
      </c>
      <c r="D358" s="11">
        <f t="array" ref="D358">IFERROR(INDEX(Milestones!$C:$C, MATCH($B358, Milestones!$B:$B, 0)), "")</f>
        <v/>
      </c>
      <c r="F358" s="11">
        <f t="array" ref="F358">IFERROR(INDEX(Milestones!$E:$E, MATCH($B358, Milestones!$B:$B, 0)), "")</f>
        <v/>
      </c>
      <c r="I358" s="11" t="n"/>
      <c r="J358" s="20" t="n"/>
      <c r="K358" s="11" t="n"/>
      <c r="L358" s="11">
        <f t="array" ref="L358">IF($K358="","", IFERROR(IFS($K358="Low", INDEX('Lookups - Complexity'!$C:$C, MATCH($B358, 'Lookups - Complexity'!$B:$B,0)), $K358="Medium", INDEX('Lookups - Complexity'!$D:$D, MATCH($B358, 'Lookups - Complexity'!$B:$B,0)), $K358="High", INDEX('Lookups - Complexity'!$E:$E, MATCH($B358, 'Lookups - Complexity'!$B:$B,0))), ""))</f>
        <v/>
      </c>
      <c r="M358" s="11">
        <f>IF($I358="FTE", Assumptions!$B$3, "")</f>
        <v/>
      </c>
      <c r="N358" s="11">
        <f t="array" ref="N358">IFERROR(INDEX(Milestones!$F:$F, MATCH($B358, Milestones!$B:$B, 0)), "")</f>
        <v/>
      </c>
      <c r="O358" s="11">
        <f t="array" ref="O358">IFERROR(INDEX(Milestones!$G:$G, MATCH($B358, Milestones!$B:$B, 0)), "")</f>
        <v/>
      </c>
      <c r="P358" s="11">
        <f t="array" ref="P358">IFERROR(INDEX('Lookups - Rates'!$D:$D, MATCH($G358&amp;"|"&amp;$H358, 'Lookups - Rates'!$Z:$Z, 0)), "")</f>
        <v/>
      </c>
      <c r="Q358" s="11">
        <f t="array" ref="Q358">IFERROR(INDEX('Lookups - Rates'!$E:$E, MATCH($G358&amp;"|"&amp;$H358, 'Lookups - Rates'!$Z:$Z, 0)), "")</f>
        <v/>
      </c>
      <c r="R358" s="11">
        <f>LET(ev,$J358, ch,$L358, hr,$P358, dr,$Q358, hpday,Assumptions!$B$2, hpw,Assumptions!$B$3, w,$M358, hrs, IF($I358="Hours", ev, IF($I358="Days", ev*IF(dr&gt;0, dr/hr, hpday), IF($I358="FTE", ev*hpw*w, ch))), IF(hrs="", "", hrs*hr))</f>
        <v/>
      </c>
      <c r="S358" s="13" t="n"/>
      <c r="T358" s="11">
        <f t="array" ref="T358">XLOOKUP(Scenario_Selected, INDEX(Scenario_Table,0,1), INDEX(Scenario_Table,0,2))</f>
        <v/>
      </c>
      <c r="U358" s="11">
        <f t="array" ref="U358">XLOOKUP(Scenario_Selected, INDEX(Scenario_Table,0,1), INDEX(Scenario_Table,0,3))</f>
        <v/>
      </c>
      <c r="V358" s="11">
        <f t="array" ref="V358">XLOOKUP(Scenario_Selected, INDEX(Scenario_Table,0,1), INDEX(Scenario_Table,0,4))</f>
        <v/>
      </c>
      <c r="W358" s="11">
        <f t="array" ref="W358">LET(ev,$J358, ch,$L358, et,$I358, dr,$Q358, hpday,Assumptions!$B$2, hpw,Assumptions!$B$3, w,$M358,hm,INDIRECT("R[0]C[0]",FALSE),hrs, IF(et="Hours", ev, IF(et="Days", ev*IF(dr&gt;0, dr/$P358, hpday), IF(et="FTE", ev*hpw*w, ch))), IF(hrs="", "", hrs*hm))</f>
        <v/>
      </c>
      <c r="X358" s="11">
        <f>IF($P358="","", $P358*INDIRECT("R[0]C[-3]",FALSE))</f>
        <v/>
      </c>
      <c r="Y358" s="11">
        <f>IF(INDIRECT("R[0]C[-1]",FALSE)="","", INDIRECT("R[0]C[-2]",FALSE)*INDIRECT("R[0]C[-1]",FALSE)*(1+INDIRECT("R[0]C[-3]",FALSE)))</f>
        <v/>
      </c>
      <c r="Z358" s="13" t="n"/>
    </row>
    <row r="359" ht="15.75" customHeight="1" s="74">
      <c r="A359" s="11" t="n">
        <v>359</v>
      </c>
      <c r="C359" s="11">
        <f t="array" ref="C359">IFERROR(INDEX(Milestones!$A:$A, MATCH($B359, Milestones!$B:$B, 0)), "")</f>
        <v/>
      </c>
      <c r="D359" s="11">
        <f t="array" ref="D359">IFERROR(INDEX(Milestones!$C:$C, MATCH($B359, Milestones!$B:$B, 0)), "")</f>
        <v/>
      </c>
      <c r="F359" s="11">
        <f t="array" ref="F359">IFERROR(INDEX(Milestones!$E:$E, MATCH($B359, Milestones!$B:$B, 0)), "")</f>
        <v/>
      </c>
      <c r="I359" s="11" t="n"/>
      <c r="J359" s="20" t="n"/>
      <c r="K359" s="11" t="n"/>
      <c r="L359" s="11">
        <f t="array" ref="L359">IF($K359="","", IFERROR(IFS($K359="Low", INDEX('Lookups - Complexity'!$C:$C, MATCH($B359, 'Lookups - Complexity'!$B:$B,0)), $K359="Medium", INDEX('Lookups - Complexity'!$D:$D, MATCH($B359, 'Lookups - Complexity'!$B:$B,0)), $K359="High", INDEX('Lookups - Complexity'!$E:$E, MATCH($B359, 'Lookups - Complexity'!$B:$B,0))), ""))</f>
        <v/>
      </c>
      <c r="M359" s="11">
        <f>IF($I359="FTE", Assumptions!$B$3, "")</f>
        <v/>
      </c>
      <c r="N359" s="11">
        <f t="array" ref="N359">IFERROR(INDEX(Milestones!$F:$F, MATCH($B359, Milestones!$B:$B, 0)), "")</f>
        <v/>
      </c>
      <c r="O359" s="11">
        <f t="array" ref="O359">IFERROR(INDEX(Milestones!$G:$G, MATCH($B359, Milestones!$B:$B, 0)), "")</f>
        <v/>
      </c>
      <c r="P359" s="11">
        <f t="array" ref="P359">IFERROR(INDEX('Lookups - Rates'!$D:$D, MATCH($G359&amp;"|"&amp;$H359, 'Lookups - Rates'!$Z:$Z, 0)), "")</f>
        <v/>
      </c>
      <c r="Q359" s="11">
        <f t="array" ref="Q359">IFERROR(INDEX('Lookups - Rates'!$E:$E, MATCH($G359&amp;"|"&amp;$H359, 'Lookups - Rates'!$Z:$Z, 0)), "")</f>
        <v/>
      </c>
      <c r="R359" s="11">
        <f>LET(ev,$J359, ch,$L359, hr,$P359, dr,$Q359, hpday,Assumptions!$B$2, hpw,Assumptions!$B$3, w,$M359, hrs, IF($I359="Hours", ev, IF($I359="Days", ev*IF(dr&gt;0, dr/hr, hpday), IF($I359="FTE", ev*hpw*w, ch))), IF(hrs="", "", hrs*hr))</f>
        <v/>
      </c>
      <c r="S359" s="13" t="n"/>
      <c r="T359" s="11">
        <f t="array" ref="T359">XLOOKUP(Scenario_Selected, INDEX(Scenario_Table,0,1), INDEX(Scenario_Table,0,2))</f>
        <v/>
      </c>
      <c r="U359" s="11">
        <f t="array" ref="U359">XLOOKUP(Scenario_Selected, INDEX(Scenario_Table,0,1), INDEX(Scenario_Table,0,3))</f>
        <v/>
      </c>
      <c r="V359" s="11">
        <f t="array" ref="V359">XLOOKUP(Scenario_Selected, INDEX(Scenario_Table,0,1), INDEX(Scenario_Table,0,4))</f>
        <v/>
      </c>
      <c r="W359" s="11">
        <f t="array" ref="W359">LET(ev,$J359, ch,$L359, et,$I359, dr,$Q359, hpday,Assumptions!$B$2, hpw,Assumptions!$B$3, w,$M359,hm,INDIRECT("R[0]C[0]",FALSE),hrs, IF(et="Hours", ev, IF(et="Days", ev*IF(dr&gt;0, dr/$P359, hpday), IF(et="FTE", ev*hpw*w, ch))), IF(hrs="", "", hrs*hm))</f>
        <v/>
      </c>
      <c r="X359" s="11">
        <f>IF($P359="","", $P359*INDIRECT("R[0]C[-3]",FALSE))</f>
        <v/>
      </c>
      <c r="Y359" s="11">
        <f>IF(INDIRECT("R[0]C[-1]",FALSE)="","", INDIRECT("R[0]C[-2]",FALSE)*INDIRECT("R[0]C[-1]",FALSE)*(1+INDIRECT("R[0]C[-3]",FALSE)))</f>
        <v/>
      </c>
      <c r="Z359" s="13" t="n"/>
    </row>
    <row r="360" ht="15.75" customHeight="1" s="74">
      <c r="A360" s="11" t="n">
        <v>360</v>
      </c>
      <c r="C360" s="11">
        <f t="array" ref="C360">IFERROR(INDEX(Milestones!$A:$A, MATCH($B360, Milestones!$B:$B, 0)), "")</f>
        <v/>
      </c>
      <c r="D360" s="11">
        <f t="array" ref="D360">IFERROR(INDEX(Milestones!$C:$C, MATCH($B360, Milestones!$B:$B, 0)), "")</f>
        <v/>
      </c>
      <c r="F360" s="11">
        <f t="array" ref="F360">IFERROR(INDEX(Milestones!$E:$E, MATCH($B360, Milestones!$B:$B, 0)), "")</f>
        <v/>
      </c>
      <c r="I360" s="11" t="n"/>
      <c r="J360" s="20" t="n"/>
      <c r="K360" s="11" t="n"/>
      <c r="L360" s="11">
        <f t="array" ref="L360">IF($K360="","", IFERROR(IFS($K360="Low", INDEX('Lookups - Complexity'!$C:$C, MATCH($B360, 'Lookups - Complexity'!$B:$B,0)), $K360="Medium", INDEX('Lookups - Complexity'!$D:$D, MATCH($B360, 'Lookups - Complexity'!$B:$B,0)), $K360="High", INDEX('Lookups - Complexity'!$E:$E, MATCH($B360, 'Lookups - Complexity'!$B:$B,0))), ""))</f>
        <v/>
      </c>
      <c r="M360" s="11">
        <f>IF($I360="FTE", Assumptions!$B$3, "")</f>
        <v/>
      </c>
      <c r="N360" s="11">
        <f t="array" ref="N360">IFERROR(INDEX(Milestones!$F:$F, MATCH($B360, Milestones!$B:$B, 0)), "")</f>
        <v/>
      </c>
      <c r="O360" s="11">
        <f t="array" ref="O360">IFERROR(INDEX(Milestones!$G:$G, MATCH($B360, Milestones!$B:$B, 0)), "")</f>
        <v/>
      </c>
      <c r="P360" s="11">
        <f t="array" ref="P360">IFERROR(INDEX('Lookups - Rates'!$D:$D, MATCH($G360&amp;"|"&amp;$H360, 'Lookups - Rates'!$Z:$Z, 0)), "")</f>
        <v/>
      </c>
      <c r="Q360" s="11">
        <f t="array" ref="Q360">IFERROR(INDEX('Lookups - Rates'!$E:$E, MATCH($G360&amp;"|"&amp;$H360, 'Lookups - Rates'!$Z:$Z, 0)), "")</f>
        <v/>
      </c>
      <c r="R360" s="11">
        <f>LET(ev,$J360, ch,$L360, hr,$P360, dr,$Q360, hpday,Assumptions!$B$2, hpw,Assumptions!$B$3, w,$M360, hrs, IF($I360="Hours", ev, IF($I360="Days", ev*IF(dr&gt;0, dr/hr, hpday), IF($I360="FTE", ev*hpw*w, ch))), IF(hrs="", "", hrs*hr))</f>
        <v/>
      </c>
      <c r="S360" s="13" t="n"/>
      <c r="T360" s="11">
        <f t="array" ref="T360">XLOOKUP(Scenario_Selected, INDEX(Scenario_Table,0,1), INDEX(Scenario_Table,0,2))</f>
        <v/>
      </c>
      <c r="U360" s="11">
        <f t="array" ref="U360">XLOOKUP(Scenario_Selected, INDEX(Scenario_Table,0,1), INDEX(Scenario_Table,0,3))</f>
        <v/>
      </c>
      <c r="V360" s="11">
        <f t="array" ref="V360">XLOOKUP(Scenario_Selected, INDEX(Scenario_Table,0,1), INDEX(Scenario_Table,0,4))</f>
        <v/>
      </c>
      <c r="W360" s="11">
        <f t="array" ref="W360">LET(ev,$J360, ch,$L360, et,$I360, dr,$Q360, hpday,Assumptions!$B$2, hpw,Assumptions!$B$3, w,$M360,hm,INDIRECT("R[0]C[0]",FALSE),hrs, IF(et="Hours", ev, IF(et="Days", ev*IF(dr&gt;0, dr/$P360, hpday), IF(et="FTE", ev*hpw*w, ch))), IF(hrs="", "", hrs*hm))</f>
        <v/>
      </c>
      <c r="X360" s="11">
        <f>IF($P360="","", $P360*INDIRECT("R[0]C[-3]",FALSE))</f>
        <v/>
      </c>
      <c r="Y360" s="11">
        <f>IF(INDIRECT("R[0]C[-1]",FALSE)="","", INDIRECT("R[0]C[-2]",FALSE)*INDIRECT("R[0]C[-1]",FALSE)*(1+INDIRECT("R[0]C[-3]",FALSE)))</f>
        <v/>
      </c>
      <c r="Z360" s="13" t="n"/>
    </row>
    <row r="361" ht="15.75" customHeight="1" s="74">
      <c r="A361" s="11" t="n">
        <v>361</v>
      </c>
      <c r="C361" s="11">
        <f t="array" ref="C361">IFERROR(INDEX(Milestones!$A:$A, MATCH($B361, Milestones!$B:$B, 0)), "")</f>
        <v/>
      </c>
      <c r="D361" s="11">
        <f t="array" ref="D361">IFERROR(INDEX(Milestones!$C:$C, MATCH($B361, Milestones!$B:$B, 0)), "")</f>
        <v/>
      </c>
      <c r="F361" s="11">
        <f t="array" ref="F361">IFERROR(INDEX(Milestones!$E:$E, MATCH($B361, Milestones!$B:$B, 0)), "")</f>
        <v/>
      </c>
      <c r="I361" s="11" t="n"/>
      <c r="J361" s="20" t="n"/>
      <c r="K361" s="11" t="n"/>
      <c r="L361" s="11">
        <f t="array" ref="L361">IF($K361="","", IFERROR(IFS($K361="Low", INDEX('Lookups - Complexity'!$C:$C, MATCH($B361, 'Lookups - Complexity'!$B:$B,0)), $K361="Medium", INDEX('Lookups - Complexity'!$D:$D, MATCH($B361, 'Lookups - Complexity'!$B:$B,0)), $K361="High", INDEX('Lookups - Complexity'!$E:$E, MATCH($B361, 'Lookups - Complexity'!$B:$B,0))), ""))</f>
        <v/>
      </c>
      <c r="M361" s="11">
        <f>IF($I361="FTE", Assumptions!$B$3, "")</f>
        <v/>
      </c>
      <c r="N361" s="11">
        <f t="array" ref="N361">IFERROR(INDEX(Milestones!$F:$F, MATCH($B361, Milestones!$B:$B, 0)), "")</f>
        <v/>
      </c>
      <c r="O361" s="11">
        <f t="array" ref="O361">IFERROR(INDEX(Milestones!$G:$G, MATCH($B361, Milestones!$B:$B, 0)), "")</f>
        <v/>
      </c>
      <c r="P361" s="11">
        <f t="array" ref="P361">IFERROR(INDEX('Lookups - Rates'!$D:$D, MATCH($G361&amp;"|"&amp;$H361, 'Lookups - Rates'!$Z:$Z, 0)), "")</f>
        <v/>
      </c>
      <c r="Q361" s="11">
        <f t="array" ref="Q361">IFERROR(INDEX('Lookups - Rates'!$E:$E, MATCH($G361&amp;"|"&amp;$H361, 'Lookups - Rates'!$Z:$Z, 0)), "")</f>
        <v/>
      </c>
      <c r="R361" s="11">
        <f>LET(ev,$J361, ch,$L361, hr,$P361, dr,$Q361, hpday,Assumptions!$B$2, hpw,Assumptions!$B$3, w,$M361, hrs, IF($I361="Hours", ev, IF($I361="Days", ev*IF(dr&gt;0, dr/hr, hpday), IF($I361="FTE", ev*hpw*w, ch))), IF(hrs="", "", hrs*hr))</f>
        <v/>
      </c>
      <c r="S361" s="13" t="n"/>
      <c r="T361" s="11">
        <f t="array" ref="T361">XLOOKUP(Scenario_Selected, INDEX(Scenario_Table,0,1), INDEX(Scenario_Table,0,2))</f>
        <v/>
      </c>
      <c r="U361" s="11">
        <f t="array" ref="U361">XLOOKUP(Scenario_Selected, INDEX(Scenario_Table,0,1), INDEX(Scenario_Table,0,3))</f>
        <v/>
      </c>
      <c r="V361" s="11">
        <f t="array" ref="V361">XLOOKUP(Scenario_Selected, INDEX(Scenario_Table,0,1), INDEX(Scenario_Table,0,4))</f>
        <v/>
      </c>
      <c r="W361" s="11">
        <f t="array" ref="W361">LET(ev,$J361, ch,$L361, et,$I361, dr,$Q361, hpday,Assumptions!$B$2, hpw,Assumptions!$B$3, w,$M361,hm,INDIRECT("R[0]C[0]",FALSE),hrs, IF(et="Hours", ev, IF(et="Days", ev*IF(dr&gt;0, dr/$P361, hpday), IF(et="FTE", ev*hpw*w, ch))), IF(hrs="", "", hrs*hm))</f>
        <v/>
      </c>
      <c r="X361" s="11">
        <f>IF($P361="","", $P361*INDIRECT("R[0]C[-3]",FALSE))</f>
        <v/>
      </c>
      <c r="Y361" s="11">
        <f>IF(INDIRECT("R[0]C[-1]",FALSE)="","", INDIRECT("R[0]C[-2]",FALSE)*INDIRECT("R[0]C[-1]",FALSE)*(1+INDIRECT("R[0]C[-3]",FALSE)))</f>
        <v/>
      </c>
      <c r="Z361" s="13" t="n"/>
    </row>
    <row r="362" ht="15.75" customHeight="1" s="74">
      <c r="A362" s="11" t="n">
        <v>362</v>
      </c>
      <c r="C362" s="11">
        <f t="array" ref="C362">IFERROR(INDEX(Milestones!$A:$A, MATCH($B362, Milestones!$B:$B, 0)), "")</f>
        <v/>
      </c>
      <c r="D362" s="11">
        <f t="array" ref="D362">IFERROR(INDEX(Milestones!$C:$C, MATCH($B362, Milestones!$B:$B, 0)), "")</f>
        <v/>
      </c>
      <c r="F362" s="11">
        <f t="array" ref="F362">IFERROR(INDEX(Milestones!$E:$E, MATCH($B362, Milestones!$B:$B, 0)), "")</f>
        <v/>
      </c>
      <c r="I362" s="11" t="n"/>
      <c r="J362" s="20" t="n"/>
      <c r="K362" s="11" t="n"/>
      <c r="L362" s="11">
        <f t="array" ref="L362">IF($K362="","", IFERROR(IFS($K362="Low", INDEX('Lookups - Complexity'!$C:$C, MATCH($B362, 'Lookups - Complexity'!$B:$B,0)), $K362="Medium", INDEX('Lookups - Complexity'!$D:$D, MATCH($B362, 'Lookups - Complexity'!$B:$B,0)), $K362="High", INDEX('Lookups - Complexity'!$E:$E, MATCH($B362, 'Lookups - Complexity'!$B:$B,0))), ""))</f>
        <v/>
      </c>
      <c r="M362" s="11">
        <f>IF($I362="FTE", Assumptions!$B$3, "")</f>
        <v/>
      </c>
      <c r="N362" s="11">
        <f t="array" ref="N362">IFERROR(INDEX(Milestones!$F:$F, MATCH($B362, Milestones!$B:$B, 0)), "")</f>
        <v/>
      </c>
      <c r="O362" s="11">
        <f t="array" ref="O362">IFERROR(INDEX(Milestones!$G:$G, MATCH($B362, Milestones!$B:$B, 0)), "")</f>
        <v/>
      </c>
      <c r="P362" s="11">
        <f t="array" ref="P362">IFERROR(INDEX('Lookups - Rates'!$D:$D, MATCH($G362&amp;"|"&amp;$H362, 'Lookups - Rates'!$Z:$Z, 0)), "")</f>
        <v/>
      </c>
      <c r="Q362" s="11">
        <f t="array" ref="Q362">IFERROR(INDEX('Lookups - Rates'!$E:$E, MATCH($G362&amp;"|"&amp;$H362, 'Lookups - Rates'!$Z:$Z, 0)), "")</f>
        <v/>
      </c>
      <c r="R362" s="11">
        <f>LET(ev,$J362, ch,$L362, hr,$P362, dr,$Q362, hpday,Assumptions!$B$2, hpw,Assumptions!$B$3, w,$M362, hrs, IF($I362="Hours", ev, IF($I362="Days", ev*IF(dr&gt;0, dr/hr, hpday), IF($I362="FTE", ev*hpw*w, ch))), IF(hrs="", "", hrs*hr))</f>
        <v/>
      </c>
      <c r="S362" s="13" t="n"/>
      <c r="T362" s="11">
        <f t="array" ref="T362">XLOOKUP(Scenario_Selected, INDEX(Scenario_Table,0,1), INDEX(Scenario_Table,0,2))</f>
        <v/>
      </c>
      <c r="U362" s="11">
        <f t="array" ref="U362">XLOOKUP(Scenario_Selected, INDEX(Scenario_Table,0,1), INDEX(Scenario_Table,0,3))</f>
        <v/>
      </c>
      <c r="V362" s="11">
        <f t="array" ref="V362">XLOOKUP(Scenario_Selected, INDEX(Scenario_Table,0,1), INDEX(Scenario_Table,0,4))</f>
        <v/>
      </c>
      <c r="W362" s="11">
        <f t="array" ref="W362">LET(ev,$J362, ch,$L362, et,$I362, dr,$Q362, hpday,Assumptions!$B$2, hpw,Assumptions!$B$3, w,$M362,hm,INDIRECT("R[0]C[0]",FALSE),hrs, IF(et="Hours", ev, IF(et="Days", ev*IF(dr&gt;0, dr/$P362, hpday), IF(et="FTE", ev*hpw*w, ch))), IF(hrs="", "", hrs*hm))</f>
        <v/>
      </c>
      <c r="X362" s="11">
        <f>IF($P362="","", $P362*INDIRECT("R[0]C[-3]",FALSE))</f>
        <v/>
      </c>
      <c r="Y362" s="11">
        <f>IF(INDIRECT("R[0]C[-1]",FALSE)="","", INDIRECT("R[0]C[-2]",FALSE)*INDIRECT("R[0]C[-1]",FALSE)*(1+INDIRECT("R[0]C[-3]",FALSE)))</f>
        <v/>
      </c>
      <c r="Z362" s="13" t="n"/>
    </row>
    <row r="363" ht="15.75" customHeight="1" s="74">
      <c r="A363" s="11" t="n">
        <v>363</v>
      </c>
      <c r="C363" s="11">
        <f t="array" ref="C363">IFERROR(INDEX(Milestones!$A:$A, MATCH($B363, Milestones!$B:$B, 0)), "")</f>
        <v/>
      </c>
      <c r="D363" s="11">
        <f t="array" ref="D363">IFERROR(INDEX(Milestones!$C:$C, MATCH($B363, Milestones!$B:$B, 0)), "")</f>
        <v/>
      </c>
      <c r="F363" s="11">
        <f t="array" ref="F363">IFERROR(INDEX(Milestones!$E:$E, MATCH($B363, Milestones!$B:$B, 0)), "")</f>
        <v/>
      </c>
      <c r="I363" s="11" t="n"/>
      <c r="J363" s="20" t="n"/>
      <c r="K363" s="11" t="n"/>
      <c r="L363" s="11">
        <f t="array" ref="L363">IF($K363="","", IFERROR(IFS($K363="Low", INDEX('Lookups - Complexity'!$C:$C, MATCH($B363, 'Lookups - Complexity'!$B:$B,0)), $K363="Medium", INDEX('Lookups - Complexity'!$D:$D, MATCH($B363, 'Lookups - Complexity'!$B:$B,0)), $K363="High", INDEX('Lookups - Complexity'!$E:$E, MATCH($B363, 'Lookups - Complexity'!$B:$B,0))), ""))</f>
        <v/>
      </c>
      <c r="M363" s="11">
        <f>IF($I363="FTE", Assumptions!$B$3, "")</f>
        <v/>
      </c>
      <c r="N363" s="11">
        <f t="array" ref="N363">IFERROR(INDEX(Milestones!$F:$F, MATCH($B363, Milestones!$B:$B, 0)), "")</f>
        <v/>
      </c>
      <c r="O363" s="11">
        <f t="array" ref="O363">IFERROR(INDEX(Milestones!$G:$G, MATCH($B363, Milestones!$B:$B, 0)), "")</f>
        <v/>
      </c>
      <c r="P363" s="11">
        <f t="array" ref="P363">IFERROR(INDEX('Lookups - Rates'!$D:$D, MATCH($G363&amp;"|"&amp;$H363, 'Lookups - Rates'!$Z:$Z, 0)), "")</f>
        <v/>
      </c>
      <c r="Q363" s="11">
        <f t="array" ref="Q363">IFERROR(INDEX('Lookups - Rates'!$E:$E, MATCH($G363&amp;"|"&amp;$H363, 'Lookups - Rates'!$Z:$Z, 0)), "")</f>
        <v/>
      </c>
      <c r="R363" s="11">
        <f>LET(ev,$J363, ch,$L363, hr,$P363, dr,$Q363, hpday,Assumptions!$B$2, hpw,Assumptions!$B$3, w,$M363, hrs, IF($I363="Hours", ev, IF($I363="Days", ev*IF(dr&gt;0, dr/hr, hpday), IF($I363="FTE", ev*hpw*w, ch))), IF(hrs="", "", hrs*hr))</f>
        <v/>
      </c>
      <c r="S363" s="13" t="n"/>
      <c r="T363" s="11">
        <f t="array" ref="T363">XLOOKUP(Scenario_Selected, INDEX(Scenario_Table,0,1), INDEX(Scenario_Table,0,2))</f>
        <v/>
      </c>
      <c r="U363" s="11">
        <f t="array" ref="U363">XLOOKUP(Scenario_Selected, INDEX(Scenario_Table,0,1), INDEX(Scenario_Table,0,3))</f>
        <v/>
      </c>
      <c r="V363" s="11">
        <f t="array" ref="V363">XLOOKUP(Scenario_Selected, INDEX(Scenario_Table,0,1), INDEX(Scenario_Table,0,4))</f>
        <v/>
      </c>
      <c r="W363" s="11">
        <f t="array" ref="W363">LET(ev,$J363, ch,$L363, et,$I363, dr,$Q363, hpday,Assumptions!$B$2, hpw,Assumptions!$B$3, w,$M363,hm,INDIRECT("R[0]C[0]",FALSE),hrs, IF(et="Hours", ev, IF(et="Days", ev*IF(dr&gt;0, dr/$P363, hpday), IF(et="FTE", ev*hpw*w, ch))), IF(hrs="", "", hrs*hm))</f>
        <v/>
      </c>
      <c r="X363" s="11">
        <f>IF($P363="","", $P363*INDIRECT("R[0]C[-3]",FALSE))</f>
        <v/>
      </c>
      <c r="Y363" s="11">
        <f>IF(INDIRECT("R[0]C[-1]",FALSE)="","", INDIRECT("R[0]C[-2]",FALSE)*INDIRECT("R[0]C[-1]",FALSE)*(1+INDIRECT("R[0]C[-3]",FALSE)))</f>
        <v/>
      </c>
      <c r="Z363" s="13" t="n"/>
    </row>
    <row r="364" ht="15.75" customHeight="1" s="74">
      <c r="A364" s="11" t="n">
        <v>364</v>
      </c>
      <c r="C364" s="11">
        <f t="array" ref="C364">IFERROR(INDEX(Milestones!$A:$A, MATCH($B364, Milestones!$B:$B, 0)), "")</f>
        <v/>
      </c>
      <c r="D364" s="11">
        <f t="array" ref="D364">IFERROR(INDEX(Milestones!$C:$C, MATCH($B364, Milestones!$B:$B, 0)), "")</f>
        <v/>
      </c>
      <c r="F364" s="11">
        <f t="array" ref="F364">IFERROR(INDEX(Milestones!$E:$E, MATCH($B364, Milestones!$B:$B, 0)), "")</f>
        <v/>
      </c>
      <c r="I364" s="11" t="n"/>
      <c r="J364" s="20" t="n"/>
      <c r="K364" s="11" t="n"/>
      <c r="L364" s="11">
        <f t="array" ref="L364">IF($K364="","", IFERROR(IFS($K364="Low", INDEX('Lookups - Complexity'!$C:$C, MATCH($B364, 'Lookups - Complexity'!$B:$B,0)), $K364="Medium", INDEX('Lookups - Complexity'!$D:$D, MATCH($B364, 'Lookups - Complexity'!$B:$B,0)), $K364="High", INDEX('Lookups - Complexity'!$E:$E, MATCH($B364, 'Lookups - Complexity'!$B:$B,0))), ""))</f>
        <v/>
      </c>
      <c r="M364" s="11">
        <f>IF($I364="FTE", Assumptions!$B$3, "")</f>
        <v/>
      </c>
      <c r="N364" s="11">
        <f t="array" ref="N364">IFERROR(INDEX(Milestones!$F:$F, MATCH($B364, Milestones!$B:$B, 0)), "")</f>
        <v/>
      </c>
      <c r="O364" s="11">
        <f t="array" ref="O364">IFERROR(INDEX(Milestones!$G:$G, MATCH($B364, Milestones!$B:$B, 0)), "")</f>
        <v/>
      </c>
      <c r="P364" s="11">
        <f t="array" ref="P364">IFERROR(INDEX('Lookups - Rates'!$D:$D, MATCH($G364&amp;"|"&amp;$H364, 'Lookups - Rates'!$Z:$Z, 0)), "")</f>
        <v/>
      </c>
      <c r="Q364" s="11">
        <f t="array" ref="Q364">IFERROR(INDEX('Lookups - Rates'!$E:$E, MATCH($G364&amp;"|"&amp;$H364, 'Lookups - Rates'!$Z:$Z, 0)), "")</f>
        <v/>
      </c>
      <c r="R364" s="11">
        <f>LET(ev,$J364, ch,$L364, hr,$P364, dr,$Q364, hpday,Assumptions!$B$2, hpw,Assumptions!$B$3, w,$M364, hrs, IF($I364="Hours", ev, IF($I364="Days", ev*IF(dr&gt;0, dr/hr, hpday), IF($I364="FTE", ev*hpw*w, ch))), IF(hrs="", "", hrs*hr))</f>
        <v/>
      </c>
      <c r="S364" s="13" t="n"/>
      <c r="T364" s="11">
        <f t="array" ref="T364">XLOOKUP(Scenario_Selected, INDEX(Scenario_Table,0,1), INDEX(Scenario_Table,0,2))</f>
        <v/>
      </c>
      <c r="U364" s="11">
        <f t="array" ref="U364">XLOOKUP(Scenario_Selected, INDEX(Scenario_Table,0,1), INDEX(Scenario_Table,0,3))</f>
        <v/>
      </c>
      <c r="V364" s="11">
        <f t="array" ref="V364">XLOOKUP(Scenario_Selected, INDEX(Scenario_Table,0,1), INDEX(Scenario_Table,0,4))</f>
        <v/>
      </c>
      <c r="W364" s="11">
        <f t="array" ref="W364">LET(ev,$J364, ch,$L364, et,$I364, dr,$Q364, hpday,Assumptions!$B$2, hpw,Assumptions!$B$3, w,$M364,hm,INDIRECT("R[0]C[0]",FALSE),hrs, IF(et="Hours", ev, IF(et="Days", ev*IF(dr&gt;0, dr/$P364, hpday), IF(et="FTE", ev*hpw*w, ch))), IF(hrs="", "", hrs*hm))</f>
        <v/>
      </c>
      <c r="X364" s="11">
        <f>IF($P364="","", $P364*INDIRECT("R[0]C[-3]",FALSE))</f>
        <v/>
      </c>
      <c r="Y364" s="11">
        <f>IF(INDIRECT("R[0]C[-1]",FALSE)="","", INDIRECT("R[0]C[-2]",FALSE)*INDIRECT("R[0]C[-1]",FALSE)*(1+INDIRECT("R[0]C[-3]",FALSE)))</f>
        <v/>
      </c>
      <c r="Z364" s="13" t="n"/>
    </row>
    <row r="365" ht="15.75" customHeight="1" s="74">
      <c r="A365" s="11" t="n">
        <v>365</v>
      </c>
      <c r="C365" s="11">
        <f t="array" ref="C365">IFERROR(INDEX(Milestones!$A:$A, MATCH($B365, Milestones!$B:$B, 0)), "")</f>
        <v/>
      </c>
      <c r="D365" s="11">
        <f t="array" ref="D365">IFERROR(INDEX(Milestones!$C:$C, MATCH($B365, Milestones!$B:$B, 0)), "")</f>
        <v/>
      </c>
      <c r="F365" s="11">
        <f t="array" ref="F365">IFERROR(INDEX(Milestones!$E:$E, MATCH($B365, Milestones!$B:$B, 0)), "")</f>
        <v/>
      </c>
      <c r="I365" s="11" t="n"/>
      <c r="J365" s="20" t="n"/>
      <c r="K365" s="11" t="n"/>
      <c r="L365" s="11">
        <f t="array" ref="L365">IF($K365="","", IFERROR(IFS($K365="Low", INDEX('Lookups - Complexity'!$C:$C, MATCH($B365, 'Lookups - Complexity'!$B:$B,0)), $K365="Medium", INDEX('Lookups - Complexity'!$D:$D, MATCH($B365, 'Lookups - Complexity'!$B:$B,0)), $K365="High", INDEX('Lookups - Complexity'!$E:$E, MATCH($B365, 'Lookups - Complexity'!$B:$B,0))), ""))</f>
        <v/>
      </c>
      <c r="M365" s="11">
        <f>IF($I365="FTE", Assumptions!$B$3, "")</f>
        <v/>
      </c>
      <c r="N365" s="11">
        <f t="array" ref="N365">IFERROR(INDEX(Milestones!$F:$F, MATCH($B365, Milestones!$B:$B, 0)), "")</f>
        <v/>
      </c>
      <c r="O365" s="11">
        <f t="array" ref="O365">IFERROR(INDEX(Milestones!$G:$G, MATCH($B365, Milestones!$B:$B, 0)), "")</f>
        <v/>
      </c>
      <c r="P365" s="11">
        <f t="array" ref="P365">IFERROR(INDEX('Lookups - Rates'!$D:$D, MATCH($G365&amp;"|"&amp;$H365, 'Lookups - Rates'!$Z:$Z, 0)), "")</f>
        <v/>
      </c>
      <c r="Q365" s="11">
        <f t="array" ref="Q365">IFERROR(INDEX('Lookups - Rates'!$E:$E, MATCH($G365&amp;"|"&amp;$H365, 'Lookups - Rates'!$Z:$Z, 0)), "")</f>
        <v/>
      </c>
      <c r="R365" s="11">
        <f>LET(ev,$J365, ch,$L365, hr,$P365, dr,$Q365, hpday,Assumptions!$B$2, hpw,Assumptions!$B$3, w,$M365, hrs, IF($I365="Hours", ev, IF($I365="Days", ev*IF(dr&gt;0, dr/hr, hpday), IF($I365="FTE", ev*hpw*w, ch))), IF(hrs="", "", hrs*hr))</f>
        <v/>
      </c>
      <c r="S365" s="13" t="n"/>
      <c r="T365" s="11">
        <f t="array" ref="T365">XLOOKUP(Scenario_Selected, INDEX(Scenario_Table,0,1), INDEX(Scenario_Table,0,2))</f>
        <v/>
      </c>
      <c r="U365" s="11">
        <f t="array" ref="U365">XLOOKUP(Scenario_Selected, INDEX(Scenario_Table,0,1), INDEX(Scenario_Table,0,3))</f>
        <v/>
      </c>
      <c r="V365" s="11">
        <f t="array" ref="V365">XLOOKUP(Scenario_Selected, INDEX(Scenario_Table,0,1), INDEX(Scenario_Table,0,4))</f>
        <v/>
      </c>
      <c r="W365" s="11">
        <f t="array" ref="W365">LET(ev,$J365, ch,$L365, et,$I365, dr,$Q365, hpday,Assumptions!$B$2, hpw,Assumptions!$B$3, w,$M365,hm,INDIRECT("R[0]C[0]",FALSE),hrs, IF(et="Hours", ev, IF(et="Days", ev*IF(dr&gt;0, dr/$P365, hpday), IF(et="FTE", ev*hpw*w, ch))), IF(hrs="", "", hrs*hm))</f>
        <v/>
      </c>
      <c r="X365" s="11">
        <f>IF($P365="","", $P365*INDIRECT("R[0]C[-3]",FALSE))</f>
        <v/>
      </c>
      <c r="Y365" s="11">
        <f>IF(INDIRECT("R[0]C[-1]",FALSE)="","", INDIRECT("R[0]C[-2]",FALSE)*INDIRECT("R[0]C[-1]",FALSE)*(1+INDIRECT("R[0]C[-3]",FALSE)))</f>
        <v/>
      </c>
      <c r="Z365" s="13" t="n"/>
    </row>
    <row r="366" ht="15.75" customHeight="1" s="74">
      <c r="A366" s="11" t="n">
        <v>366</v>
      </c>
      <c r="C366" s="11">
        <f t="array" ref="C366">IFERROR(INDEX(Milestones!$A:$A, MATCH($B366, Milestones!$B:$B, 0)), "")</f>
        <v/>
      </c>
      <c r="D366" s="11">
        <f t="array" ref="D366">IFERROR(INDEX(Milestones!$C:$C, MATCH($B366, Milestones!$B:$B, 0)), "")</f>
        <v/>
      </c>
      <c r="F366" s="11">
        <f t="array" ref="F366">IFERROR(INDEX(Milestones!$E:$E, MATCH($B366, Milestones!$B:$B, 0)), "")</f>
        <v/>
      </c>
      <c r="I366" s="11" t="n"/>
      <c r="J366" s="20" t="n"/>
      <c r="K366" s="11" t="n"/>
      <c r="L366" s="11">
        <f t="array" ref="L366">IF($K366="","", IFERROR(IFS($K366="Low", INDEX('Lookups - Complexity'!$C:$C, MATCH($B366, 'Lookups - Complexity'!$B:$B,0)), $K366="Medium", INDEX('Lookups - Complexity'!$D:$D, MATCH($B366, 'Lookups - Complexity'!$B:$B,0)), $K366="High", INDEX('Lookups - Complexity'!$E:$E, MATCH($B366, 'Lookups - Complexity'!$B:$B,0))), ""))</f>
        <v/>
      </c>
      <c r="M366" s="11">
        <f>IF($I366="FTE", Assumptions!$B$3, "")</f>
        <v/>
      </c>
      <c r="N366" s="11">
        <f t="array" ref="N366">IFERROR(INDEX(Milestones!$F:$F, MATCH($B366, Milestones!$B:$B, 0)), "")</f>
        <v/>
      </c>
      <c r="O366" s="11">
        <f t="array" ref="O366">IFERROR(INDEX(Milestones!$G:$G, MATCH($B366, Milestones!$B:$B, 0)), "")</f>
        <v/>
      </c>
      <c r="P366" s="11">
        <f t="array" ref="P366">IFERROR(INDEX('Lookups - Rates'!$D:$D, MATCH($G366&amp;"|"&amp;$H366, 'Lookups - Rates'!$Z:$Z, 0)), "")</f>
        <v/>
      </c>
      <c r="Q366" s="11">
        <f t="array" ref="Q366">IFERROR(INDEX('Lookups - Rates'!$E:$E, MATCH($G366&amp;"|"&amp;$H366, 'Lookups - Rates'!$Z:$Z, 0)), "")</f>
        <v/>
      </c>
      <c r="R366" s="11">
        <f>LET(ev,$J366, ch,$L366, hr,$P366, dr,$Q366, hpday,Assumptions!$B$2, hpw,Assumptions!$B$3, w,$M366, hrs, IF($I366="Hours", ev, IF($I366="Days", ev*IF(dr&gt;0, dr/hr, hpday), IF($I366="FTE", ev*hpw*w, ch))), IF(hrs="", "", hrs*hr))</f>
        <v/>
      </c>
      <c r="S366" s="13" t="n"/>
      <c r="T366" s="11">
        <f t="array" ref="T366">XLOOKUP(Scenario_Selected, INDEX(Scenario_Table,0,1), INDEX(Scenario_Table,0,2))</f>
        <v/>
      </c>
      <c r="U366" s="11">
        <f t="array" ref="U366">XLOOKUP(Scenario_Selected, INDEX(Scenario_Table,0,1), INDEX(Scenario_Table,0,3))</f>
        <v/>
      </c>
      <c r="V366" s="11">
        <f t="array" ref="V366">XLOOKUP(Scenario_Selected, INDEX(Scenario_Table,0,1), INDEX(Scenario_Table,0,4))</f>
        <v/>
      </c>
      <c r="W366" s="11">
        <f t="array" ref="W366">LET(ev,$J366, ch,$L366, et,$I366, dr,$Q366, hpday,Assumptions!$B$2, hpw,Assumptions!$B$3, w,$M366,hm,INDIRECT("R[0]C[0]",FALSE),hrs, IF(et="Hours", ev, IF(et="Days", ev*IF(dr&gt;0, dr/$P366, hpday), IF(et="FTE", ev*hpw*w, ch))), IF(hrs="", "", hrs*hm))</f>
        <v/>
      </c>
      <c r="X366" s="11">
        <f>IF($P366="","", $P366*INDIRECT("R[0]C[-3]",FALSE))</f>
        <v/>
      </c>
      <c r="Y366" s="11">
        <f>IF(INDIRECT("R[0]C[-1]",FALSE)="","", INDIRECT("R[0]C[-2]",FALSE)*INDIRECT("R[0]C[-1]",FALSE)*(1+INDIRECT("R[0]C[-3]",FALSE)))</f>
        <v/>
      </c>
      <c r="Z366" s="13" t="n"/>
    </row>
    <row r="367" ht="15.75" customHeight="1" s="74">
      <c r="A367" s="11" t="n">
        <v>367</v>
      </c>
      <c r="C367" s="11">
        <f t="array" ref="C367">IFERROR(INDEX(Milestones!$A:$A, MATCH($B367, Milestones!$B:$B, 0)), "")</f>
        <v/>
      </c>
      <c r="D367" s="11">
        <f t="array" ref="D367">IFERROR(INDEX(Milestones!$C:$C, MATCH($B367, Milestones!$B:$B, 0)), "")</f>
        <v/>
      </c>
      <c r="F367" s="11">
        <f t="array" ref="F367">IFERROR(INDEX(Milestones!$E:$E, MATCH($B367, Milestones!$B:$B, 0)), "")</f>
        <v/>
      </c>
      <c r="I367" s="11" t="n"/>
      <c r="J367" s="20" t="n"/>
      <c r="K367" s="11" t="n"/>
      <c r="L367" s="11">
        <f t="array" ref="L367">IF($K367="","", IFERROR(IFS($K367="Low", INDEX('Lookups - Complexity'!$C:$C, MATCH($B367, 'Lookups - Complexity'!$B:$B,0)), $K367="Medium", INDEX('Lookups - Complexity'!$D:$D, MATCH($B367, 'Lookups - Complexity'!$B:$B,0)), $K367="High", INDEX('Lookups - Complexity'!$E:$E, MATCH($B367, 'Lookups - Complexity'!$B:$B,0))), ""))</f>
        <v/>
      </c>
      <c r="M367" s="11">
        <f>IF($I367="FTE", Assumptions!$B$3, "")</f>
        <v/>
      </c>
      <c r="N367" s="11">
        <f t="array" ref="N367">IFERROR(INDEX(Milestones!$F:$F, MATCH($B367, Milestones!$B:$B, 0)), "")</f>
        <v/>
      </c>
      <c r="O367" s="11">
        <f t="array" ref="O367">IFERROR(INDEX(Milestones!$G:$G, MATCH($B367, Milestones!$B:$B, 0)), "")</f>
        <v/>
      </c>
      <c r="P367" s="11">
        <f t="array" ref="P367">IFERROR(INDEX('Lookups - Rates'!$D:$D, MATCH($G367&amp;"|"&amp;$H367, 'Lookups - Rates'!$Z:$Z, 0)), "")</f>
        <v/>
      </c>
      <c r="Q367" s="11">
        <f t="array" ref="Q367">IFERROR(INDEX('Lookups - Rates'!$E:$E, MATCH($G367&amp;"|"&amp;$H367, 'Lookups - Rates'!$Z:$Z, 0)), "")</f>
        <v/>
      </c>
      <c r="R367" s="11">
        <f>LET(ev,$J367, ch,$L367, hr,$P367, dr,$Q367, hpday,Assumptions!$B$2, hpw,Assumptions!$B$3, w,$M367, hrs, IF($I367="Hours", ev, IF($I367="Days", ev*IF(dr&gt;0, dr/hr, hpday), IF($I367="FTE", ev*hpw*w, ch))), IF(hrs="", "", hrs*hr))</f>
        <v/>
      </c>
      <c r="S367" s="13" t="n"/>
      <c r="T367" s="11">
        <f t="array" ref="T367">XLOOKUP(Scenario_Selected, INDEX(Scenario_Table,0,1), INDEX(Scenario_Table,0,2))</f>
        <v/>
      </c>
      <c r="U367" s="11">
        <f t="array" ref="U367">XLOOKUP(Scenario_Selected, INDEX(Scenario_Table,0,1), INDEX(Scenario_Table,0,3))</f>
        <v/>
      </c>
      <c r="V367" s="11">
        <f t="array" ref="V367">XLOOKUP(Scenario_Selected, INDEX(Scenario_Table,0,1), INDEX(Scenario_Table,0,4))</f>
        <v/>
      </c>
      <c r="W367" s="11">
        <f t="array" ref="W367">LET(ev,$J367, ch,$L367, et,$I367, dr,$Q367, hpday,Assumptions!$B$2, hpw,Assumptions!$B$3, w,$M367,hm,INDIRECT("R[0]C[0]",FALSE),hrs, IF(et="Hours", ev, IF(et="Days", ev*IF(dr&gt;0, dr/$P367, hpday), IF(et="FTE", ev*hpw*w, ch))), IF(hrs="", "", hrs*hm))</f>
        <v/>
      </c>
      <c r="X367" s="11">
        <f>IF($P367="","", $P367*INDIRECT("R[0]C[-3]",FALSE))</f>
        <v/>
      </c>
      <c r="Y367" s="11">
        <f>IF(INDIRECT("R[0]C[-1]",FALSE)="","", INDIRECT("R[0]C[-2]",FALSE)*INDIRECT("R[0]C[-1]",FALSE)*(1+INDIRECT("R[0]C[-3]",FALSE)))</f>
        <v/>
      </c>
      <c r="Z367" s="13" t="n"/>
    </row>
    <row r="368" ht="15.75" customHeight="1" s="74">
      <c r="A368" s="11" t="n">
        <v>368</v>
      </c>
      <c r="C368" s="11">
        <f t="array" ref="C368">IFERROR(INDEX(Milestones!$A:$A, MATCH($B368, Milestones!$B:$B, 0)), "")</f>
        <v/>
      </c>
      <c r="D368" s="11">
        <f t="array" ref="D368">IFERROR(INDEX(Milestones!$C:$C, MATCH($B368, Milestones!$B:$B, 0)), "")</f>
        <v/>
      </c>
      <c r="F368" s="11">
        <f t="array" ref="F368">IFERROR(INDEX(Milestones!$E:$E, MATCH($B368, Milestones!$B:$B, 0)), "")</f>
        <v/>
      </c>
      <c r="I368" s="11" t="n"/>
      <c r="J368" s="20" t="n"/>
      <c r="K368" s="11" t="n"/>
      <c r="L368" s="11">
        <f t="array" ref="L368">IF($K368="","", IFERROR(IFS($K368="Low", INDEX('Lookups - Complexity'!$C:$C, MATCH($B368, 'Lookups - Complexity'!$B:$B,0)), $K368="Medium", INDEX('Lookups - Complexity'!$D:$D, MATCH($B368, 'Lookups - Complexity'!$B:$B,0)), $K368="High", INDEX('Lookups - Complexity'!$E:$E, MATCH($B368, 'Lookups - Complexity'!$B:$B,0))), ""))</f>
        <v/>
      </c>
      <c r="M368" s="11">
        <f>IF($I368="FTE", Assumptions!$B$3, "")</f>
        <v/>
      </c>
      <c r="N368" s="11">
        <f t="array" ref="N368">IFERROR(INDEX(Milestones!$F:$F, MATCH($B368, Milestones!$B:$B, 0)), "")</f>
        <v/>
      </c>
      <c r="O368" s="11">
        <f t="array" ref="O368">IFERROR(INDEX(Milestones!$G:$G, MATCH($B368, Milestones!$B:$B, 0)), "")</f>
        <v/>
      </c>
      <c r="P368" s="11">
        <f t="array" ref="P368">IFERROR(INDEX('Lookups - Rates'!$D:$D, MATCH($G368&amp;"|"&amp;$H368, 'Lookups - Rates'!$Z:$Z, 0)), "")</f>
        <v/>
      </c>
      <c r="Q368" s="11">
        <f t="array" ref="Q368">IFERROR(INDEX('Lookups - Rates'!$E:$E, MATCH($G368&amp;"|"&amp;$H368, 'Lookups - Rates'!$Z:$Z, 0)), "")</f>
        <v/>
      </c>
      <c r="R368" s="11">
        <f>LET(ev,$J368, ch,$L368, hr,$P368, dr,$Q368, hpday,Assumptions!$B$2, hpw,Assumptions!$B$3, w,$M368, hrs, IF($I368="Hours", ev, IF($I368="Days", ev*IF(dr&gt;0, dr/hr, hpday), IF($I368="FTE", ev*hpw*w, ch))), IF(hrs="", "", hrs*hr))</f>
        <v/>
      </c>
      <c r="S368" s="13" t="n"/>
      <c r="T368" s="11">
        <f t="array" ref="T368">XLOOKUP(Scenario_Selected, INDEX(Scenario_Table,0,1), INDEX(Scenario_Table,0,2))</f>
        <v/>
      </c>
      <c r="U368" s="11">
        <f t="array" ref="U368">XLOOKUP(Scenario_Selected, INDEX(Scenario_Table,0,1), INDEX(Scenario_Table,0,3))</f>
        <v/>
      </c>
      <c r="V368" s="11">
        <f t="array" ref="V368">XLOOKUP(Scenario_Selected, INDEX(Scenario_Table,0,1), INDEX(Scenario_Table,0,4))</f>
        <v/>
      </c>
      <c r="W368" s="11">
        <f t="array" ref="W368">LET(ev,$J368, ch,$L368, et,$I368, dr,$Q368, hpday,Assumptions!$B$2, hpw,Assumptions!$B$3, w,$M368,hm,INDIRECT("R[0]C[0]",FALSE),hrs, IF(et="Hours", ev, IF(et="Days", ev*IF(dr&gt;0, dr/$P368, hpday), IF(et="FTE", ev*hpw*w, ch))), IF(hrs="", "", hrs*hm))</f>
        <v/>
      </c>
      <c r="X368" s="11">
        <f>IF($P368="","", $P368*INDIRECT("R[0]C[-3]",FALSE))</f>
        <v/>
      </c>
      <c r="Y368" s="11">
        <f>IF(INDIRECT("R[0]C[-1]",FALSE)="","", INDIRECT("R[0]C[-2]",FALSE)*INDIRECT("R[0]C[-1]",FALSE)*(1+INDIRECT("R[0]C[-3]",FALSE)))</f>
        <v/>
      </c>
      <c r="Z368" s="13" t="n"/>
    </row>
    <row r="369" ht="15.75" customHeight="1" s="74">
      <c r="A369" s="11" t="n">
        <v>369</v>
      </c>
      <c r="C369" s="11">
        <f t="array" ref="C369">IFERROR(INDEX(Milestones!$A:$A, MATCH($B369, Milestones!$B:$B, 0)), "")</f>
        <v/>
      </c>
      <c r="D369" s="11">
        <f t="array" ref="D369">IFERROR(INDEX(Milestones!$C:$C, MATCH($B369, Milestones!$B:$B, 0)), "")</f>
        <v/>
      </c>
      <c r="F369" s="11">
        <f t="array" ref="F369">IFERROR(INDEX(Milestones!$E:$E, MATCH($B369, Milestones!$B:$B, 0)), "")</f>
        <v/>
      </c>
      <c r="I369" s="11" t="n"/>
      <c r="J369" s="20" t="n"/>
      <c r="K369" s="11" t="n"/>
      <c r="L369" s="11">
        <f t="array" ref="L369">IF($K369="","", IFERROR(IFS($K369="Low", INDEX('Lookups - Complexity'!$C:$C, MATCH($B369, 'Lookups - Complexity'!$B:$B,0)), $K369="Medium", INDEX('Lookups - Complexity'!$D:$D, MATCH($B369, 'Lookups - Complexity'!$B:$B,0)), $K369="High", INDEX('Lookups - Complexity'!$E:$E, MATCH($B369, 'Lookups - Complexity'!$B:$B,0))), ""))</f>
        <v/>
      </c>
      <c r="M369" s="11">
        <f>IF($I369="FTE", Assumptions!$B$3, "")</f>
        <v/>
      </c>
      <c r="N369" s="11">
        <f t="array" ref="N369">IFERROR(INDEX(Milestones!$F:$F, MATCH($B369, Milestones!$B:$B, 0)), "")</f>
        <v/>
      </c>
      <c r="O369" s="11">
        <f t="array" ref="O369">IFERROR(INDEX(Milestones!$G:$G, MATCH($B369, Milestones!$B:$B, 0)), "")</f>
        <v/>
      </c>
      <c r="P369" s="11">
        <f t="array" ref="P369">IFERROR(INDEX('Lookups - Rates'!$D:$D, MATCH($G369&amp;"|"&amp;$H369, 'Lookups - Rates'!$Z:$Z, 0)), "")</f>
        <v/>
      </c>
      <c r="Q369" s="11">
        <f t="array" ref="Q369">IFERROR(INDEX('Lookups - Rates'!$E:$E, MATCH($G369&amp;"|"&amp;$H369, 'Lookups - Rates'!$Z:$Z, 0)), "")</f>
        <v/>
      </c>
      <c r="R369" s="11">
        <f>LET(ev,$J369, ch,$L369, hr,$P369, dr,$Q369, hpday,Assumptions!$B$2, hpw,Assumptions!$B$3, w,$M369, hrs, IF($I369="Hours", ev, IF($I369="Days", ev*IF(dr&gt;0, dr/hr, hpday), IF($I369="FTE", ev*hpw*w, ch))), IF(hrs="", "", hrs*hr))</f>
        <v/>
      </c>
      <c r="S369" s="13" t="n"/>
      <c r="T369" s="11">
        <f t="array" ref="T369">XLOOKUP(Scenario_Selected, INDEX(Scenario_Table,0,1), INDEX(Scenario_Table,0,2))</f>
        <v/>
      </c>
      <c r="U369" s="11">
        <f t="array" ref="U369">XLOOKUP(Scenario_Selected, INDEX(Scenario_Table,0,1), INDEX(Scenario_Table,0,3))</f>
        <v/>
      </c>
      <c r="V369" s="11">
        <f t="array" ref="V369">XLOOKUP(Scenario_Selected, INDEX(Scenario_Table,0,1), INDEX(Scenario_Table,0,4))</f>
        <v/>
      </c>
      <c r="W369" s="11">
        <f t="array" ref="W369">LET(ev,$J369, ch,$L369, et,$I369, dr,$Q369, hpday,Assumptions!$B$2, hpw,Assumptions!$B$3, w,$M369,hm,INDIRECT("R[0]C[0]",FALSE),hrs, IF(et="Hours", ev, IF(et="Days", ev*IF(dr&gt;0, dr/$P369, hpday), IF(et="FTE", ev*hpw*w, ch))), IF(hrs="", "", hrs*hm))</f>
        <v/>
      </c>
      <c r="X369" s="11">
        <f>IF($P369="","", $P369*INDIRECT("R[0]C[-3]",FALSE))</f>
        <v/>
      </c>
      <c r="Y369" s="11">
        <f>IF(INDIRECT("R[0]C[-1]",FALSE)="","", INDIRECT("R[0]C[-2]",FALSE)*INDIRECT("R[0]C[-1]",FALSE)*(1+INDIRECT("R[0]C[-3]",FALSE)))</f>
        <v/>
      </c>
      <c r="Z369" s="13" t="n"/>
    </row>
    <row r="370" ht="15.75" customHeight="1" s="74">
      <c r="A370" s="11" t="n">
        <v>370</v>
      </c>
      <c r="C370" s="11">
        <f t="array" ref="C370">IFERROR(INDEX(Milestones!$A:$A, MATCH($B370, Milestones!$B:$B, 0)), "")</f>
        <v/>
      </c>
      <c r="D370" s="11">
        <f t="array" ref="D370">IFERROR(INDEX(Milestones!$C:$C, MATCH($B370, Milestones!$B:$B, 0)), "")</f>
        <v/>
      </c>
      <c r="F370" s="11">
        <f t="array" ref="F370">IFERROR(INDEX(Milestones!$E:$E, MATCH($B370, Milestones!$B:$B, 0)), "")</f>
        <v/>
      </c>
      <c r="I370" s="11" t="n"/>
      <c r="J370" s="20" t="n"/>
      <c r="K370" s="11" t="n"/>
      <c r="L370" s="11">
        <f t="array" ref="L370">IF($K370="","", IFERROR(IFS($K370="Low", INDEX('Lookups - Complexity'!$C:$C, MATCH($B370, 'Lookups - Complexity'!$B:$B,0)), $K370="Medium", INDEX('Lookups - Complexity'!$D:$D, MATCH($B370, 'Lookups - Complexity'!$B:$B,0)), $K370="High", INDEX('Lookups - Complexity'!$E:$E, MATCH($B370, 'Lookups - Complexity'!$B:$B,0))), ""))</f>
        <v/>
      </c>
      <c r="M370" s="11">
        <f>IF($I370="FTE", Assumptions!$B$3, "")</f>
        <v/>
      </c>
      <c r="N370" s="11">
        <f t="array" ref="N370">IFERROR(INDEX(Milestones!$F:$F, MATCH($B370, Milestones!$B:$B, 0)), "")</f>
        <v/>
      </c>
      <c r="O370" s="11">
        <f t="array" ref="O370">IFERROR(INDEX(Milestones!$G:$G, MATCH($B370, Milestones!$B:$B, 0)), "")</f>
        <v/>
      </c>
      <c r="P370" s="11">
        <f t="array" ref="P370">IFERROR(INDEX('Lookups - Rates'!$D:$D, MATCH($G370&amp;"|"&amp;$H370, 'Lookups - Rates'!$Z:$Z, 0)), "")</f>
        <v/>
      </c>
      <c r="Q370" s="11">
        <f t="array" ref="Q370">IFERROR(INDEX('Lookups - Rates'!$E:$E, MATCH($G370&amp;"|"&amp;$H370, 'Lookups - Rates'!$Z:$Z, 0)), "")</f>
        <v/>
      </c>
      <c r="R370" s="11">
        <f>LET(ev,$J370, ch,$L370, hr,$P370, dr,$Q370, hpday,Assumptions!$B$2, hpw,Assumptions!$B$3, w,$M370, hrs, IF($I370="Hours", ev, IF($I370="Days", ev*IF(dr&gt;0, dr/hr, hpday), IF($I370="FTE", ev*hpw*w, ch))), IF(hrs="", "", hrs*hr))</f>
        <v/>
      </c>
      <c r="S370" s="13" t="n"/>
      <c r="T370" s="11">
        <f t="array" ref="T370">XLOOKUP(Scenario_Selected, INDEX(Scenario_Table,0,1), INDEX(Scenario_Table,0,2))</f>
        <v/>
      </c>
      <c r="U370" s="11">
        <f t="array" ref="U370">XLOOKUP(Scenario_Selected, INDEX(Scenario_Table,0,1), INDEX(Scenario_Table,0,3))</f>
        <v/>
      </c>
      <c r="V370" s="11">
        <f t="array" ref="V370">XLOOKUP(Scenario_Selected, INDEX(Scenario_Table,0,1), INDEX(Scenario_Table,0,4))</f>
        <v/>
      </c>
      <c r="W370" s="11">
        <f t="array" ref="W370">LET(ev,$J370, ch,$L370, et,$I370, dr,$Q370, hpday,Assumptions!$B$2, hpw,Assumptions!$B$3, w,$M370,hm,INDIRECT("R[0]C[0]",FALSE),hrs, IF(et="Hours", ev, IF(et="Days", ev*IF(dr&gt;0, dr/$P370, hpday), IF(et="FTE", ev*hpw*w, ch))), IF(hrs="", "", hrs*hm))</f>
        <v/>
      </c>
      <c r="X370" s="11">
        <f>IF($P370="","", $P370*INDIRECT("R[0]C[-3]",FALSE))</f>
        <v/>
      </c>
      <c r="Y370" s="11">
        <f>IF(INDIRECT("R[0]C[-1]",FALSE)="","", INDIRECT("R[0]C[-2]",FALSE)*INDIRECT("R[0]C[-1]",FALSE)*(1+INDIRECT("R[0]C[-3]",FALSE)))</f>
        <v/>
      </c>
      <c r="Z370" s="13" t="n"/>
    </row>
    <row r="371" ht="15.75" customHeight="1" s="74">
      <c r="A371" s="11" t="n">
        <v>371</v>
      </c>
      <c r="C371" s="11">
        <f t="array" ref="C371">IFERROR(INDEX(Milestones!$A:$A, MATCH($B371, Milestones!$B:$B, 0)), "")</f>
        <v/>
      </c>
      <c r="D371" s="11">
        <f t="array" ref="D371">IFERROR(INDEX(Milestones!$C:$C, MATCH($B371, Milestones!$B:$B, 0)), "")</f>
        <v/>
      </c>
      <c r="F371" s="11">
        <f t="array" ref="F371">IFERROR(INDEX(Milestones!$E:$E, MATCH($B371, Milestones!$B:$B, 0)), "")</f>
        <v/>
      </c>
      <c r="I371" s="11" t="n"/>
      <c r="J371" s="20" t="n"/>
      <c r="K371" s="11" t="n"/>
      <c r="L371" s="11">
        <f t="array" ref="L371">IF($K371="","", IFERROR(IFS($K371="Low", INDEX('Lookups - Complexity'!$C:$C, MATCH($B371, 'Lookups - Complexity'!$B:$B,0)), $K371="Medium", INDEX('Lookups - Complexity'!$D:$D, MATCH($B371, 'Lookups - Complexity'!$B:$B,0)), $K371="High", INDEX('Lookups - Complexity'!$E:$E, MATCH($B371, 'Lookups - Complexity'!$B:$B,0))), ""))</f>
        <v/>
      </c>
      <c r="M371" s="11">
        <f>IF($I371="FTE", Assumptions!$B$3, "")</f>
        <v/>
      </c>
      <c r="N371" s="11">
        <f t="array" ref="N371">IFERROR(INDEX(Milestones!$F:$F, MATCH($B371, Milestones!$B:$B, 0)), "")</f>
        <v/>
      </c>
      <c r="O371" s="11">
        <f t="array" ref="O371">IFERROR(INDEX(Milestones!$G:$G, MATCH($B371, Milestones!$B:$B, 0)), "")</f>
        <v/>
      </c>
      <c r="P371" s="11">
        <f t="array" ref="P371">IFERROR(INDEX('Lookups - Rates'!$D:$D, MATCH($G371&amp;"|"&amp;$H371, 'Lookups - Rates'!$Z:$Z, 0)), "")</f>
        <v/>
      </c>
      <c r="Q371" s="11">
        <f t="array" ref="Q371">IFERROR(INDEX('Lookups - Rates'!$E:$E, MATCH($G371&amp;"|"&amp;$H371, 'Lookups - Rates'!$Z:$Z, 0)), "")</f>
        <v/>
      </c>
      <c r="R371" s="11">
        <f>LET(ev,$J371, ch,$L371, hr,$P371, dr,$Q371, hpday,Assumptions!$B$2, hpw,Assumptions!$B$3, w,$M371, hrs, IF($I371="Hours", ev, IF($I371="Days", ev*IF(dr&gt;0, dr/hr, hpday), IF($I371="FTE", ev*hpw*w, ch))), IF(hrs="", "", hrs*hr))</f>
        <v/>
      </c>
      <c r="S371" s="13" t="n"/>
      <c r="T371" s="11">
        <f t="array" ref="T371">XLOOKUP(Scenario_Selected, INDEX(Scenario_Table,0,1), INDEX(Scenario_Table,0,2))</f>
        <v/>
      </c>
      <c r="U371" s="11">
        <f t="array" ref="U371">XLOOKUP(Scenario_Selected, INDEX(Scenario_Table,0,1), INDEX(Scenario_Table,0,3))</f>
        <v/>
      </c>
      <c r="V371" s="11">
        <f t="array" ref="V371">XLOOKUP(Scenario_Selected, INDEX(Scenario_Table,0,1), INDEX(Scenario_Table,0,4))</f>
        <v/>
      </c>
      <c r="W371" s="11">
        <f t="array" ref="W371">LET(ev,$J371, ch,$L371, et,$I371, dr,$Q371, hpday,Assumptions!$B$2, hpw,Assumptions!$B$3, w,$M371,hm,INDIRECT("R[0]C[0]",FALSE),hrs, IF(et="Hours", ev, IF(et="Days", ev*IF(dr&gt;0, dr/$P371, hpday), IF(et="FTE", ev*hpw*w, ch))), IF(hrs="", "", hrs*hm))</f>
        <v/>
      </c>
      <c r="X371" s="11">
        <f>IF($P371="","", $P371*INDIRECT("R[0]C[-3]",FALSE))</f>
        <v/>
      </c>
      <c r="Y371" s="11">
        <f>IF(INDIRECT("R[0]C[-1]",FALSE)="","", INDIRECT("R[0]C[-2]",FALSE)*INDIRECT("R[0]C[-1]",FALSE)*(1+INDIRECT("R[0]C[-3]",FALSE)))</f>
        <v/>
      </c>
      <c r="Z371" s="13" t="n"/>
    </row>
    <row r="372" ht="15.75" customHeight="1" s="74">
      <c r="A372" s="11" t="n">
        <v>372</v>
      </c>
      <c r="C372" s="11">
        <f t="array" ref="C372">IFERROR(INDEX(Milestones!$A:$A, MATCH($B372, Milestones!$B:$B, 0)), "")</f>
        <v/>
      </c>
      <c r="D372" s="11">
        <f t="array" ref="D372">IFERROR(INDEX(Milestones!$C:$C, MATCH($B372, Milestones!$B:$B, 0)), "")</f>
        <v/>
      </c>
      <c r="F372" s="11">
        <f t="array" ref="F372">IFERROR(INDEX(Milestones!$E:$E, MATCH($B372, Milestones!$B:$B, 0)), "")</f>
        <v/>
      </c>
      <c r="I372" s="11" t="n"/>
      <c r="J372" s="20" t="n"/>
      <c r="K372" s="11" t="n"/>
      <c r="L372" s="11">
        <f t="array" ref="L372">IF($K372="","", IFERROR(IFS($K372="Low", INDEX('Lookups - Complexity'!$C:$C, MATCH($B372, 'Lookups - Complexity'!$B:$B,0)), $K372="Medium", INDEX('Lookups - Complexity'!$D:$D, MATCH($B372, 'Lookups - Complexity'!$B:$B,0)), $K372="High", INDEX('Lookups - Complexity'!$E:$E, MATCH($B372, 'Lookups - Complexity'!$B:$B,0))), ""))</f>
        <v/>
      </c>
      <c r="M372" s="11">
        <f>IF($I372="FTE", Assumptions!$B$3, "")</f>
        <v/>
      </c>
      <c r="N372" s="11">
        <f t="array" ref="N372">IFERROR(INDEX(Milestones!$F:$F, MATCH($B372, Milestones!$B:$B, 0)), "")</f>
        <v/>
      </c>
      <c r="O372" s="11">
        <f t="array" ref="O372">IFERROR(INDEX(Milestones!$G:$G, MATCH($B372, Milestones!$B:$B, 0)), "")</f>
        <v/>
      </c>
      <c r="P372" s="11">
        <f t="array" ref="P372">IFERROR(INDEX('Lookups - Rates'!$D:$D, MATCH($G372&amp;"|"&amp;$H372, 'Lookups - Rates'!$Z:$Z, 0)), "")</f>
        <v/>
      </c>
      <c r="Q372" s="11">
        <f t="array" ref="Q372">IFERROR(INDEX('Lookups - Rates'!$E:$E, MATCH($G372&amp;"|"&amp;$H372, 'Lookups - Rates'!$Z:$Z, 0)), "")</f>
        <v/>
      </c>
      <c r="R372" s="11">
        <f>LET(ev,$J372, ch,$L372, hr,$P372, dr,$Q372, hpday,Assumptions!$B$2, hpw,Assumptions!$B$3, w,$M372, hrs, IF($I372="Hours", ev, IF($I372="Days", ev*IF(dr&gt;0, dr/hr, hpday), IF($I372="FTE", ev*hpw*w, ch))), IF(hrs="", "", hrs*hr))</f>
        <v/>
      </c>
      <c r="S372" s="13" t="n"/>
      <c r="T372" s="11">
        <f t="array" ref="T372">XLOOKUP(Scenario_Selected, INDEX(Scenario_Table,0,1), INDEX(Scenario_Table,0,2))</f>
        <v/>
      </c>
      <c r="U372" s="11">
        <f t="array" ref="U372">XLOOKUP(Scenario_Selected, INDEX(Scenario_Table,0,1), INDEX(Scenario_Table,0,3))</f>
        <v/>
      </c>
      <c r="V372" s="11">
        <f t="array" ref="V372">XLOOKUP(Scenario_Selected, INDEX(Scenario_Table,0,1), INDEX(Scenario_Table,0,4))</f>
        <v/>
      </c>
      <c r="W372" s="11">
        <f t="array" ref="W372">LET(ev,$J372, ch,$L372, et,$I372, dr,$Q372, hpday,Assumptions!$B$2, hpw,Assumptions!$B$3, w,$M372,hm,INDIRECT("R[0]C[0]",FALSE),hrs, IF(et="Hours", ev, IF(et="Days", ev*IF(dr&gt;0, dr/$P372, hpday), IF(et="FTE", ev*hpw*w, ch))), IF(hrs="", "", hrs*hm))</f>
        <v/>
      </c>
      <c r="X372" s="11">
        <f>IF($P372="","", $P372*INDIRECT("R[0]C[-3]",FALSE))</f>
        <v/>
      </c>
      <c r="Y372" s="11">
        <f>IF(INDIRECT("R[0]C[-1]",FALSE)="","", INDIRECT("R[0]C[-2]",FALSE)*INDIRECT("R[0]C[-1]",FALSE)*(1+INDIRECT("R[0]C[-3]",FALSE)))</f>
        <v/>
      </c>
      <c r="Z372" s="13" t="n"/>
    </row>
    <row r="373" ht="15.75" customHeight="1" s="74">
      <c r="A373" s="11" t="n">
        <v>373</v>
      </c>
      <c r="C373" s="11">
        <f t="array" ref="C373">IFERROR(INDEX(Milestones!$A:$A, MATCH($B373, Milestones!$B:$B, 0)), "")</f>
        <v/>
      </c>
      <c r="D373" s="11">
        <f t="array" ref="D373">IFERROR(INDEX(Milestones!$C:$C, MATCH($B373, Milestones!$B:$B, 0)), "")</f>
        <v/>
      </c>
      <c r="F373" s="11">
        <f t="array" ref="F373">IFERROR(INDEX(Milestones!$E:$E, MATCH($B373, Milestones!$B:$B, 0)), "")</f>
        <v/>
      </c>
      <c r="I373" s="11" t="n"/>
      <c r="J373" s="20" t="n"/>
      <c r="K373" s="11" t="n"/>
      <c r="L373" s="11">
        <f t="array" ref="L373">IF($K373="","", IFERROR(IFS($K373="Low", INDEX('Lookups - Complexity'!$C:$C, MATCH($B373, 'Lookups - Complexity'!$B:$B,0)), $K373="Medium", INDEX('Lookups - Complexity'!$D:$D, MATCH($B373, 'Lookups - Complexity'!$B:$B,0)), $K373="High", INDEX('Lookups - Complexity'!$E:$E, MATCH($B373, 'Lookups - Complexity'!$B:$B,0))), ""))</f>
        <v/>
      </c>
      <c r="M373" s="11">
        <f>IF($I373="FTE", Assumptions!$B$3, "")</f>
        <v/>
      </c>
      <c r="N373" s="11">
        <f t="array" ref="N373">IFERROR(INDEX(Milestones!$F:$F, MATCH($B373, Milestones!$B:$B, 0)), "")</f>
        <v/>
      </c>
      <c r="O373" s="11">
        <f t="array" ref="O373">IFERROR(INDEX(Milestones!$G:$G, MATCH($B373, Milestones!$B:$B, 0)), "")</f>
        <v/>
      </c>
      <c r="P373" s="11">
        <f t="array" ref="P373">IFERROR(INDEX('Lookups - Rates'!$D:$D, MATCH($G373&amp;"|"&amp;$H373, 'Lookups - Rates'!$Z:$Z, 0)), "")</f>
        <v/>
      </c>
      <c r="Q373" s="11">
        <f t="array" ref="Q373">IFERROR(INDEX('Lookups - Rates'!$E:$E, MATCH($G373&amp;"|"&amp;$H373, 'Lookups - Rates'!$Z:$Z, 0)), "")</f>
        <v/>
      </c>
      <c r="R373" s="11">
        <f>LET(ev,$J373, ch,$L373, hr,$P373, dr,$Q373, hpday,Assumptions!$B$2, hpw,Assumptions!$B$3, w,$M373, hrs, IF($I373="Hours", ev, IF($I373="Days", ev*IF(dr&gt;0, dr/hr, hpday), IF($I373="FTE", ev*hpw*w, ch))), IF(hrs="", "", hrs*hr))</f>
        <v/>
      </c>
      <c r="S373" s="13" t="n"/>
      <c r="T373" s="11">
        <f t="array" ref="T373">XLOOKUP(Scenario_Selected, INDEX(Scenario_Table,0,1), INDEX(Scenario_Table,0,2))</f>
        <v/>
      </c>
      <c r="U373" s="11">
        <f t="array" ref="U373">XLOOKUP(Scenario_Selected, INDEX(Scenario_Table,0,1), INDEX(Scenario_Table,0,3))</f>
        <v/>
      </c>
      <c r="V373" s="11">
        <f t="array" ref="V373">XLOOKUP(Scenario_Selected, INDEX(Scenario_Table,0,1), INDEX(Scenario_Table,0,4))</f>
        <v/>
      </c>
      <c r="W373" s="11">
        <f t="array" ref="W373">LET(ev,$J373, ch,$L373, et,$I373, dr,$Q373, hpday,Assumptions!$B$2, hpw,Assumptions!$B$3, w,$M373,hm,INDIRECT("R[0]C[0]",FALSE),hrs, IF(et="Hours", ev, IF(et="Days", ev*IF(dr&gt;0, dr/$P373, hpday), IF(et="FTE", ev*hpw*w, ch))), IF(hrs="", "", hrs*hm))</f>
        <v/>
      </c>
      <c r="X373" s="11">
        <f>IF($P373="","", $P373*INDIRECT("R[0]C[-3]",FALSE))</f>
        <v/>
      </c>
      <c r="Y373" s="11">
        <f>IF(INDIRECT("R[0]C[-1]",FALSE)="","", INDIRECT("R[0]C[-2]",FALSE)*INDIRECT("R[0]C[-1]",FALSE)*(1+INDIRECT("R[0]C[-3]",FALSE)))</f>
        <v/>
      </c>
      <c r="Z373" s="13" t="n"/>
    </row>
    <row r="374" ht="15.75" customHeight="1" s="74">
      <c r="A374" s="11" t="n">
        <v>374</v>
      </c>
      <c r="C374" s="11">
        <f t="array" ref="C374">IFERROR(INDEX(Milestones!$A:$A, MATCH($B374, Milestones!$B:$B, 0)), "")</f>
        <v/>
      </c>
      <c r="D374" s="11">
        <f t="array" ref="D374">IFERROR(INDEX(Milestones!$C:$C, MATCH($B374, Milestones!$B:$B, 0)), "")</f>
        <v/>
      </c>
      <c r="F374" s="11">
        <f t="array" ref="F374">IFERROR(INDEX(Milestones!$E:$E, MATCH($B374, Milestones!$B:$B, 0)), "")</f>
        <v/>
      </c>
      <c r="I374" s="11" t="n"/>
      <c r="J374" s="20" t="n"/>
      <c r="K374" s="11" t="n"/>
      <c r="L374" s="11">
        <f t="array" ref="L374">IF($K374="","", IFERROR(IFS($K374="Low", INDEX('Lookups - Complexity'!$C:$C, MATCH($B374, 'Lookups - Complexity'!$B:$B,0)), $K374="Medium", INDEX('Lookups - Complexity'!$D:$D, MATCH($B374, 'Lookups - Complexity'!$B:$B,0)), $K374="High", INDEX('Lookups - Complexity'!$E:$E, MATCH($B374, 'Lookups - Complexity'!$B:$B,0))), ""))</f>
        <v/>
      </c>
      <c r="M374" s="11">
        <f>IF($I374="FTE", Assumptions!$B$3, "")</f>
        <v/>
      </c>
      <c r="N374" s="11">
        <f t="array" ref="N374">IFERROR(INDEX(Milestones!$F:$F, MATCH($B374, Milestones!$B:$B, 0)), "")</f>
        <v/>
      </c>
      <c r="O374" s="11">
        <f t="array" ref="O374">IFERROR(INDEX(Milestones!$G:$G, MATCH($B374, Milestones!$B:$B, 0)), "")</f>
        <v/>
      </c>
      <c r="P374" s="11">
        <f t="array" ref="P374">IFERROR(INDEX('Lookups - Rates'!$D:$D, MATCH($G374&amp;"|"&amp;$H374, 'Lookups - Rates'!$Z:$Z, 0)), "")</f>
        <v/>
      </c>
      <c r="Q374" s="11">
        <f t="array" ref="Q374">IFERROR(INDEX('Lookups - Rates'!$E:$E, MATCH($G374&amp;"|"&amp;$H374, 'Lookups - Rates'!$Z:$Z, 0)), "")</f>
        <v/>
      </c>
      <c r="R374" s="11">
        <f>LET(ev,$J374, ch,$L374, hr,$P374, dr,$Q374, hpday,Assumptions!$B$2, hpw,Assumptions!$B$3, w,$M374, hrs, IF($I374="Hours", ev, IF($I374="Days", ev*IF(dr&gt;0, dr/hr, hpday), IF($I374="FTE", ev*hpw*w, ch))), IF(hrs="", "", hrs*hr))</f>
        <v/>
      </c>
      <c r="S374" s="13" t="n"/>
      <c r="T374" s="11">
        <f t="array" ref="T374">XLOOKUP(Scenario_Selected, INDEX(Scenario_Table,0,1), INDEX(Scenario_Table,0,2))</f>
        <v/>
      </c>
      <c r="U374" s="11">
        <f t="array" ref="U374">XLOOKUP(Scenario_Selected, INDEX(Scenario_Table,0,1), INDEX(Scenario_Table,0,3))</f>
        <v/>
      </c>
      <c r="V374" s="11">
        <f t="array" ref="V374">XLOOKUP(Scenario_Selected, INDEX(Scenario_Table,0,1), INDEX(Scenario_Table,0,4))</f>
        <v/>
      </c>
      <c r="W374" s="11">
        <f t="array" ref="W374">LET(ev,$J374, ch,$L374, et,$I374, dr,$Q374, hpday,Assumptions!$B$2, hpw,Assumptions!$B$3, w,$M374,hm,INDIRECT("R[0]C[0]",FALSE),hrs, IF(et="Hours", ev, IF(et="Days", ev*IF(dr&gt;0, dr/$P374, hpday), IF(et="FTE", ev*hpw*w, ch))), IF(hrs="", "", hrs*hm))</f>
        <v/>
      </c>
      <c r="X374" s="11">
        <f>IF($P374="","", $P374*INDIRECT("R[0]C[-3]",FALSE))</f>
        <v/>
      </c>
      <c r="Y374" s="11">
        <f>IF(INDIRECT("R[0]C[-1]",FALSE)="","", INDIRECT("R[0]C[-2]",FALSE)*INDIRECT("R[0]C[-1]",FALSE)*(1+INDIRECT("R[0]C[-3]",FALSE)))</f>
        <v/>
      </c>
      <c r="Z374" s="13" t="n"/>
    </row>
    <row r="375" ht="15.75" customHeight="1" s="74">
      <c r="A375" s="11" t="n">
        <v>375</v>
      </c>
      <c r="C375" s="11">
        <f t="array" ref="C375">IFERROR(INDEX(Milestones!$A:$A, MATCH($B375, Milestones!$B:$B, 0)), "")</f>
        <v/>
      </c>
      <c r="D375" s="11">
        <f t="array" ref="D375">IFERROR(INDEX(Milestones!$C:$C, MATCH($B375, Milestones!$B:$B, 0)), "")</f>
        <v/>
      </c>
      <c r="F375" s="11">
        <f t="array" ref="F375">IFERROR(INDEX(Milestones!$E:$E, MATCH($B375, Milestones!$B:$B, 0)), "")</f>
        <v/>
      </c>
      <c r="I375" s="11" t="n"/>
      <c r="J375" s="20" t="n"/>
      <c r="K375" s="11" t="n"/>
      <c r="L375" s="11">
        <f t="array" ref="L375">IF($K375="","", IFERROR(IFS($K375="Low", INDEX('Lookups - Complexity'!$C:$C, MATCH($B375, 'Lookups - Complexity'!$B:$B,0)), $K375="Medium", INDEX('Lookups - Complexity'!$D:$D, MATCH($B375, 'Lookups - Complexity'!$B:$B,0)), $K375="High", INDEX('Lookups - Complexity'!$E:$E, MATCH($B375, 'Lookups - Complexity'!$B:$B,0))), ""))</f>
        <v/>
      </c>
      <c r="M375" s="11">
        <f>IF($I375="FTE", Assumptions!$B$3, "")</f>
        <v/>
      </c>
      <c r="N375" s="11">
        <f t="array" ref="N375">IFERROR(INDEX(Milestones!$F:$F, MATCH($B375, Milestones!$B:$B, 0)), "")</f>
        <v/>
      </c>
      <c r="O375" s="11">
        <f t="array" ref="O375">IFERROR(INDEX(Milestones!$G:$G, MATCH($B375, Milestones!$B:$B, 0)), "")</f>
        <v/>
      </c>
      <c r="P375" s="11">
        <f t="array" ref="P375">IFERROR(INDEX('Lookups - Rates'!$D:$D, MATCH($G375&amp;"|"&amp;$H375, 'Lookups - Rates'!$Z:$Z, 0)), "")</f>
        <v/>
      </c>
      <c r="Q375" s="11">
        <f t="array" ref="Q375">IFERROR(INDEX('Lookups - Rates'!$E:$E, MATCH($G375&amp;"|"&amp;$H375, 'Lookups - Rates'!$Z:$Z, 0)), "")</f>
        <v/>
      </c>
      <c r="R375" s="11">
        <f>LET(ev,$J375, ch,$L375, hr,$P375, dr,$Q375, hpday,Assumptions!$B$2, hpw,Assumptions!$B$3, w,$M375, hrs, IF($I375="Hours", ev, IF($I375="Days", ev*IF(dr&gt;0, dr/hr, hpday), IF($I375="FTE", ev*hpw*w, ch))), IF(hrs="", "", hrs*hr))</f>
        <v/>
      </c>
      <c r="S375" s="13" t="n"/>
      <c r="T375" s="11">
        <f t="array" ref="T375">XLOOKUP(Scenario_Selected, INDEX(Scenario_Table,0,1), INDEX(Scenario_Table,0,2))</f>
        <v/>
      </c>
      <c r="U375" s="11">
        <f t="array" ref="U375">XLOOKUP(Scenario_Selected, INDEX(Scenario_Table,0,1), INDEX(Scenario_Table,0,3))</f>
        <v/>
      </c>
      <c r="V375" s="11">
        <f t="array" ref="V375">XLOOKUP(Scenario_Selected, INDEX(Scenario_Table,0,1), INDEX(Scenario_Table,0,4))</f>
        <v/>
      </c>
      <c r="W375" s="11">
        <f t="array" ref="W375">LET(ev,$J375, ch,$L375, et,$I375, dr,$Q375, hpday,Assumptions!$B$2, hpw,Assumptions!$B$3, w,$M375,hm,INDIRECT("R[0]C[0]",FALSE),hrs, IF(et="Hours", ev, IF(et="Days", ev*IF(dr&gt;0, dr/$P375, hpday), IF(et="FTE", ev*hpw*w, ch))), IF(hrs="", "", hrs*hm))</f>
        <v/>
      </c>
      <c r="X375" s="11">
        <f>IF($P375="","", $P375*INDIRECT("R[0]C[-3]",FALSE))</f>
        <v/>
      </c>
      <c r="Y375" s="11">
        <f>IF(INDIRECT("R[0]C[-1]",FALSE)="","", INDIRECT("R[0]C[-2]",FALSE)*INDIRECT("R[0]C[-1]",FALSE)*(1+INDIRECT("R[0]C[-3]",FALSE)))</f>
        <v/>
      </c>
      <c r="Z375" s="13" t="n"/>
    </row>
    <row r="376" ht="15.75" customHeight="1" s="74">
      <c r="A376" s="11" t="n">
        <v>376</v>
      </c>
      <c r="C376" s="11">
        <f t="array" ref="C376">IFERROR(INDEX(Milestones!$A:$A, MATCH($B376, Milestones!$B:$B, 0)), "")</f>
        <v/>
      </c>
      <c r="D376" s="11">
        <f t="array" ref="D376">IFERROR(INDEX(Milestones!$C:$C, MATCH($B376, Milestones!$B:$B, 0)), "")</f>
        <v/>
      </c>
      <c r="F376" s="11">
        <f t="array" ref="F376">IFERROR(INDEX(Milestones!$E:$E, MATCH($B376, Milestones!$B:$B, 0)), "")</f>
        <v/>
      </c>
      <c r="I376" s="11" t="n"/>
      <c r="J376" s="20" t="n"/>
      <c r="K376" s="11" t="n"/>
      <c r="L376" s="11">
        <f t="array" ref="L376">IF($K376="","", IFERROR(IFS($K376="Low", INDEX('Lookups - Complexity'!$C:$C, MATCH($B376, 'Lookups - Complexity'!$B:$B,0)), $K376="Medium", INDEX('Lookups - Complexity'!$D:$D, MATCH($B376, 'Lookups - Complexity'!$B:$B,0)), $K376="High", INDEX('Lookups - Complexity'!$E:$E, MATCH($B376, 'Lookups - Complexity'!$B:$B,0))), ""))</f>
        <v/>
      </c>
      <c r="M376" s="11">
        <f>IF($I376="FTE", Assumptions!$B$3, "")</f>
        <v/>
      </c>
      <c r="N376" s="11">
        <f t="array" ref="N376">IFERROR(INDEX(Milestones!$F:$F, MATCH($B376, Milestones!$B:$B, 0)), "")</f>
        <v/>
      </c>
      <c r="O376" s="11">
        <f t="array" ref="O376">IFERROR(INDEX(Milestones!$G:$G, MATCH($B376, Milestones!$B:$B, 0)), "")</f>
        <v/>
      </c>
      <c r="P376" s="11">
        <f t="array" ref="P376">IFERROR(INDEX('Lookups - Rates'!$D:$D, MATCH($G376&amp;"|"&amp;$H376, 'Lookups - Rates'!$Z:$Z, 0)), "")</f>
        <v/>
      </c>
      <c r="Q376" s="11">
        <f t="array" ref="Q376">IFERROR(INDEX('Lookups - Rates'!$E:$E, MATCH($G376&amp;"|"&amp;$H376, 'Lookups - Rates'!$Z:$Z, 0)), "")</f>
        <v/>
      </c>
      <c r="R376" s="11">
        <f>LET(ev,$J376, ch,$L376, hr,$P376, dr,$Q376, hpday,Assumptions!$B$2, hpw,Assumptions!$B$3, w,$M376, hrs, IF($I376="Hours", ev, IF($I376="Days", ev*IF(dr&gt;0, dr/hr, hpday), IF($I376="FTE", ev*hpw*w, ch))), IF(hrs="", "", hrs*hr))</f>
        <v/>
      </c>
      <c r="S376" s="13" t="n"/>
      <c r="T376" s="11">
        <f t="array" ref="T376">XLOOKUP(Scenario_Selected, INDEX(Scenario_Table,0,1), INDEX(Scenario_Table,0,2))</f>
        <v/>
      </c>
      <c r="U376" s="11">
        <f t="array" ref="U376">XLOOKUP(Scenario_Selected, INDEX(Scenario_Table,0,1), INDEX(Scenario_Table,0,3))</f>
        <v/>
      </c>
      <c r="V376" s="11">
        <f t="array" ref="V376">XLOOKUP(Scenario_Selected, INDEX(Scenario_Table,0,1), INDEX(Scenario_Table,0,4))</f>
        <v/>
      </c>
      <c r="W376" s="11">
        <f t="array" ref="W376">LET(ev,$J376, ch,$L376, et,$I376, dr,$Q376, hpday,Assumptions!$B$2, hpw,Assumptions!$B$3, w,$M376,hm,INDIRECT("R[0]C[0]",FALSE),hrs, IF(et="Hours", ev, IF(et="Days", ev*IF(dr&gt;0, dr/$P376, hpday), IF(et="FTE", ev*hpw*w, ch))), IF(hrs="", "", hrs*hm))</f>
        <v/>
      </c>
      <c r="X376" s="11">
        <f>IF($P376="","", $P376*INDIRECT("R[0]C[-3]",FALSE))</f>
        <v/>
      </c>
      <c r="Y376" s="11">
        <f>IF(INDIRECT("R[0]C[-1]",FALSE)="","", INDIRECT("R[0]C[-2]",FALSE)*INDIRECT("R[0]C[-1]",FALSE)*(1+INDIRECT("R[0]C[-3]",FALSE)))</f>
        <v/>
      </c>
      <c r="Z376" s="13" t="n"/>
    </row>
    <row r="377" ht="15.75" customHeight="1" s="74">
      <c r="A377" s="11" t="n">
        <v>377</v>
      </c>
      <c r="C377" s="11">
        <f t="array" ref="C377">IFERROR(INDEX(Milestones!$A:$A, MATCH($B377, Milestones!$B:$B, 0)), "")</f>
        <v/>
      </c>
      <c r="D377" s="11">
        <f t="array" ref="D377">IFERROR(INDEX(Milestones!$C:$C, MATCH($B377, Milestones!$B:$B, 0)), "")</f>
        <v/>
      </c>
      <c r="F377" s="11">
        <f t="array" ref="F377">IFERROR(INDEX(Milestones!$E:$E, MATCH($B377, Milestones!$B:$B, 0)), "")</f>
        <v/>
      </c>
      <c r="I377" s="11" t="n"/>
      <c r="J377" s="20" t="n"/>
      <c r="K377" s="11" t="n"/>
      <c r="L377" s="11">
        <f t="array" ref="L377">IF($K377="","", IFERROR(IFS($K377="Low", INDEX('Lookups - Complexity'!$C:$C, MATCH($B377, 'Lookups - Complexity'!$B:$B,0)), $K377="Medium", INDEX('Lookups - Complexity'!$D:$D, MATCH($B377, 'Lookups - Complexity'!$B:$B,0)), $K377="High", INDEX('Lookups - Complexity'!$E:$E, MATCH($B377, 'Lookups - Complexity'!$B:$B,0))), ""))</f>
        <v/>
      </c>
      <c r="M377" s="11">
        <f>IF($I377="FTE", Assumptions!$B$3, "")</f>
        <v/>
      </c>
      <c r="N377" s="11">
        <f t="array" ref="N377">IFERROR(INDEX(Milestones!$F:$F, MATCH($B377, Milestones!$B:$B, 0)), "")</f>
        <v/>
      </c>
      <c r="O377" s="11">
        <f t="array" ref="O377">IFERROR(INDEX(Milestones!$G:$G, MATCH($B377, Milestones!$B:$B, 0)), "")</f>
        <v/>
      </c>
      <c r="P377" s="11">
        <f t="array" ref="P377">IFERROR(INDEX('Lookups - Rates'!$D:$D, MATCH($G377&amp;"|"&amp;$H377, 'Lookups - Rates'!$Z:$Z, 0)), "")</f>
        <v/>
      </c>
      <c r="Q377" s="11">
        <f t="array" ref="Q377">IFERROR(INDEX('Lookups - Rates'!$E:$E, MATCH($G377&amp;"|"&amp;$H377, 'Lookups - Rates'!$Z:$Z, 0)), "")</f>
        <v/>
      </c>
      <c r="R377" s="11">
        <f>LET(ev,$J377, ch,$L377, hr,$P377, dr,$Q377, hpday,Assumptions!$B$2, hpw,Assumptions!$B$3, w,$M377, hrs, IF($I377="Hours", ev, IF($I377="Days", ev*IF(dr&gt;0, dr/hr, hpday), IF($I377="FTE", ev*hpw*w, ch))), IF(hrs="", "", hrs*hr))</f>
        <v/>
      </c>
      <c r="S377" s="13" t="n"/>
      <c r="T377" s="11">
        <f t="array" ref="T377">XLOOKUP(Scenario_Selected, INDEX(Scenario_Table,0,1), INDEX(Scenario_Table,0,2))</f>
        <v/>
      </c>
      <c r="U377" s="11">
        <f t="array" ref="U377">XLOOKUP(Scenario_Selected, INDEX(Scenario_Table,0,1), INDEX(Scenario_Table,0,3))</f>
        <v/>
      </c>
      <c r="V377" s="11">
        <f t="array" ref="V377">XLOOKUP(Scenario_Selected, INDEX(Scenario_Table,0,1), INDEX(Scenario_Table,0,4))</f>
        <v/>
      </c>
      <c r="W377" s="11">
        <f t="array" ref="W377">LET(ev,$J377, ch,$L377, et,$I377, dr,$Q377, hpday,Assumptions!$B$2, hpw,Assumptions!$B$3, w,$M377,hm,INDIRECT("R[0]C[0]",FALSE),hrs, IF(et="Hours", ev, IF(et="Days", ev*IF(dr&gt;0, dr/$P377, hpday), IF(et="FTE", ev*hpw*w, ch))), IF(hrs="", "", hrs*hm))</f>
        <v/>
      </c>
      <c r="X377" s="11">
        <f>IF($P377="","", $P377*INDIRECT("R[0]C[-3]",FALSE))</f>
        <v/>
      </c>
      <c r="Y377" s="11">
        <f>IF(INDIRECT("R[0]C[-1]",FALSE)="","", INDIRECT("R[0]C[-2]",FALSE)*INDIRECT("R[0]C[-1]",FALSE)*(1+INDIRECT("R[0]C[-3]",FALSE)))</f>
        <v/>
      </c>
      <c r="Z377" s="13" t="n"/>
    </row>
    <row r="378" ht="15.75" customHeight="1" s="74">
      <c r="A378" s="11" t="n">
        <v>378</v>
      </c>
      <c r="C378" s="11">
        <f t="array" ref="C378">IFERROR(INDEX(Milestones!$A:$A, MATCH($B378, Milestones!$B:$B, 0)), "")</f>
        <v/>
      </c>
      <c r="D378" s="11">
        <f t="array" ref="D378">IFERROR(INDEX(Milestones!$C:$C, MATCH($B378, Milestones!$B:$B, 0)), "")</f>
        <v/>
      </c>
      <c r="F378" s="11">
        <f t="array" ref="F378">IFERROR(INDEX(Milestones!$E:$E, MATCH($B378, Milestones!$B:$B, 0)), "")</f>
        <v/>
      </c>
      <c r="I378" s="11" t="n"/>
      <c r="J378" s="20" t="n"/>
      <c r="K378" s="11" t="n"/>
      <c r="L378" s="11">
        <f t="array" ref="L378">IF($K378="","", IFERROR(IFS($K378="Low", INDEX('Lookups - Complexity'!$C:$C, MATCH($B378, 'Lookups - Complexity'!$B:$B,0)), $K378="Medium", INDEX('Lookups - Complexity'!$D:$D, MATCH($B378, 'Lookups - Complexity'!$B:$B,0)), $K378="High", INDEX('Lookups - Complexity'!$E:$E, MATCH($B378, 'Lookups - Complexity'!$B:$B,0))), ""))</f>
        <v/>
      </c>
      <c r="M378" s="11">
        <f>IF($I378="FTE", Assumptions!$B$3, "")</f>
        <v/>
      </c>
      <c r="N378" s="11">
        <f t="array" ref="N378">IFERROR(INDEX(Milestones!$F:$F, MATCH($B378, Milestones!$B:$B, 0)), "")</f>
        <v/>
      </c>
      <c r="O378" s="11">
        <f t="array" ref="O378">IFERROR(INDEX(Milestones!$G:$G, MATCH($B378, Milestones!$B:$B, 0)), "")</f>
        <v/>
      </c>
      <c r="P378" s="11">
        <f t="array" ref="P378">IFERROR(INDEX('Lookups - Rates'!$D:$D, MATCH($G378&amp;"|"&amp;$H378, 'Lookups - Rates'!$Z:$Z, 0)), "")</f>
        <v/>
      </c>
      <c r="Q378" s="11">
        <f t="array" ref="Q378">IFERROR(INDEX('Lookups - Rates'!$E:$E, MATCH($G378&amp;"|"&amp;$H378, 'Lookups - Rates'!$Z:$Z, 0)), "")</f>
        <v/>
      </c>
      <c r="R378" s="11">
        <f>LET(ev,$J378, ch,$L378, hr,$P378, dr,$Q378, hpday,Assumptions!$B$2, hpw,Assumptions!$B$3, w,$M378, hrs, IF($I378="Hours", ev, IF($I378="Days", ev*IF(dr&gt;0, dr/hr, hpday), IF($I378="FTE", ev*hpw*w, ch))), IF(hrs="", "", hrs*hr))</f>
        <v/>
      </c>
      <c r="S378" s="13" t="n"/>
      <c r="T378" s="11">
        <f t="array" ref="T378">XLOOKUP(Scenario_Selected, INDEX(Scenario_Table,0,1), INDEX(Scenario_Table,0,2))</f>
        <v/>
      </c>
      <c r="U378" s="11">
        <f t="array" ref="U378">XLOOKUP(Scenario_Selected, INDEX(Scenario_Table,0,1), INDEX(Scenario_Table,0,3))</f>
        <v/>
      </c>
      <c r="V378" s="11">
        <f t="array" ref="V378">XLOOKUP(Scenario_Selected, INDEX(Scenario_Table,0,1), INDEX(Scenario_Table,0,4))</f>
        <v/>
      </c>
      <c r="W378" s="11">
        <f t="array" ref="W378">LET(ev,$J378, ch,$L378, et,$I378, dr,$Q378, hpday,Assumptions!$B$2, hpw,Assumptions!$B$3, w,$M378,hm,INDIRECT("R[0]C[0]",FALSE),hrs, IF(et="Hours", ev, IF(et="Days", ev*IF(dr&gt;0, dr/$P378, hpday), IF(et="FTE", ev*hpw*w, ch))), IF(hrs="", "", hrs*hm))</f>
        <v/>
      </c>
      <c r="X378" s="11">
        <f>IF($P378="","", $P378*INDIRECT("R[0]C[-3]",FALSE))</f>
        <v/>
      </c>
      <c r="Y378" s="11">
        <f>IF(INDIRECT("R[0]C[-1]",FALSE)="","", INDIRECT("R[0]C[-2]",FALSE)*INDIRECT("R[0]C[-1]",FALSE)*(1+INDIRECT("R[0]C[-3]",FALSE)))</f>
        <v/>
      </c>
      <c r="Z378" s="13" t="n"/>
    </row>
    <row r="379" ht="15.75" customHeight="1" s="74">
      <c r="A379" s="11" t="n">
        <v>379</v>
      </c>
      <c r="C379" s="11">
        <f t="array" ref="C379">IFERROR(INDEX(Milestones!$A:$A, MATCH($B379, Milestones!$B:$B, 0)), "")</f>
        <v/>
      </c>
      <c r="D379" s="11">
        <f t="array" ref="D379">IFERROR(INDEX(Milestones!$C:$C, MATCH($B379, Milestones!$B:$B, 0)), "")</f>
        <v/>
      </c>
      <c r="F379" s="11">
        <f t="array" ref="F379">IFERROR(INDEX(Milestones!$E:$E, MATCH($B379, Milestones!$B:$B, 0)), "")</f>
        <v/>
      </c>
      <c r="I379" s="11" t="n"/>
      <c r="J379" s="20" t="n"/>
      <c r="K379" s="11" t="n"/>
      <c r="L379" s="11">
        <f t="array" ref="L379">IF($K379="","", IFERROR(IFS($K379="Low", INDEX('Lookups - Complexity'!$C:$C, MATCH($B379, 'Lookups - Complexity'!$B:$B,0)), $K379="Medium", INDEX('Lookups - Complexity'!$D:$D, MATCH($B379, 'Lookups - Complexity'!$B:$B,0)), $K379="High", INDEX('Lookups - Complexity'!$E:$E, MATCH($B379, 'Lookups - Complexity'!$B:$B,0))), ""))</f>
        <v/>
      </c>
      <c r="M379" s="11">
        <f>IF($I379="FTE", Assumptions!$B$3, "")</f>
        <v/>
      </c>
      <c r="N379" s="11">
        <f t="array" ref="N379">IFERROR(INDEX(Milestones!$F:$F, MATCH($B379, Milestones!$B:$B, 0)), "")</f>
        <v/>
      </c>
      <c r="O379" s="11">
        <f t="array" ref="O379">IFERROR(INDEX(Milestones!$G:$G, MATCH($B379, Milestones!$B:$B, 0)), "")</f>
        <v/>
      </c>
      <c r="P379" s="11">
        <f t="array" ref="P379">IFERROR(INDEX('Lookups - Rates'!$D:$D, MATCH($G379&amp;"|"&amp;$H379, 'Lookups - Rates'!$Z:$Z, 0)), "")</f>
        <v/>
      </c>
      <c r="Q379" s="11">
        <f t="array" ref="Q379">IFERROR(INDEX('Lookups - Rates'!$E:$E, MATCH($G379&amp;"|"&amp;$H379, 'Lookups - Rates'!$Z:$Z, 0)), "")</f>
        <v/>
      </c>
      <c r="R379" s="11">
        <f>LET(ev,$J379, ch,$L379, hr,$P379, dr,$Q379, hpday,Assumptions!$B$2, hpw,Assumptions!$B$3, w,$M379, hrs, IF($I379="Hours", ev, IF($I379="Days", ev*IF(dr&gt;0, dr/hr, hpday), IF($I379="FTE", ev*hpw*w, ch))), IF(hrs="", "", hrs*hr))</f>
        <v/>
      </c>
      <c r="S379" s="13" t="n"/>
      <c r="T379" s="11">
        <f t="array" ref="T379">XLOOKUP(Scenario_Selected, INDEX(Scenario_Table,0,1), INDEX(Scenario_Table,0,2))</f>
        <v/>
      </c>
      <c r="U379" s="11">
        <f t="array" ref="U379">XLOOKUP(Scenario_Selected, INDEX(Scenario_Table,0,1), INDEX(Scenario_Table,0,3))</f>
        <v/>
      </c>
      <c r="V379" s="11">
        <f t="array" ref="V379">XLOOKUP(Scenario_Selected, INDEX(Scenario_Table,0,1), INDEX(Scenario_Table,0,4))</f>
        <v/>
      </c>
      <c r="W379" s="11">
        <f t="array" ref="W379">LET(ev,$J379, ch,$L379, et,$I379, dr,$Q379, hpday,Assumptions!$B$2, hpw,Assumptions!$B$3, w,$M379,hm,INDIRECT("R[0]C[0]",FALSE),hrs, IF(et="Hours", ev, IF(et="Days", ev*IF(dr&gt;0, dr/$P379, hpday), IF(et="FTE", ev*hpw*w, ch))), IF(hrs="", "", hrs*hm))</f>
        <v/>
      </c>
      <c r="X379" s="11">
        <f>IF($P379="","", $P379*INDIRECT("R[0]C[-3]",FALSE))</f>
        <v/>
      </c>
      <c r="Y379" s="11">
        <f>IF(INDIRECT("R[0]C[-1]",FALSE)="","", INDIRECT("R[0]C[-2]",FALSE)*INDIRECT("R[0]C[-1]",FALSE)*(1+INDIRECT("R[0]C[-3]",FALSE)))</f>
        <v/>
      </c>
      <c r="Z379" s="13" t="n"/>
    </row>
    <row r="380" ht="15.75" customHeight="1" s="74">
      <c r="A380" s="11" t="n">
        <v>380</v>
      </c>
      <c r="C380" s="11">
        <f t="array" ref="C380">IFERROR(INDEX(Milestones!$A:$A, MATCH($B380, Milestones!$B:$B, 0)), "")</f>
        <v/>
      </c>
      <c r="D380" s="11">
        <f t="array" ref="D380">IFERROR(INDEX(Milestones!$C:$C, MATCH($B380, Milestones!$B:$B, 0)), "")</f>
        <v/>
      </c>
      <c r="F380" s="11">
        <f t="array" ref="F380">IFERROR(INDEX(Milestones!$E:$E, MATCH($B380, Milestones!$B:$B, 0)), "")</f>
        <v/>
      </c>
      <c r="I380" s="11" t="n"/>
      <c r="J380" s="20" t="n"/>
      <c r="K380" s="11" t="n"/>
      <c r="L380" s="11">
        <f t="array" ref="L380">IF($K380="","", IFERROR(IFS($K380="Low", INDEX('Lookups - Complexity'!$C:$C, MATCH($B380, 'Lookups - Complexity'!$B:$B,0)), $K380="Medium", INDEX('Lookups - Complexity'!$D:$D, MATCH($B380, 'Lookups - Complexity'!$B:$B,0)), $K380="High", INDEX('Lookups - Complexity'!$E:$E, MATCH($B380, 'Lookups - Complexity'!$B:$B,0))), ""))</f>
        <v/>
      </c>
      <c r="M380" s="11">
        <f>IF($I380="FTE", Assumptions!$B$3, "")</f>
        <v/>
      </c>
      <c r="N380" s="11">
        <f t="array" ref="N380">IFERROR(INDEX(Milestones!$F:$F, MATCH($B380, Milestones!$B:$B, 0)), "")</f>
        <v/>
      </c>
      <c r="O380" s="11">
        <f t="array" ref="O380">IFERROR(INDEX(Milestones!$G:$G, MATCH($B380, Milestones!$B:$B, 0)), "")</f>
        <v/>
      </c>
      <c r="P380" s="11">
        <f t="array" ref="P380">IFERROR(INDEX('Lookups - Rates'!$D:$D, MATCH($G380&amp;"|"&amp;$H380, 'Lookups - Rates'!$Z:$Z, 0)), "")</f>
        <v/>
      </c>
      <c r="Q380" s="11">
        <f t="array" ref="Q380">IFERROR(INDEX('Lookups - Rates'!$E:$E, MATCH($G380&amp;"|"&amp;$H380, 'Lookups - Rates'!$Z:$Z, 0)), "")</f>
        <v/>
      </c>
      <c r="R380" s="11">
        <f>LET(ev,$J380, ch,$L380, hr,$P380, dr,$Q380, hpday,Assumptions!$B$2, hpw,Assumptions!$B$3, w,$M380, hrs, IF($I380="Hours", ev, IF($I380="Days", ev*IF(dr&gt;0, dr/hr, hpday), IF($I380="FTE", ev*hpw*w, ch))), IF(hrs="", "", hrs*hr))</f>
        <v/>
      </c>
      <c r="S380" s="13" t="n"/>
      <c r="T380" s="11">
        <f t="array" ref="T380">XLOOKUP(Scenario_Selected, INDEX(Scenario_Table,0,1), INDEX(Scenario_Table,0,2))</f>
        <v/>
      </c>
      <c r="U380" s="11">
        <f t="array" ref="U380">XLOOKUP(Scenario_Selected, INDEX(Scenario_Table,0,1), INDEX(Scenario_Table,0,3))</f>
        <v/>
      </c>
      <c r="V380" s="11">
        <f t="array" ref="V380">XLOOKUP(Scenario_Selected, INDEX(Scenario_Table,0,1), INDEX(Scenario_Table,0,4))</f>
        <v/>
      </c>
      <c r="W380" s="11">
        <f t="array" ref="W380">LET(ev,$J380, ch,$L380, et,$I380, dr,$Q380, hpday,Assumptions!$B$2, hpw,Assumptions!$B$3, w,$M380,hm,INDIRECT("R[0]C[0]",FALSE),hrs, IF(et="Hours", ev, IF(et="Days", ev*IF(dr&gt;0, dr/$P380, hpday), IF(et="FTE", ev*hpw*w, ch))), IF(hrs="", "", hrs*hm))</f>
        <v/>
      </c>
      <c r="X380" s="11">
        <f>IF($P380="","", $P380*INDIRECT("R[0]C[-3]",FALSE))</f>
        <v/>
      </c>
      <c r="Y380" s="11">
        <f>IF(INDIRECT("R[0]C[-1]",FALSE)="","", INDIRECT("R[0]C[-2]",FALSE)*INDIRECT("R[0]C[-1]",FALSE)*(1+INDIRECT("R[0]C[-3]",FALSE)))</f>
        <v/>
      </c>
      <c r="Z380" s="13" t="n"/>
    </row>
    <row r="381" ht="15.75" customHeight="1" s="74">
      <c r="A381" s="11" t="n">
        <v>381</v>
      </c>
      <c r="C381" s="11">
        <f t="array" ref="C381">IFERROR(INDEX(Milestones!$A:$A, MATCH($B381, Milestones!$B:$B, 0)), "")</f>
        <v/>
      </c>
      <c r="D381" s="11">
        <f t="array" ref="D381">IFERROR(INDEX(Milestones!$C:$C, MATCH($B381, Milestones!$B:$B, 0)), "")</f>
        <v/>
      </c>
      <c r="F381" s="11">
        <f t="array" ref="F381">IFERROR(INDEX(Milestones!$E:$E, MATCH($B381, Milestones!$B:$B, 0)), "")</f>
        <v/>
      </c>
      <c r="I381" s="11" t="n"/>
      <c r="J381" s="20" t="n"/>
      <c r="K381" s="11" t="n"/>
      <c r="L381" s="11">
        <f t="array" ref="L381">IF($K381="","", IFERROR(IFS($K381="Low", INDEX('Lookups - Complexity'!$C:$C, MATCH($B381, 'Lookups - Complexity'!$B:$B,0)), $K381="Medium", INDEX('Lookups - Complexity'!$D:$D, MATCH($B381, 'Lookups - Complexity'!$B:$B,0)), $K381="High", INDEX('Lookups - Complexity'!$E:$E, MATCH($B381, 'Lookups - Complexity'!$B:$B,0))), ""))</f>
        <v/>
      </c>
      <c r="M381" s="11">
        <f>IF($I381="FTE", Assumptions!$B$3, "")</f>
        <v/>
      </c>
      <c r="N381" s="11">
        <f t="array" ref="N381">IFERROR(INDEX(Milestones!$F:$F, MATCH($B381, Milestones!$B:$B, 0)), "")</f>
        <v/>
      </c>
      <c r="O381" s="11">
        <f t="array" ref="O381">IFERROR(INDEX(Milestones!$G:$G, MATCH($B381, Milestones!$B:$B, 0)), "")</f>
        <v/>
      </c>
      <c r="P381" s="11">
        <f t="array" ref="P381">IFERROR(INDEX('Lookups - Rates'!$D:$D, MATCH($G381&amp;"|"&amp;$H381, 'Lookups - Rates'!$Z:$Z, 0)), "")</f>
        <v/>
      </c>
      <c r="Q381" s="11">
        <f t="array" ref="Q381">IFERROR(INDEX('Lookups - Rates'!$E:$E, MATCH($G381&amp;"|"&amp;$H381, 'Lookups - Rates'!$Z:$Z, 0)), "")</f>
        <v/>
      </c>
      <c r="R381" s="11">
        <f>LET(ev,$J381, ch,$L381, hr,$P381, dr,$Q381, hpday,Assumptions!$B$2, hpw,Assumptions!$B$3, w,$M381, hrs, IF($I381="Hours", ev, IF($I381="Days", ev*IF(dr&gt;0, dr/hr, hpday), IF($I381="FTE", ev*hpw*w, ch))), IF(hrs="", "", hrs*hr))</f>
        <v/>
      </c>
      <c r="S381" s="13" t="n"/>
      <c r="T381" s="11">
        <f t="array" ref="T381">XLOOKUP(Scenario_Selected, INDEX(Scenario_Table,0,1), INDEX(Scenario_Table,0,2))</f>
        <v/>
      </c>
      <c r="U381" s="11">
        <f t="array" ref="U381">XLOOKUP(Scenario_Selected, INDEX(Scenario_Table,0,1), INDEX(Scenario_Table,0,3))</f>
        <v/>
      </c>
      <c r="V381" s="11">
        <f t="array" ref="V381">XLOOKUP(Scenario_Selected, INDEX(Scenario_Table,0,1), INDEX(Scenario_Table,0,4))</f>
        <v/>
      </c>
      <c r="W381" s="11">
        <f t="array" ref="W381">LET(ev,$J381, ch,$L381, et,$I381, dr,$Q381, hpday,Assumptions!$B$2, hpw,Assumptions!$B$3, w,$M381,hm,INDIRECT("R[0]C[0]",FALSE),hrs, IF(et="Hours", ev, IF(et="Days", ev*IF(dr&gt;0, dr/$P381, hpday), IF(et="FTE", ev*hpw*w, ch))), IF(hrs="", "", hrs*hm))</f>
        <v/>
      </c>
      <c r="X381" s="11">
        <f>IF($P381="","", $P381*INDIRECT("R[0]C[-3]",FALSE))</f>
        <v/>
      </c>
      <c r="Y381" s="11">
        <f>IF(INDIRECT("R[0]C[-1]",FALSE)="","", INDIRECT("R[0]C[-2]",FALSE)*INDIRECT("R[0]C[-1]",FALSE)*(1+INDIRECT("R[0]C[-3]",FALSE)))</f>
        <v/>
      </c>
      <c r="Z381" s="13" t="n"/>
    </row>
    <row r="382" ht="15.75" customHeight="1" s="74">
      <c r="A382" s="11" t="n">
        <v>382</v>
      </c>
      <c r="C382" s="11">
        <f t="array" ref="C382">IFERROR(INDEX(Milestones!$A:$A, MATCH($B382, Milestones!$B:$B, 0)), "")</f>
        <v/>
      </c>
      <c r="D382" s="11">
        <f t="array" ref="D382">IFERROR(INDEX(Milestones!$C:$C, MATCH($B382, Milestones!$B:$B, 0)), "")</f>
        <v/>
      </c>
      <c r="F382" s="11">
        <f t="array" ref="F382">IFERROR(INDEX(Milestones!$E:$E, MATCH($B382, Milestones!$B:$B, 0)), "")</f>
        <v/>
      </c>
      <c r="I382" s="11" t="n"/>
      <c r="J382" s="20" t="n"/>
      <c r="K382" s="11" t="n"/>
      <c r="L382" s="11">
        <f t="array" ref="L382">IF($K382="","", IFERROR(IFS($K382="Low", INDEX('Lookups - Complexity'!$C:$C, MATCH($B382, 'Lookups - Complexity'!$B:$B,0)), $K382="Medium", INDEX('Lookups - Complexity'!$D:$D, MATCH($B382, 'Lookups - Complexity'!$B:$B,0)), $K382="High", INDEX('Lookups - Complexity'!$E:$E, MATCH($B382, 'Lookups - Complexity'!$B:$B,0))), ""))</f>
        <v/>
      </c>
      <c r="M382" s="11">
        <f>IF($I382="FTE", Assumptions!$B$3, "")</f>
        <v/>
      </c>
      <c r="N382" s="11">
        <f t="array" ref="N382">IFERROR(INDEX(Milestones!$F:$F, MATCH($B382, Milestones!$B:$B, 0)), "")</f>
        <v/>
      </c>
      <c r="O382" s="11">
        <f t="array" ref="O382">IFERROR(INDEX(Milestones!$G:$G, MATCH($B382, Milestones!$B:$B, 0)), "")</f>
        <v/>
      </c>
      <c r="P382" s="11">
        <f t="array" ref="P382">IFERROR(INDEX('Lookups - Rates'!$D:$D, MATCH($G382&amp;"|"&amp;$H382, 'Lookups - Rates'!$Z:$Z, 0)), "")</f>
        <v/>
      </c>
      <c r="Q382" s="11">
        <f t="array" ref="Q382">IFERROR(INDEX('Lookups - Rates'!$E:$E, MATCH($G382&amp;"|"&amp;$H382, 'Lookups - Rates'!$Z:$Z, 0)), "")</f>
        <v/>
      </c>
      <c r="R382" s="11">
        <f>LET(ev,$J382, ch,$L382, hr,$P382, dr,$Q382, hpday,Assumptions!$B$2, hpw,Assumptions!$B$3, w,$M382, hrs, IF($I382="Hours", ev, IF($I382="Days", ev*IF(dr&gt;0, dr/hr, hpday), IF($I382="FTE", ev*hpw*w, ch))), IF(hrs="", "", hrs*hr))</f>
        <v/>
      </c>
      <c r="S382" s="13" t="n"/>
      <c r="T382" s="11">
        <f t="array" ref="T382">XLOOKUP(Scenario_Selected, INDEX(Scenario_Table,0,1), INDEX(Scenario_Table,0,2))</f>
        <v/>
      </c>
      <c r="U382" s="11">
        <f t="array" ref="U382">XLOOKUP(Scenario_Selected, INDEX(Scenario_Table,0,1), INDEX(Scenario_Table,0,3))</f>
        <v/>
      </c>
      <c r="V382" s="11">
        <f t="array" ref="V382">XLOOKUP(Scenario_Selected, INDEX(Scenario_Table,0,1), INDEX(Scenario_Table,0,4))</f>
        <v/>
      </c>
      <c r="W382" s="11">
        <f t="array" ref="W382">LET(ev,$J382, ch,$L382, et,$I382, dr,$Q382, hpday,Assumptions!$B$2, hpw,Assumptions!$B$3, w,$M382,hm,INDIRECT("R[0]C[0]",FALSE),hrs, IF(et="Hours", ev, IF(et="Days", ev*IF(dr&gt;0, dr/$P382, hpday), IF(et="FTE", ev*hpw*w, ch))), IF(hrs="", "", hrs*hm))</f>
        <v/>
      </c>
      <c r="X382" s="11">
        <f>IF($P382="","", $P382*INDIRECT("R[0]C[-3]",FALSE))</f>
        <v/>
      </c>
      <c r="Y382" s="11">
        <f>IF(INDIRECT("R[0]C[-1]",FALSE)="","", INDIRECT("R[0]C[-2]",FALSE)*INDIRECT("R[0]C[-1]",FALSE)*(1+INDIRECT("R[0]C[-3]",FALSE)))</f>
        <v/>
      </c>
      <c r="Z382" s="13" t="n"/>
    </row>
    <row r="383" ht="15.75" customHeight="1" s="74">
      <c r="A383" s="11" t="n">
        <v>383</v>
      </c>
      <c r="C383" s="11">
        <f t="array" ref="C383">IFERROR(INDEX(Milestones!$A:$A, MATCH($B383, Milestones!$B:$B, 0)), "")</f>
        <v/>
      </c>
      <c r="D383" s="11">
        <f t="array" ref="D383">IFERROR(INDEX(Milestones!$C:$C, MATCH($B383, Milestones!$B:$B, 0)), "")</f>
        <v/>
      </c>
      <c r="F383" s="11">
        <f t="array" ref="F383">IFERROR(INDEX(Milestones!$E:$E, MATCH($B383, Milestones!$B:$B, 0)), "")</f>
        <v/>
      </c>
      <c r="I383" s="11" t="n"/>
      <c r="J383" s="20" t="n"/>
      <c r="K383" s="11" t="n"/>
      <c r="L383" s="11">
        <f t="array" ref="L383">IF($K383="","", IFERROR(IFS($K383="Low", INDEX('Lookups - Complexity'!$C:$C, MATCH($B383, 'Lookups - Complexity'!$B:$B,0)), $K383="Medium", INDEX('Lookups - Complexity'!$D:$D, MATCH($B383, 'Lookups - Complexity'!$B:$B,0)), $K383="High", INDEX('Lookups - Complexity'!$E:$E, MATCH($B383, 'Lookups - Complexity'!$B:$B,0))), ""))</f>
        <v/>
      </c>
      <c r="M383" s="11">
        <f>IF($I383="FTE", Assumptions!$B$3, "")</f>
        <v/>
      </c>
      <c r="N383" s="11">
        <f t="array" ref="N383">IFERROR(INDEX(Milestones!$F:$F, MATCH($B383, Milestones!$B:$B, 0)), "")</f>
        <v/>
      </c>
      <c r="O383" s="11">
        <f t="array" ref="O383">IFERROR(INDEX(Milestones!$G:$G, MATCH($B383, Milestones!$B:$B, 0)), "")</f>
        <v/>
      </c>
      <c r="P383" s="11">
        <f t="array" ref="P383">IFERROR(INDEX('Lookups - Rates'!$D:$D, MATCH($G383&amp;"|"&amp;$H383, 'Lookups - Rates'!$Z:$Z, 0)), "")</f>
        <v/>
      </c>
      <c r="Q383" s="11">
        <f t="array" ref="Q383">IFERROR(INDEX('Lookups - Rates'!$E:$E, MATCH($G383&amp;"|"&amp;$H383, 'Lookups - Rates'!$Z:$Z, 0)), "")</f>
        <v/>
      </c>
      <c r="R383" s="11">
        <f>LET(ev,$J383, ch,$L383, hr,$P383, dr,$Q383, hpday,Assumptions!$B$2, hpw,Assumptions!$B$3, w,$M383, hrs, IF($I383="Hours", ev, IF($I383="Days", ev*IF(dr&gt;0, dr/hr, hpday), IF($I383="FTE", ev*hpw*w, ch))), IF(hrs="", "", hrs*hr))</f>
        <v/>
      </c>
      <c r="S383" s="13" t="n"/>
      <c r="T383" s="11">
        <f t="array" ref="T383">XLOOKUP(Scenario_Selected, INDEX(Scenario_Table,0,1), INDEX(Scenario_Table,0,2))</f>
        <v/>
      </c>
      <c r="U383" s="11">
        <f t="array" ref="U383">XLOOKUP(Scenario_Selected, INDEX(Scenario_Table,0,1), INDEX(Scenario_Table,0,3))</f>
        <v/>
      </c>
      <c r="V383" s="11">
        <f t="array" ref="V383">XLOOKUP(Scenario_Selected, INDEX(Scenario_Table,0,1), INDEX(Scenario_Table,0,4))</f>
        <v/>
      </c>
      <c r="W383" s="11">
        <f t="array" ref="W383">LET(ev,$J383, ch,$L383, et,$I383, dr,$Q383, hpday,Assumptions!$B$2, hpw,Assumptions!$B$3, w,$M383,hm,INDIRECT("R[0]C[0]",FALSE),hrs, IF(et="Hours", ev, IF(et="Days", ev*IF(dr&gt;0, dr/$P383, hpday), IF(et="FTE", ev*hpw*w, ch))), IF(hrs="", "", hrs*hm))</f>
        <v/>
      </c>
      <c r="X383" s="11">
        <f>IF($P383="","", $P383*INDIRECT("R[0]C[-3]",FALSE))</f>
        <v/>
      </c>
      <c r="Y383" s="11">
        <f>IF(INDIRECT("R[0]C[-1]",FALSE)="","", INDIRECT("R[0]C[-2]",FALSE)*INDIRECT("R[0]C[-1]",FALSE)*(1+INDIRECT("R[0]C[-3]",FALSE)))</f>
        <v/>
      </c>
      <c r="Z383" s="13" t="n"/>
    </row>
    <row r="384" ht="15.75" customHeight="1" s="74">
      <c r="A384" s="11" t="n">
        <v>384</v>
      </c>
      <c r="C384" s="11">
        <f t="array" ref="C384">IFERROR(INDEX(Milestones!$A:$A, MATCH($B384, Milestones!$B:$B, 0)), "")</f>
        <v/>
      </c>
      <c r="D384" s="11">
        <f t="array" ref="D384">IFERROR(INDEX(Milestones!$C:$C, MATCH($B384, Milestones!$B:$B, 0)), "")</f>
        <v/>
      </c>
      <c r="F384" s="11">
        <f t="array" ref="F384">IFERROR(INDEX(Milestones!$E:$E, MATCH($B384, Milestones!$B:$B, 0)), "")</f>
        <v/>
      </c>
      <c r="I384" s="11" t="n"/>
      <c r="J384" s="20" t="n"/>
      <c r="K384" s="11" t="n"/>
      <c r="L384" s="11">
        <f t="array" ref="L384">IF($K384="","", IFERROR(IFS($K384="Low", INDEX('Lookups - Complexity'!$C:$C, MATCH($B384, 'Lookups - Complexity'!$B:$B,0)), $K384="Medium", INDEX('Lookups - Complexity'!$D:$D, MATCH($B384, 'Lookups - Complexity'!$B:$B,0)), $K384="High", INDEX('Lookups - Complexity'!$E:$E, MATCH($B384, 'Lookups - Complexity'!$B:$B,0))), ""))</f>
        <v/>
      </c>
      <c r="M384" s="11">
        <f>IF($I384="FTE", Assumptions!$B$3, "")</f>
        <v/>
      </c>
      <c r="N384" s="11">
        <f t="array" ref="N384">IFERROR(INDEX(Milestones!$F:$F, MATCH($B384, Milestones!$B:$B, 0)), "")</f>
        <v/>
      </c>
      <c r="O384" s="11">
        <f t="array" ref="O384">IFERROR(INDEX(Milestones!$G:$G, MATCH($B384, Milestones!$B:$B, 0)), "")</f>
        <v/>
      </c>
      <c r="P384" s="11">
        <f t="array" ref="P384">IFERROR(INDEX('Lookups - Rates'!$D:$D, MATCH($G384&amp;"|"&amp;$H384, 'Lookups - Rates'!$Z:$Z, 0)), "")</f>
        <v/>
      </c>
      <c r="Q384" s="11">
        <f t="array" ref="Q384">IFERROR(INDEX('Lookups - Rates'!$E:$E, MATCH($G384&amp;"|"&amp;$H384, 'Lookups - Rates'!$Z:$Z, 0)), "")</f>
        <v/>
      </c>
      <c r="R384" s="11">
        <f>LET(ev,$J384, ch,$L384, hr,$P384, dr,$Q384, hpday,Assumptions!$B$2, hpw,Assumptions!$B$3, w,$M384, hrs, IF($I384="Hours", ev, IF($I384="Days", ev*IF(dr&gt;0, dr/hr, hpday), IF($I384="FTE", ev*hpw*w, ch))), IF(hrs="", "", hrs*hr))</f>
        <v/>
      </c>
      <c r="S384" s="13" t="n"/>
      <c r="T384" s="11">
        <f t="array" ref="T384">XLOOKUP(Scenario_Selected, INDEX(Scenario_Table,0,1), INDEX(Scenario_Table,0,2))</f>
        <v/>
      </c>
      <c r="U384" s="11">
        <f t="array" ref="U384">XLOOKUP(Scenario_Selected, INDEX(Scenario_Table,0,1), INDEX(Scenario_Table,0,3))</f>
        <v/>
      </c>
      <c r="V384" s="11">
        <f t="array" ref="V384">XLOOKUP(Scenario_Selected, INDEX(Scenario_Table,0,1), INDEX(Scenario_Table,0,4))</f>
        <v/>
      </c>
      <c r="W384" s="11">
        <f t="array" ref="W384">LET(ev,$J384, ch,$L384, et,$I384, dr,$Q384, hpday,Assumptions!$B$2, hpw,Assumptions!$B$3, w,$M384,hm,INDIRECT("R[0]C[0]",FALSE),hrs, IF(et="Hours", ev, IF(et="Days", ev*IF(dr&gt;0, dr/$P384, hpday), IF(et="FTE", ev*hpw*w, ch))), IF(hrs="", "", hrs*hm))</f>
        <v/>
      </c>
      <c r="X384" s="11">
        <f>IF($P384="","", $P384*INDIRECT("R[0]C[-3]",FALSE))</f>
        <v/>
      </c>
      <c r="Y384" s="11">
        <f>IF(INDIRECT("R[0]C[-1]",FALSE)="","", INDIRECT("R[0]C[-2]",FALSE)*INDIRECT("R[0]C[-1]",FALSE)*(1+INDIRECT("R[0]C[-3]",FALSE)))</f>
        <v/>
      </c>
      <c r="Z384" s="13" t="n"/>
    </row>
    <row r="385" ht="15.75" customHeight="1" s="74">
      <c r="A385" s="11" t="n">
        <v>385</v>
      </c>
      <c r="C385" s="11">
        <f t="array" ref="C385">IFERROR(INDEX(Milestones!$A:$A, MATCH($B385, Milestones!$B:$B, 0)), "")</f>
        <v/>
      </c>
      <c r="D385" s="11">
        <f t="array" ref="D385">IFERROR(INDEX(Milestones!$C:$C, MATCH($B385, Milestones!$B:$B, 0)), "")</f>
        <v/>
      </c>
      <c r="F385" s="11">
        <f t="array" ref="F385">IFERROR(INDEX(Milestones!$E:$E, MATCH($B385, Milestones!$B:$B, 0)), "")</f>
        <v/>
      </c>
      <c r="I385" s="11" t="n"/>
      <c r="J385" s="20" t="n"/>
      <c r="K385" s="11" t="n"/>
      <c r="L385" s="11">
        <f t="array" ref="L385">IF($K385="","", IFERROR(IFS($K385="Low", INDEX('Lookups - Complexity'!$C:$C, MATCH($B385, 'Lookups - Complexity'!$B:$B,0)), $K385="Medium", INDEX('Lookups - Complexity'!$D:$D, MATCH($B385, 'Lookups - Complexity'!$B:$B,0)), $K385="High", INDEX('Lookups - Complexity'!$E:$E, MATCH($B385, 'Lookups - Complexity'!$B:$B,0))), ""))</f>
        <v/>
      </c>
      <c r="M385" s="11">
        <f>IF($I385="FTE", Assumptions!$B$3, "")</f>
        <v/>
      </c>
      <c r="N385" s="11">
        <f t="array" ref="N385">IFERROR(INDEX(Milestones!$F:$F, MATCH($B385, Milestones!$B:$B, 0)), "")</f>
        <v/>
      </c>
      <c r="O385" s="11">
        <f t="array" ref="O385">IFERROR(INDEX(Milestones!$G:$G, MATCH($B385, Milestones!$B:$B, 0)), "")</f>
        <v/>
      </c>
      <c r="P385" s="11">
        <f t="array" ref="P385">IFERROR(INDEX('Lookups - Rates'!$D:$D, MATCH($G385&amp;"|"&amp;$H385, 'Lookups - Rates'!$Z:$Z, 0)), "")</f>
        <v/>
      </c>
      <c r="Q385" s="11">
        <f t="array" ref="Q385">IFERROR(INDEX('Lookups - Rates'!$E:$E, MATCH($G385&amp;"|"&amp;$H385, 'Lookups - Rates'!$Z:$Z, 0)), "")</f>
        <v/>
      </c>
      <c r="R385" s="11">
        <f>LET(ev,$J385, ch,$L385, hr,$P385, dr,$Q385, hpday,Assumptions!$B$2, hpw,Assumptions!$B$3, w,$M385, hrs, IF($I385="Hours", ev, IF($I385="Days", ev*IF(dr&gt;0, dr/hr, hpday), IF($I385="FTE", ev*hpw*w, ch))), IF(hrs="", "", hrs*hr))</f>
        <v/>
      </c>
      <c r="S385" s="13" t="n"/>
      <c r="T385" s="11">
        <f t="array" ref="T385">XLOOKUP(Scenario_Selected, INDEX(Scenario_Table,0,1), INDEX(Scenario_Table,0,2))</f>
        <v/>
      </c>
      <c r="U385" s="11">
        <f t="array" ref="U385">XLOOKUP(Scenario_Selected, INDEX(Scenario_Table,0,1), INDEX(Scenario_Table,0,3))</f>
        <v/>
      </c>
      <c r="V385" s="11">
        <f t="array" ref="V385">XLOOKUP(Scenario_Selected, INDEX(Scenario_Table,0,1), INDEX(Scenario_Table,0,4))</f>
        <v/>
      </c>
      <c r="W385" s="11">
        <f t="array" ref="W385">LET(ev,$J385, ch,$L385, et,$I385, dr,$Q385, hpday,Assumptions!$B$2, hpw,Assumptions!$B$3, w,$M385,hm,INDIRECT("R[0]C[0]",FALSE),hrs, IF(et="Hours", ev, IF(et="Days", ev*IF(dr&gt;0, dr/$P385, hpday), IF(et="FTE", ev*hpw*w, ch))), IF(hrs="", "", hrs*hm))</f>
        <v/>
      </c>
      <c r="X385" s="11">
        <f>IF($P385="","", $P385*INDIRECT("R[0]C[-3]",FALSE))</f>
        <v/>
      </c>
      <c r="Y385" s="11">
        <f>IF(INDIRECT("R[0]C[-1]",FALSE)="","", INDIRECT("R[0]C[-2]",FALSE)*INDIRECT("R[0]C[-1]",FALSE)*(1+INDIRECT("R[0]C[-3]",FALSE)))</f>
        <v/>
      </c>
      <c r="Z385" s="13" t="n"/>
    </row>
    <row r="386" ht="15.75" customHeight="1" s="74">
      <c r="A386" s="11" t="n">
        <v>386</v>
      </c>
      <c r="C386" s="11">
        <f t="array" ref="C386">IFERROR(INDEX(Milestones!$A:$A, MATCH($B386, Milestones!$B:$B, 0)), "")</f>
        <v/>
      </c>
      <c r="D386" s="11">
        <f t="array" ref="D386">IFERROR(INDEX(Milestones!$C:$C, MATCH($B386, Milestones!$B:$B, 0)), "")</f>
        <v/>
      </c>
      <c r="F386" s="11">
        <f t="array" ref="F386">IFERROR(INDEX(Milestones!$E:$E, MATCH($B386, Milestones!$B:$B, 0)), "")</f>
        <v/>
      </c>
      <c r="I386" s="11" t="n"/>
      <c r="J386" s="20" t="n"/>
      <c r="K386" s="11" t="n"/>
      <c r="L386" s="11">
        <f t="array" ref="L386">IF($K386="","", IFERROR(IFS($K386="Low", INDEX('Lookups - Complexity'!$C:$C, MATCH($B386, 'Lookups - Complexity'!$B:$B,0)), $K386="Medium", INDEX('Lookups - Complexity'!$D:$D, MATCH($B386, 'Lookups - Complexity'!$B:$B,0)), $K386="High", INDEX('Lookups - Complexity'!$E:$E, MATCH($B386, 'Lookups - Complexity'!$B:$B,0))), ""))</f>
        <v/>
      </c>
      <c r="M386" s="11">
        <f>IF($I386="FTE", Assumptions!$B$3, "")</f>
        <v/>
      </c>
      <c r="N386" s="11">
        <f t="array" ref="N386">IFERROR(INDEX(Milestones!$F:$F, MATCH($B386, Milestones!$B:$B, 0)), "")</f>
        <v/>
      </c>
      <c r="O386" s="11">
        <f t="array" ref="O386">IFERROR(INDEX(Milestones!$G:$G, MATCH($B386, Milestones!$B:$B, 0)), "")</f>
        <v/>
      </c>
      <c r="P386" s="11">
        <f t="array" ref="P386">IFERROR(INDEX('Lookups - Rates'!$D:$D, MATCH($G386&amp;"|"&amp;$H386, 'Lookups - Rates'!$Z:$Z, 0)), "")</f>
        <v/>
      </c>
      <c r="Q386" s="11">
        <f t="array" ref="Q386">IFERROR(INDEX('Lookups - Rates'!$E:$E, MATCH($G386&amp;"|"&amp;$H386, 'Lookups - Rates'!$Z:$Z, 0)), "")</f>
        <v/>
      </c>
      <c r="R386" s="11">
        <f>LET(ev,$J386, ch,$L386, hr,$P386, dr,$Q386, hpday,Assumptions!$B$2, hpw,Assumptions!$B$3, w,$M386, hrs, IF($I386="Hours", ev, IF($I386="Days", ev*IF(dr&gt;0, dr/hr, hpday), IF($I386="FTE", ev*hpw*w, ch))), IF(hrs="", "", hrs*hr))</f>
        <v/>
      </c>
      <c r="S386" s="13" t="n"/>
      <c r="T386" s="11">
        <f t="array" ref="T386">XLOOKUP(Scenario_Selected, INDEX(Scenario_Table,0,1), INDEX(Scenario_Table,0,2))</f>
        <v/>
      </c>
      <c r="U386" s="11">
        <f t="array" ref="U386">XLOOKUP(Scenario_Selected, INDEX(Scenario_Table,0,1), INDEX(Scenario_Table,0,3))</f>
        <v/>
      </c>
      <c r="V386" s="11">
        <f t="array" ref="V386">XLOOKUP(Scenario_Selected, INDEX(Scenario_Table,0,1), INDEX(Scenario_Table,0,4))</f>
        <v/>
      </c>
      <c r="W386" s="11">
        <f t="array" ref="W386">LET(ev,$J386, ch,$L386, et,$I386, dr,$Q386, hpday,Assumptions!$B$2, hpw,Assumptions!$B$3, w,$M386,hm,INDIRECT("R[0]C[0]",FALSE),hrs, IF(et="Hours", ev, IF(et="Days", ev*IF(dr&gt;0, dr/$P386, hpday), IF(et="FTE", ev*hpw*w, ch))), IF(hrs="", "", hrs*hm))</f>
        <v/>
      </c>
      <c r="X386" s="11">
        <f>IF($P386="","", $P386*INDIRECT("R[0]C[-3]",FALSE))</f>
        <v/>
      </c>
      <c r="Y386" s="11">
        <f>IF(INDIRECT("R[0]C[-1]",FALSE)="","", INDIRECT("R[0]C[-2]",FALSE)*INDIRECT("R[0]C[-1]",FALSE)*(1+INDIRECT("R[0]C[-3]",FALSE)))</f>
        <v/>
      </c>
      <c r="Z386" s="13" t="n"/>
    </row>
    <row r="387" ht="15.75" customHeight="1" s="74">
      <c r="A387" s="11" t="n">
        <v>387</v>
      </c>
      <c r="C387" s="11">
        <f t="array" ref="C387">IFERROR(INDEX(Milestones!$A:$A, MATCH($B387, Milestones!$B:$B, 0)), "")</f>
        <v/>
      </c>
      <c r="D387" s="11">
        <f t="array" ref="D387">IFERROR(INDEX(Milestones!$C:$C, MATCH($B387, Milestones!$B:$B, 0)), "")</f>
        <v/>
      </c>
      <c r="F387" s="11">
        <f t="array" ref="F387">IFERROR(INDEX(Milestones!$E:$E, MATCH($B387, Milestones!$B:$B, 0)), "")</f>
        <v/>
      </c>
      <c r="I387" s="11" t="n"/>
      <c r="J387" s="20" t="n"/>
      <c r="K387" s="11" t="n"/>
      <c r="L387" s="11">
        <f t="array" ref="L387">IF($K387="","", IFERROR(IFS($K387="Low", INDEX('Lookups - Complexity'!$C:$C, MATCH($B387, 'Lookups - Complexity'!$B:$B,0)), $K387="Medium", INDEX('Lookups - Complexity'!$D:$D, MATCH($B387, 'Lookups - Complexity'!$B:$B,0)), $K387="High", INDEX('Lookups - Complexity'!$E:$E, MATCH($B387, 'Lookups - Complexity'!$B:$B,0))), ""))</f>
        <v/>
      </c>
      <c r="M387" s="11">
        <f>IF($I387="FTE", Assumptions!$B$3, "")</f>
        <v/>
      </c>
      <c r="N387" s="11">
        <f t="array" ref="N387">IFERROR(INDEX(Milestones!$F:$F, MATCH($B387, Milestones!$B:$B, 0)), "")</f>
        <v/>
      </c>
      <c r="O387" s="11">
        <f t="array" ref="O387">IFERROR(INDEX(Milestones!$G:$G, MATCH($B387, Milestones!$B:$B, 0)), "")</f>
        <v/>
      </c>
      <c r="P387" s="11">
        <f t="array" ref="P387">IFERROR(INDEX('Lookups - Rates'!$D:$D, MATCH($G387&amp;"|"&amp;$H387, 'Lookups - Rates'!$Z:$Z, 0)), "")</f>
        <v/>
      </c>
      <c r="Q387" s="11">
        <f t="array" ref="Q387">IFERROR(INDEX('Lookups - Rates'!$E:$E, MATCH($G387&amp;"|"&amp;$H387, 'Lookups - Rates'!$Z:$Z, 0)), "")</f>
        <v/>
      </c>
      <c r="R387" s="11">
        <f>LET(ev,$J387, ch,$L387, hr,$P387, dr,$Q387, hpday,Assumptions!$B$2, hpw,Assumptions!$B$3, w,$M387, hrs, IF($I387="Hours", ev, IF($I387="Days", ev*IF(dr&gt;0, dr/hr, hpday), IF($I387="FTE", ev*hpw*w, ch))), IF(hrs="", "", hrs*hr))</f>
        <v/>
      </c>
      <c r="S387" s="13" t="n"/>
      <c r="T387" s="11">
        <f t="array" ref="T387">XLOOKUP(Scenario_Selected, INDEX(Scenario_Table,0,1), INDEX(Scenario_Table,0,2))</f>
        <v/>
      </c>
      <c r="U387" s="11">
        <f t="array" ref="U387">XLOOKUP(Scenario_Selected, INDEX(Scenario_Table,0,1), INDEX(Scenario_Table,0,3))</f>
        <v/>
      </c>
      <c r="V387" s="11">
        <f t="array" ref="V387">XLOOKUP(Scenario_Selected, INDEX(Scenario_Table,0,1), INDEX(Scenario_Table,0,4))</f>
        <v/>
      </c>
      <c r="W387" s="11">
        <f t="array" ref="W387">LET(ev,$J387, ch,$L387, et,$I387, dr,$Q387, hpday,Assumptions!$B$2, hpw,Assumptions!$B$3, w,$M387,hm,INDIRECT("R[0]C[0]",FALSE),hrs, IF(et="Hours", ev, IF(et="Days", ev*IF(dr&gt;0, dr/$P387, hpday), IF(et="FTE", ev*hpw*w, ch))), IF(hrs="", "", hrs*hm))</f>
        <v/>
      </c>
      <c r="X387" s="11">
        <f>IF($P387="","", $P387*INDIRECT("R[0]C[-3]",FALSE))</f>
        <v/>
      </c>
      <c r="Y387" s="11">
        <f>IF(INDIRECT("R[0]C[-1]",FALSE)="","", INDIRECT("R[0]C[-2]",FALSE)*INDIRECT("R[0]C[-1]",FALSE)*(1+INDIRECT("R[0]C[-3]",FALSE)))</f>
        <v/>
      </c>
      <c r="Z387" s="13" t="n"/>
    </row>
    <row r="388" ht="15.75" customHeight="1" s="74">
      <c r="A388" s="11" t="n">
        <v>388</v>
      </c>
      <c r="C388" s="11">
        <f t="array" ref="C388">IFERROR(INDEX(Milestones!$A:$A, MATCH($B388, Milestones!$B:$B, 0)), "")</f>
        <v/>
      </c>
      <c r="D388" s="11">
        <f t="array" ref="D388">IFERROR(INDEX(Milestones!$C:$C, MATCH($B388, Milestones!$B:$B, 0)), "")</f>
        <v/>
      </c>
      <c r="F388" s="11">
        <f t="array" ref="F388">IFERROR(INDEX(Milestones!$E:$E, MATCH($B388, Milestones!$B:$B, 0)), "")</f>
        <v/>
      </c>
      <c r="I388" s="11" t="n"/>
      <c r="J388" s="20" t="n"/>
      <c r="K388" s="11" t="n"/>
      <c r="L388" s="11">
        <f t="array" ref="L388">IF($K388="","", IFERROR(IFS($K388="Low", INDEX('Lookups - Complexity'!$C:$C, MATCH($B388, 'Lookups - Complexity'!$B:$B,0)), $K388="Medium", INDEX('Lookups - Complexity'!$D:$D, MATCH($B388, 'Lookups - Complexity'!$B:$B,0)), $K388="High", INDEX('Lookups - Complexity'!$E:$E, MATCH($B388, 'Lookups - Complexity'!$B:$B,0))), ""))</f>
        <v/>
      </c>
      <c r="M388" s="11">
        <f>IF($I388="FTE", Assumptions!$B$3, "")</f>
        <v/>
      </c>
      <c r="N388" s="11">
        <f t="array" ref="N388">IFERROR(INDEX(Milestones!$F:$F, MATCH($B388, Milestones!$B:$B, 0)), "")</f>
        <v/>
      </c>
      <c r="O388" s="11">
        <f t="array" ref="O388">IFERROR(INDEX(Milestones!$G:$G, MATCH($B388, Milestones!$B:$B, 0)), "")</f>
        <v/>
      </c>
      <c r="P388" s="11">
        <f t="array" ref="P388">IFERROR(INDEX('Lookups - Rates'!$D:$D, MATCH($G388&amp;"|"&amp;$H388, 'Lookups - Rates'!$Z:$Z, 0)), "")</f>
        <v/>
      </c>
      <c r="Q388" s="11">
        <f t="array" ref="Q388">IFERROR(INDEX('Lookups - Rates'!$E:$E, MATCH($G388&amp;"|"&amp;$H388, 'Lookups - Rates'!$Z:$Z, 0)), "")</f>
        <v/>
      </c>
      <c r="R388" s="11">
        <f>LET(ev,$J388, ch,$L388, hr,$P388, dr,$Q388, hpday,Assumptions!$B$2, hpw,Assumptions!$B$3, w,$M388, hrs, IF($I388="Hours", ev, IF($I388="Days", ev*IF(dr&gt;0, dr/hr, hpday), IF($I388="FTE", ev*hpw*w, ch))), IF(hrs="", "", hrs*hr))</f>
        <v/>
      </c>
      <c r="S388" s="13" t="n"/>
      <c r="T388" s="11">
        <f t="array" ref="T388">XLOOKUP(Scenario_Selected, INDEX(Scenario_Table,0,1), INDEX(Scenario_Table,0,2))</f>
        <v/>
      </c>
      <c r="U388" s="11">
        <f t="array" ref="U388">XLOOKUP(Scenario_Selected, INDEX(Scenario_Table,0,1), INDEX(Scenario_Table,0,3))</f>
        <v/>
      </c>
      <c r="V388" s="11">
        <f t="array" ref="V388">XLOOKUP(Scenario_Selected, INDEX(Scenario_Table,0,1), INDEX(Scenario_Table,0,4))</f>
        <v/>
      </c>
      <c r="W388" s="11">
        <f t="array" ref="W388">LET(ev,$J388, ch,$L388, et,$I388, dr,$Q388, hpday,Assumptions!$B$2, hpw,Assumptions!$B$3, w,$M388,hm,INDIRECT("R[0]C[0]",FALSE),hrs, IF(et="Hours", ev, IF(et="Days", ev*IF(dr&gt;0, dr/$P388, hpday), IF(et="FTE", ev*hpw*w, ch))), IF(hrs="", "", hrs*hm))</f>
        <v/>
      </c>
      <c r="X388" s="11">
        <f>IF($P388="","", $P388*INDIRECT("R[0]C[-3]",FALSE))</f>
        <v/>
      </c>
      <c r="Y388" s="11">
        <f>IF(INDIRECT("R[0]C[-1]",FALSE)="","", INDIRECT("R[0]C[-2]",FALSE)*INDIRECT("R[0]C[-1]",FALSE)*(1+INDIRECT("R[0]C[-3]",FALSE)))</f>
        <v/>
      </c>
      <c r="Z388" s="13" t="n"/>
    </row>
    <row r="389" ht="15.75" customHeight="1" s="74">
      <c r="A389" s="11" t="n">
        <v>389</v>
      </c>
      <c r="C389" s="11">
        <f t="array" ref="C389">IFERROR(INDEX(Milestones!$A:$A, MATCH($B389, Milestones!$B:$B, 0)), "")</f>
        <v/>
      </c>
      <c r="D389" s="11">
        <f t="array" ref="D389">IFERROR(INDEX(Milestones!$C:$C, MATCH($B389, Milestones!$B:$B, 0)), "")</f>
        <v/>
      </c>
      <c r="F389" s="11">
        <f t="array" ref="F389">IFERROR(INDEX(Milestones!$E:$E, MATCH($B389, Milestones!$B:$B, 0)), "")</f>
        <v/>
      </c>
      <c r="I389" s="11" t="n"/>
      <c r="J389" s="20" t="n"/>
      <c r="K389" s="11" t="n"/>
      <c r="L389" s="11">
        <f t="array" ref="L389">IF($K389="","", IFERROR(IFS($K389="Low", INDEX('Lookups - Complexity'!$C:$C, MATCH($B389, 'Lookups - Complexity'!$B:$B,0)), $K389="Medium", INDEX('Lookups - Complexity'!$D:$D, MATCH($B389, 'Lookups - Complexity'!$B:$B,0)), $K389="High", INDEX('Lookups - Complexity'!$E:$E, MATCH($B389, 'Lookups - Complexity'!$B:$B,0))), ""))</f>
        <v/>
      </c>
      <c r="M389" s="11">
        <f>IF($I389="FTE", Assumptions!$B$3, "")</f>
        <v/>
      </c>
      <c r="N389" s="11">
        <f t="array" ref="N389">IFERROR(INDEX(Milestones!$F:$F, MATCH($B389, Milestones!$B:$B, 0)), "")</f>
        <v/>
      </c>
      <c r="O389" s="11">
        <f t="array" ref="O389">IFERROR(INDEX(Milestones!$G:$G, MATCH($B389, Milestones!$B:$B, 0)), "")</f>
        <v/>
      </c>
      <c r="P389" s="11">
        <f t="array" ref="P389">IFERROR(INDEX('Lookups - Rates'!$D:$D, MATCH($G389&amp;"|"&amp;$H389, 'Lookups - Rates'!$Z:$Z, 0)), "")</f>
        <v/>
      </c>
      <c r="Q389" s="11">
        <f t="array" ref="Q389">IFERROR(INDEX('Lookups - Rates'!$E:$E, MATCH($G389&amp;"|"&amp;$H389, 'Lookups - Rates'!$Z:$Z, 0)), "")</f>
        <v/>
      </c>
      <c r="R389" s="11">
        <f>LET(ev,$J389, ch,$L389, hr,$P389, dr,$Q389, hpday,Assumptions!$B$2, hpw,Assumptions!$B$3, w,$M389, hrs, IF($I389="Hours", ev, IF($I389="Days", ev*IF(dr&gt;0, dr/hr, hpday), IF($I389="FTE", ev*hpw*w, ch))), IF(hrs="", "", hrs*hr))</f>
        <v/>
      </c>
      <c r="S389" s="13" t="n"/>
      <c r="T389" s="11">
        <f t="array" ref="T389">XLOOKUP(Scenario_Selected, INDEX(Scenario_Table,0,1), INDEX(Scenario_Table,0,2))</f>
        <v/>
      </c>
      <c r="U389" s="11">
        <f t="array" ref="U389">XLOOKUP(Scenario_Selected, INDEX(Scenario_Table,0,1), INDEX(Scenario_Table,0,3))</f>
        <v/>
      </c>
      <c r="V389" s="11">
        <f t="array" ref="V389">XLOOKUP(Scenario_Selected, INDEX(Scenario_Table,0,1), INDEX(Scenario_Table,0,4))</f>
        <v/>
      </c>
      <c r="W389" s="11">
        <f t="array" ref="W389">LET(ev,$J389, ch,$L389, et,$I389, dr,$Q389, hpday,Assumptions!$B$2, hpw,Assumptions!$B$3, w,$M389,hm,INDIRECT("R[0]C[0]",FALSE),hrs, IF(et="Hours", ev, IF(et="Days", ev*IF(dr&gt;0, dr/$P389, hpday), IF(et="FTE", ev*hpw*w, ch))), IF(hrs="", "", hrs*hm))</f>
        <v/>
      </c>
      <c r="X389" s="11">
        <f>IF($P389="","", $P389*INDIRECT("R[0]C[-3]",FALSE))</f>
        <v/>
      </c>
      <c r="Y389" s="11">
        <f>IF(INDIRECT("R[0]C[-1]",FALSE)="","", INDIRECT("R[0]C[-2]",FALSE)*INDIRECT("R[0]C[-1]",FALSE)*(1+INDIRECT("R[0]C[-3]",FALSE)))</f>
        <v/>
      </c>
      <c r="Z389" s="13" t="n"/>
    </row>
    <row r="390" ht="15.75" customHeight="1" s="74">
      <c r="A390" s="11" t="n">
        <v>390</v>
      </c>
      <c r="C390" s="11">
        <f t="array" ref="C390">IFERROR(INDEX(Milestones!$A:$A, MATCH($B390, Milestones!$B:$B, 0)), "")</f>
        <v/>
      </c>
      <c r="D390" s="11">
        <f t="array" ref="D390">IFERROR(INDEX(Milestones!$C:$C, MATCH($B390, Milestones!$B:$B, 0)), "")</f>
        <v/>
      </c>
      <c r="F390" s="11">
        <f t="array" ref="F390">IFERROR(INDEX(Milestones!$E:$E, MATCH($B390, Milestones!$B:$B, 0)), "")</f>
        <v/>
      </c>
      <c r="I390" s="11" t="n"/>
      <c r="J390" s="20" t="n"/>
      <c r="K390" s="11" t="n"/>
      <c r="L390" s="11">
        <f t="array" ref="L390">IF($K390="","", IFERROR(IFS($K390="Low", INDEX('Lookups - Complexity'!$C:$C, MATCH($B390, 'Lookups - Complexity'!$B:$B,0)), $K390="Medium", INDEX('Lookups - Complexity'!$D:$D, MATCH($B390, 'Lookups - Complexity'!$B:$B,0)), $K390="High", INDEX('Lookups - Complexity'!$E:$E, MATCH($B390, 'Lookups - Complexity'!$B:$B,0))), ""))</f>
        <v/>
      </c>
      <c r="M390" s="11">
        <f>IF($I390="FTE", Assumptions!$B$3, "")</f>
        <v/>
      </c>
      <c r="N390" s="11">
        <f t="array" ref="N390">IFERROR(INDEX(Milestones!$F:$F, MATCH($B390, Milestones!$B:$B, 0)), "")</f>
        <v/>
      </c>
      <c r="O390" s="11">
        <f t="array" ref="O390">IFERROR(INDEX(Milestones!$G:$G, MATCH($B390, Milestones!$B:$B, 0)), "")</f>
        <v/>
      </c>
      <c r="P390" s="11">
        <f t="array" ref="P390">IFERROR(INDEX('Lookups - Rates'!$D:$D, MATCH($G390&amp;"|"&amp;$H390, 'Lookups - Rates'!$Z:$Z, 0)), "")</f>
        <v/>
      </c>
      <c r="Q390" s="11">
        <f t="array" ref="Q390">IFERROR(INDEX('Lookups - Rates'!$E:$E, MATCH($G390&amp;"|"&amp;$H390, 'Lookups - Rates'!$Z:$Z, 0)), "")</f>
        <v/>
      </c>
      <c r="R390" s="11">
        <f>LET(ev,$J390, ch,$L390, hr,$P390, dr,$Q390, hpday,Assumptions!$B$2, hpw,Assumptions!$B$3, w,$M390, hrs, IF($I390="Hours", ev, IF($I390="Days", ev*IF(dr&gt;0, dr/hr, hpday), IF($I390="FTE", ev*hpw*w, ch))), IF(hrs="", "", hrs*hr))</f>
        <v/>
      </c>
      <c r="S390" s="13" t="n"/>
      <c r="T390" s="11">
        <f t="array" ref="T390">XLOOKUP(Scenario_Selected, INDEX(Scenario_Table,0,1), INDEX(Scenario_Table,0,2))</f>
        <v/>
      </c>
      <c r="U390" s="11">
        <f t="array" ref="U390">XLOOKUP(Scenario_Selected, INDEX(Scenario_Table,0,1), INDEX(Scenario_Table,0,3))</f>
        <v/>
      </c>
      <c r="V390" s="11">
        <f t="array" ref="V390">XLOOKUP(Scenario_Selected, INDEX(Scenario_Table,0,1), INDEX(Scenario_Table,0,4))</f>
        <v/>
      </c>
      <c r="W390" s="11">
        <f t="array" ref="W390">LET(ev,$J390, ch,$L390, et,$I390, dr,$Q390, hpday,Assumptions!$B$2, hpw,Assumptions!$B$3, w,$M390,hm,INDIRECT("R[0]C[0]",FALSE),hrs, IF(et="Hours", ev, IF(et="Days", ev*IF(dr&gt;0, dr/$P390, hpday), IF(et="FTE", ev*hpw*w, ch))), IF(hrs="", "", hrs*hm))</f>
        <v/>
      </c>
      <c r="X390" s="11">
        <f>IF($P390="","", $P390*INDIRECT("R[0]C[-3]",FALSE))</f>
        <v/>
      </c>
      <c r="Y390" s="11">
        <f>IF(INDIRECT("R[0]C[-1]",FALSE)="","", INDIRECT("R[0]C[-2]",FALSE)*INDIRECT("R[0]C[-1]",FALSE)*(1+INDIRECT("R[0]C[-3]",FALSE)))</f>
        <v/>
      </c>
      <c r="Z390" s="13" t="n"/>
    </row>
    <row r="391" ht="15.75" customHeight="1" s="74">
      <c r="A391" s="11" t="n">
        <v>391</v>
      </c>
      <c r="C391" s="11">
        <f t="array" ref="C391">IFERROR(INDEX(Milestones!$A:$A, MATCH($B391, Milestones!$B:$B, 0)), "")</f>
        <v/>
      </c>
      <c r="D391" s="11">
        <f t="array" ref="D391">IFERROR(INDEX(Milestones!$C:$C, MATCH($B391, Milestones!$B:$B, 0)), "")</f>
        <v/>
      </c>
      <c r="F391" s="11">
        <f t="array" ref="F391">IFERROR(INDEX(Milestones!$E:$E, MATCH($B391, Milestones!$B:$B, 0)), "")</f>
        <v/>
      </c>
      <c r="I391" s="11" t="n"/>
      <c r="J391" s="20" t="n"/>
      <c r="K391" s="11" t="n"/>
      <c r="L391" s="11">
        <f t="array" ref="L391">IF($K391="","", IFERROR(IFS($K391="Low", INDEX('Lookups - Complexity'!$C:$C, MATCH($B391, 'Lookups - Complexity'!$B:$B,0)), $K391="Medium", INDEX('Lookups - Complexity'!$D:$D, MATCH($B391, 'Lookups - Complexity'!$B:$B,0)), $K391="High", INDEX('Lookups - Complexity'!$E:$E, MATCH($B391, 'Lookups - Complexity'!$B:$B,0))), ""))</f>
        <v/>
      </c>
      <c r="M391" s="11">
        <f>IF($I391="FTE", Assumptions!$B$3, "")</f>
        <v/>
      </c>
      <c r="N391" s="11">
        <f t="array" ref="N391">IFERROR(INDEX(Milestones!$F:$F, MATCH($B391, Milestones!$B:$B, 0)), "")</f>
        <v/>
      </c>
      <c r="O391" s="11">
        <f t="array" ref="O391">IFERROR(INDEX(Milestones!$G:$G, MATCH($B391, Milestones!$B:$B, 0)), "")</f>
        <v/>
      </c>
      <c r="P391" s="11">
        <f t="array" ref="P391">IFERROR(INDEX('Lookups - Rates'!$D:$D, MATCH($G391&amp;"|"&amp;$H391, 'Lookups - Rates'!$Z:$Z, 0)), "")</f>
        <v/>
      </c>
      <c r="Q391" s="11">
        <f t="array" ref="Q391">IFERROR(INDEX('Lookups - Rates'!$E:$E, MATCH($G391&amp;"|"&amp;$H391, 'Lookups - Rates'!$Z:$Z, 0)), "")</f>
        <v/>
      </c>
      <c r="R391" s="11">
        <f>LET(ev,$J391, ch,$L391, hr,$P391, dr,$Q391, hpday,Assumptions!$B$2, hpw,Assumptions!$B$3, w,$M391, hrs, IF($I391="Hours", ev, IF($I391="Days", ev*IF(dr&gt;0, dr/hr, hpday), IF($I391="FTE", ev*hpw*w, ch))), IF(hrs="", "", hrs*hr))</f>
        <v/>
      </c>
      <c r="S391" s="13" t="n"/>
      <c r="T391" s="11">
        <f t="array" ref="T391">XLOOKUP(Scenario_Selected, INDEX(Scenario_Table,0,1), INDEX(Scenario_Table,0,2))</f>
        <v/>
      </c>
      <c r="U391" s="11">
        <f t="array" ref="U391">XLOOKUP(Scenario_Selected, INDEX(Scenario_Table,0,1), INDEX(Scenario_Table,0,3))</f>
        <v/>
      </c>
      <c r="V391" s="11">
        <f t="array" ref="V391">XLOOKUP(Scenario_Selected, INDEX(Scenario_Table,0,1), INDEX(Scenario_Table,0,4))</f>
        <v/>
      </c>
      <c r="W391" s="11">
        <f t="array" ref="W391">LET(ev,$J391, ch,$L391, et,$I391, dr,$Q391, hpday,Assumptions!$B$2, hpw,Assumptions!$B$3, w,$M391,hm,INDIRECT("R[0]C[0]",FALSE),hrs, IF(et="Hours", ev, IF(et="Days", ev*IF(dr&gt;0, dr/$P391, hpday), IF(et="FTE", ev*hpw*w, ch))), IF(hrs="", "", hrs*hm))</f>
        <v/>
      </c>
      <c r="X391" s="11">
        <f>IF($P391="","", $P391*INDIRECT("R[0]C[-3]",FALSE))</f>
        <v/>
      </c>
      <c r="Y391" s="11">
        <f>IF(INDIRECT("R[0]C[-1]",FALSE)="","", INDIRECT("R[0]C[-2]",FALSE)*INDIRECT("R[0]C[-1]",FALSE)*(1+INDIRECT("R[0]C[-3]",FALSE)))</f>
        <v/>
      </c>
      <c r="Z391" s="13" t="n"/>
    </row>
    <row r="392" ht="15.75" customHeight="1" s="74">
      <c r="A392" s="11" t="n">
        <v>392</v>
      </c>
      <c r="C392" s="11">
        <f t="array" ref="C392">IFERROR(INDEX(Milestones!$A:$A, MATCH($B392, Milestones!$B:$B, 0)), "")</f>
        <v/>
      </c>
      <c r="D392" s="11">
        <f t="array" ref="D392">IFERROR(INDEX(Milestones!$C:$C, MATCH($B392, Milestones!$B:$B, 0)), "")</f>
        <v/>
      </c>
      <c r="F392" s="11">
        <f t="array" ref="F392">IFERROR(INDEX(Milestones!$E:$E, MATCH($B392, Milestones!$B:$B, 0)), "")</f>
        <v/>
      </c>
      <c r="I392" s="11" t="n"/>
      <c r="J392" s="20" t="n"/>
      <c r="K392" s="11" t="n"/>
      <c r="L392" s="11">
        <f t="array" ref="L392">IF($K392="","", IFERROR(IFS($K392="Low", INDEX('Lookups - Complexity'!$C:$C, MATCH($B392, 'Lookups - Complexity'!$B:$B,0)), $K392="Medium", INDEX('Lookups - Complexity'!$D:$D, MATCH($B392, 'Lookups - Complexity'!$B:$B,0)), $K392="High", INDEX('Lookups - Complexity'!$E:$E, MATCH($B392, 'Lookups - Complexity'!$B:$B,0))), ""))</f>
        <v/>
      </c>
      <c r="M392" s="11">
        <f>IF($I392="FTE", Assumptions!$B$3, "")</f>
        <v/>
      </c>
      <c r="N392" s="11">
        <f t="array" ref="N392">IFERROR(INDEX(Milestones!$F:$F, MATCH($B392, Milestones!$B:$B, 0)), "")</f>
        <v/>
      </c>
      <c r="O392" s="11">
        <f t="array" ref="O392">IFERROR(INDEX(Milestones!$G:$G, MATCH($B392, Milestones!$B:$B, 0)), "")</f>
        <v/>
      </c>
      <c r="P392" s="11">
        <f t="array" ref="P392">IFERROR(INDEX('Lookups - Rates'!$D:$D, MATCH($G392&amp;"|"&amp;$H392, 'Lookups - Rates'!$Z:$Z, 0)), "")</f>
        <v/>
      </c>
      <c r="Q392" s="11">
        <f t="array" ref="Q392">IFERROR(INDEX('Lookups - Rates'!$E:$E, MATCH($G392&amp;"|"&amp;$H392, 'Lookups - Rates'!$Z:$Z, 0)), "")</f>
        <v/>
      </c>
      <c r="R392" s="11">
        <f>LET(ev,$J392, ch,$L392, hr,$P392, dr,$Q392, hpday,Assumptions!$B$2, hpw,Assumptions!$B$3, w,$M392, hrs, IF($I392="Hours", ev, IF($I392="Days", ev*IF(dr&gt;0, dr/hr, hpday), IF($I392="FTE", ev*hpw*w, ch))), IF(hrs="", "", hrs*hr))</f>
        <v/>
      </c>
      <c r="S392" s="13" t="n"/>
      <c r="T392" s="11">
        <f t="array" ref="T392">XLOOKUP(Scenario_Selected, INDEX(Scenario_Table,0,1), INDEX(Scenario_Table,0,2))</f>
        <v/>
      </c>
      <c r="U392" s="11">
        <f t="array" ref="U392">XLOOKUP(Scenario_Selected, INDEX(Scenario_Table,0,1), INDEX(Scenario_Table,0,3))</f>
        <v/>
      </c>
      <c r="V392" s="11">
        <f t="array" ref="V392">XLOOKUP(Scenario_Selected, INDEX(Scenario_Table,0,1), INDEX(Scenario_Table,0,4))</f>
        <v/>
      </c>
      <c r="W392" s="11">
        <f t="array" ref="W392">LET(ev,$J392, ch,$L392, et,$I392, dr,$Q392, hpday,Assumptions!$B$2, hpw,Assumptions!$B$3, w,$M392,hm,INDIRECT("R[0]C[0]",FALSE),hrs, IF(et="Hours", ev, IF(et="Days", ev*IF(dr&gt;0, dr/$P392, hpday), IF(et="FTE", ev*hpw*w, ch))), IF(hrs="", "", hrs*hm))</f>
        <v/>
      </c>
      <c r="X392" s="11">
        <f>IF($P392="","", $P392*INDIRECT("R[0]C[-3]",FALSE))</f>
        <v/>
      </c>
      <c r="Y392" s="11">
        <f>IF(INDIRECT("R[0]C[-1]",FALSE)="","", INDIRECT("R[0]C[-2]",FALSE)*INDIRECT("R[0]C[-1]",FALSE)*(1+INDIRECT("R[0]C[-3]",FALSE)))</f>
        <v/>
      </c>
      <c r="Z392" s="13" t="n"/>
    </row>
    <row r="393" ht="15.75" customHeight="1" s="74">
      <c r="A393" s="11" t="n">
        <v>393</v>
      </c>
      <c r="C393" s="11">
        <f t="array" ref="C393">IFERROR(INDEX(Milestones!$A:$A, MATCH($B393, Milestones!$B:$B, 0)), "")</f>
        <v/>
      </c>
      <c r="D393" s="11">
        <f t="array" ref="D393">IFERROR(INDEX(Milestones!$C:$C, MATCH($B393, Milestones!$B:$B, 0)), "")</f>
        <v/>
      </c>
      <c r="F393" s="11">
        <f t="array" ref="F393">IFERROR(INDEX(Milestones!$E:$E, MATCH($B393, Milestones!$B:$B, 0)), "")</f>
        <v/>
      </c>
      <c r="I393" s="11" t="n"/>
      <c r="J393" s="20" t="n"/>
      <c r="K393" s="11" t="n"/>
      <c r="L393" s="11">
        <f t="array" ref="L393">IF($K393="","", IFERROR(IFS($K393="Low", INDEX('Lookups - Complexity'!$C:$C, MATCH($B393, 'Lookups - Complexity'!$B:$B,0)), $K393="Medium", INDEX('Lookups - Complexity'!$D:$D, MATCH($B393, 'Lookups - Complexity'!$B:$B,0)), $K393="High", INDEX('Lookups - Complexity'!$E:$E, MATCH($B393, 'Lookups - Complexity'!$B:$B,0))), ""))</f>
        <v/>
      </c>
      <c r="M393" s="11">
        <f>IF($I393="FTE", Assumptions!$B$3, "")</f>
        <v/>
      </c>
      <c r="N393" s="11">
        <f t="array" ref="N393">IFERROR(INDEX(Milestones!$F:$F, MATCH($B393, Milestones!$B:$B, 0)), "")</f>
        <v/>
      </c>
      <c r="O393" s="11">
        <f t="array" ref="O393">IFERROR(INDEX(Milestones!$G:$G, MATCH($B393, Milestones!$B:$B, 0)), "")</f>
        <v/>
      </c>
      <c r="P393" s="11">
        <f t="array" ref="P393">IFERROR(INDEX('Lookups - Rates'!$D:$D, MATCH($G393&amp;"|"&amp;$H393, 'Lookups - Rates'!$Z:$Z, 0)), "")</f>
        <v/>
      </c>
      <c r="Q393" s="11">
        <f t="array" ref="Q393">IFERROR(INDEX('Lookups - Rates'!$E:$E, MATCH($G393&amp;"|"&amp;$H393, 'Lookups - Rates'!$Z:$Z, 0)), "")</f>
        <v/>
      </c>
      <c r="R393" s="11">
        <f>LET(ev,$J393, ch,$L393, hr,$P393, dr,$Q393, hpday,Assumptions!$B$2, hpw,Assumptions!$B$3, w,$M393, hrs, IF($I393="Hours", ev, IF($I393="Days", ev*IF(dr&gt;0, dr/hr, hpday), IF($I393="FTE", ev*hpw*w, ch))), IF(hrs="", "", hrs*hr))</f>
        <v/>
      </c>
      <c r="S393" s="13" t="n"/>
      <c r="T393" s="11">
        <f t="array" ref="T393">XLOOKUP(Scenario_Selected, INDEX(Scenario_Table,0,1), INDEX(Scenario_Table,0,2))</f>
        <v/>
      </c>
      <c r="U393" s="11">
        <f t="array" ref="U393">XLOOKUP(Scenario_Selected, INDEX(Scenario_Table,0,1), INDEX(Scenario_Table,0,3))</f>
        <v/>
      </c>
      <c r="V393" s="11">
        <f t="array" ref="V393">XLOOKUP(Scenario_Selected, INDEX(Scenario_Table,0,1), INDEX(Scenario_Table,0,4))</f>
        <v/>
      </c>
      <c r="W393" s="11">
        <f t="array" ref="W393">LET(ev,$J393, ch,$L393, et,$I393, dr,$Q393, hpday,Assumptions!$B$2, hpw,Assumptions!$B$3, w,$M393,hm,INDIRECT("R[0]C[0]",FALSE),hrs, IF(et="Hours", ev, IF(et="Days", ev*IF(dr&gt;0, dr/$P393, hpday), IF(et="FTE", ev*hpw*w, ch))), IF(hrs="", "", hrs*hm))</f>
        <v/>
      </c>
      <c r="X393" s="11">
        <f>IF($P393="","", $P393*INDIRECT("R[0]C[-3]",FALSE))</f>
        <v/>
      </c>
      <c r="Y393" s="11">
        <f>IF(INDIRECT("R[0]C[-1]",FALSE)="","", INDIRECT("R[0]C[-2]",FALSE)*INDIRECT("R[0]C[-1]",FALSE)*(1+INDIRECT("R[0]C[-3]",FALSE)))</f>
        <v/>
      </c>
      <c r="Z393" s="13" t="n"/>
    </row>
    <row r="394" ht="15.75" customHeight="1" s="74">
      <c r="A394" s="11" t="n">
        <v>394</v>
      </c>
      <c r="C394" s="11">
        <f t="array" ref="C394">IFERROR(INDEX(Milestones!$A:$A, MATCH($B394, Milestones!$B:$B, 0)), "")</f>
        <v/>
      </c>
      <c r="D394" s="11">
        <f t="array" ref="D394">IFERROR(INDEX(Milestones!$C:$C, MATCH($B394, Milestones!$B:$B, 0)), "")</f>
        <v/>
      </c>
      <c r="F394" s="11">
        <f t="array" ref="F394">IFERROR(INDEX(Milestones!$E:$E, MATCH($B394, Milestones!$B:$B, 0)), "")</f>
        <v/>
      </c>
      <c r="I394" s="11" t="n"/>
      <c r="J394" s="20" t="n"/>
      <c r="K394" s="11" t="n"/>
      <c r="L394" s="11">
        <f t="array" ref="L394">IF($K394="","", IFERROR(IFS($K394="Low", INDEX('Lookups - Complexity'!$C:$C, MATCH($B394, 'Lookups - Complexity'!$B:$B,0)), $K394="Medium", INDEX('Lookups - Complexity'!$D:$D, MATCH($B394, 'Lookups - Complexity'!$B:$B,0)), $K394="High", INDEX('Lookups - Complexity'!$E:$E, MATCH($B394, 'Lookups - Complexity'!$B:$B,0))), ""))</f>
        <v/>
      </c>
      <c r="M394" s="11">
        <f>IF($I394="FTE", Assumptions!$B$3, "")</f>
        <v/>
      </c>
      <c r="N394" s="11">
        <f t="array" ref="N394">IFERROR(INDEX(Milestones!$F:$F, MATCH($B394, Milestones!$B:$B, 0)), "")</f>
        <v/>
      </c>
      <c r="O394" s="11">
        <f t="array" ref="O394">IFERROR(INDEX(Milestones!$G:$G, MATCH($B394, Milestones!$B:$B, 0)), "")</f>
        <v/>
      </c>
      <c r="P394" s="11">
        <f t="array" ref="P394">IFERROR(INDEX('Lookups - Rates'!$D:$D, MATCH($G394&amp;"|"&amp;$H394, 'Lookups - Rates'!$Z:$Z, 0)), "")</f>
        <v/>
      </c>
      <c r="Q394" s="11">
        <f t="array" ref="Q394">IFERROR(INDEX('Lookups - Rates'!$E:$E, MATCH($G394&amp;"|"&amp;$H394, 'Lookups - Rates'!$Z:$Z, 0)), "")</f>
        <v/>
      </c>
      <c r="R394" s="11">
        <f>LET(ev,$J394, ch,$L394, hr,$P394, dr,$Q394, hpday,Assumptions!$B$2, hpw,Assumptions!$B$3, w,$M394, hrs, IF($I394="Hours", ev, IF($I394="Days", ev*IF(dr&gt;0, dr/hr, hpday), IF($I394="FTE", ev*hpw*w, ch))), IF(hrs="", "", hrs*hr))</f>
        <v/>
      </c>
      <c r="S394" s="13" t="n"/>
      <c r="T394" s="11">
        <f t="array" ref="T394">XLOOKUP(Scenario_Selected, INDEX(Scenario_Table,0,1), INDEX(Scenario_Table,0,2))</f>
        <v/>
      </c>
      <c r="U394" s="11">
        <f t="array" ref="U394">XLOOKUP(Scenario_Selected, INDEX(Scenario_Table,0,1), INDEX(Scenario_Table,0,3))</f>
        <v/>
      </c>
      <c r="V394" s="11">
        <f t="array" ref="V394">XLOOKUP(Scenario_Selected, INDEX(Scenario_Table,0,1), INDEX(Scenario_Table,0,4))</f>
        <v/>
      </c>
      <c r="W394" s="11">
        <f t="array" ref="W394">LET(ev,$J394, ch,$L394, et,$I394, dr,$Q394, hpday,Assumptions!$B$2, hpw,Assumptions!$B$3, w,$M394,hm,INDIRECT("R[0]C[0]",FALSE),hrs, IF(et="Hours", ev, IF(et="Days", ev*IF(dr&gt;0, dr/$P394, hpday), IF(et="FTE", ev*hpw*w, ch))), IF(hrs="", "", hrs*hm))</f>
        <v/>
      </c>
      <c r="X394" s="11">
        <f>IF($P394="","", $P394*INDIRECT("R[0]C[-3]",FALSE))</f>
        <v/>
      </c>
      <c r="Y394" s="11">
        <f>IF(INDIRECT("R[0]C[-1]",FALSE)="","", INDIRECT("R[0]C[-2]",FALSE)*INDIRECT("R[0]C[-1]",FALSE)*(1+INDIRECT("R[0]C[-3]",FALSE)))</f>
        <v/>
      </c>
      <c r="Z394" s="13" t="n"/>
    </row>
    <row r="395" ht="15.75" customHeight="1" s="74">
      <c r="A395" s="11" t="n">
        <v>395</v>
      </c>
      <c r="C395" s="11">
        <f t="array" ref="C395">IFERROR(INDEX(Milestones!$A:$A, MATCH($B395, Milestones!$B:$B, 0)), "")</f>
        <v/>
      </c>
      <c r="D395" s="11">
        <f t="array" ref="D395">IFERROR(INDEX(Milestones!$C:$C, MATCH($B395, Milestones!$B:$B, 0)), "")</f>
        <v/>
      </c>
      <c r="F395" s="11">
        <f t="array" ref="F395">IFERROR(INDEX(Milestones!$E:$E, MATCH($B395, Milestones!$B:$B, 0)), "")</f>
        <v/>
      </c>
      <c r="I395" s="11" t="n"/>
      <c r="J395" s="20" t="n"/>
      <c r="K395" s="11" t="n"/>
      <c r="L395" s="11">
        <f t="array" ref="L395">IF($K395="","", IFERROR(IFS($K395="Low", INDEX('Lookups - Complexity'!$C:$C, MATCH($B395, 'Lookups - Complexity'!$B:$B,0)), $K395="Medium", INDEX('Lookups - Complexity'!$D:$D, MATCH($B395, 'Lookups - Complexity'!$B:$B,0)), $K395="High", INDEX('Lookups - Complexity'!$E:$E, MATCH($B395, 'Lookups - Complexity'!$B:$B,0))), ""))</f>
        <v/>
      </c>
      <c r="M395" s="11">
        <f>IF($I395="FTE", Assumptions!$B$3, "")</f>
        <v/>
      </c>
      <c r="N395" s="11">
        <f t="array" ref="N395">IFERROR(INDEX(Milestones!$F:$F, MATCH($B395, Milestones!$B:$B, 0)), "")</f>
        <v/>
      </c>
      <c r="O395" s="11">
        <f t="array" ref="O395">IFERROR(INDEX(Milestones!$G:$G, MATCH($B395, Milestones!$B:$B, 0)), "")</f>
        <v/>
      </c>
      <c r="P395" s="11">
        <f t="array" ref="P395">IFERROR(INDEX('Lookups - Rates'!$D:$D, MATCH($G395&amp;"|"&amp;$H395, 'Lookups - Rates'!$Z:$Z, 0)), "")</f>
        <v/>
      </c>
      <c r="Q395" s="11">
        <f t="array" ref="Q395">IFERROR(INDEX('Lookups - Rates'!$E:$E, MATCH($G395&amp;"|"&amp;$H395, 'Lookups - Rates'!$Z:$Z, 0)), "")</f>
        <v/>
      </c>
      <c r="R395" s="11">
        <f>LET(ev,$J395, ch,$L395, hr,$P395, dr,$Q395, hpday,Assumptions!$B$2, hpw,Assumptions!$B$3, w,$M395, hrs, IF($I395="Hours", ev, IF($I395="Days", ev*IF(dr&gt;0, dr/hr, hpday), IF($I395="FTE", ev*hpw*w, ch))), IF(hrs="", "", hrs*hr))</f>
        <v/>
      </c>
      <c r="S395" s="13" t="n"/>
      <c r="T395" s="11">
        <f t="array" ref="T395">XLOOKUP(Scenario_Selected, INDEX(Scenario_Table,0,1), INDEX(Scenario_Table,0,2))</f>
        <v/>
      </c>
      <c r="U395" s="11">
        <f t="array" ref="U395">XLOOKUP(Scenario_Selected, INDEX(Scenario_Table,0,1), INDEX(Scenario_Table,0,3))</f>
        <v/>
      </c>
      <c r="V395" s="11">
        <f t="array" ref="V395">XLOOKUP(Scenario_Selected, INDEX(Scenario_Table,0,1), INDEX(Scenario_Table,0,4))</f>
        <v/>
      </c>
      <c r="W395" s="11">
        <f t="array" ref="W395">LET(ev,$J395, ch,$L395, et,$I395, dr,$Q395, hpday,Assumptions!$B$2, hpw,Assumptions!$B$3, w,$M395,hm,INDIRECT("R[0]C[0]",FALSE),hrs, IF(et="Hours", ev, IF(et="Days", ev*IF(dr&gt;0, dr/$P395, hpday), IF(et="FTE", ev*hpw*w, ch))), IF(hrs="", "", hrs*hm))</f>
        <v/>
      </c>
      <c r="X395" s="11">
        <f>IF($P395="","", $P395*INDIRECT("R[0]C[-3]",FALSE))</f>
        <v/>
      </c>
      <c r="Y395" s="11">
        <f>IF(INDIRECT("R[0]C[-1]",FALSE)="","", INDIRECT("R[0]C[-2]",FALSE)*INDIRECT("R[0]C[-1]",FALSE)*(1+INDIRECT("R[0]C[-3]",FALSE)))</f>
        <v/>
      </c>
      <c r="Z395" s="13" t="n"/>
    </row>
    <row r="396" ht="15.75" customHeight="1" s="74">
      <c r="A396" s="11" t="n">
        <v>396</v>
      </c>
      <c r="C396" s="11">
        <f t="array" ref="C396">IFERROR(INDEX(Milestones!$A:$A, MATCH($B396, Milestones!$B:$B, 0)), "")</f>
        <v/>
      </c>
      <c r="D396" s="11">
        <f t="array" ref="D396">IFERROR(INDEX(Milestones!$C:$C, MATCH($B396, Milestones!$B:$B, 0)), "")</f>
        <v/>
      </c>
      <c r="F396" s="11">
        <f t="array" ref="F396">IFERROR(INDEX(Milestones!$E:$E, MATCH($B396, Milestones!$B:$B, 0)), "")</f>
        <v/>
      </c>
      <c r="I396" s="11" t="n"/>
      <c r="J396" s="20" t="n"/>
      <c r="K396" s="11" t="n"/>
      <c r="L396" s="11">
        <f t="array" ref="L396">IF($K396="","", IFERROR(IFS($K396="Low", INDEX('Lookups - Complexity'!$C:$C, MATCH($B396, 'Lookups - Complexity'!$B:$B,0)), $K396="Medium", INDEX('Lookups - Complexity'!$D:$D, MATCH($B396, 'Lookups - Complexity'!$B:$B,0)), $K396="High", INDEX('Lookups - Complexity'!$E:$E, MATCH($B396, 'Lookups - Complexity'!$B:$B,0))), ""))</f>
        <v/>
      </c>
      <c r="M396" s="11">
        <f>IF($I396="FTE", Assumptions!$B$3, "")</f>
        <v/>
      </c>
      <c r="N396" s="11">
        <f t="array" ref="N396">IFERROR(INDEX(Milestones!$F:$F, MATCH($B396, Milestones!$B:$B, 0)), "")</f>
        <v/>
      </c>
      <c r="O396" s="11">
        <f t="array" ref="O396">IFERROR(INDEX(Milestones!$G:$G, MATCH($B396, Milestones!$B:$B, 0)), "")</f>
        <v/>
      </c>
      <c r="P396" s="11">
        <f t="array" ref="P396">IFERROR(INDEX('Lookups - Rates'!$D:$D, MATCH($G396&amp;"|"&amp;$H396, 'Lookups - Rates'!$Z:$Z, 0)), "")</f>
        <v/>
      </c>
      <c r="Q396" s="11">
        <f t="array" ref="Q396">IFERROR(INDEX('Lookups - Rates'!$E:$E, MATCH($G396&amp;"|"&amp;$H396, 'Lookups - Rates'!$Z:$Z, 0)), "")</f>
        <v/>
      </c>
      <c r="R396" s="11">
        <f>LET(ev,$J396, ch,$L396, hr,$P396, dr,$Q396, hpday,Assumptions!$B$2, hpw,Assumptions!$B$3, w,$M396, hrs, IF($I396="Hours", ev, IF($I396="Days", ev*IF(dr&gt;0, dr/hr, hpday), IF($I396="FTE", ev*hpw*w, ch))), IF(hrs="", "", hrs*hr))</f>
        <v/>
      </c>
      <c r="S396" s="13" t="n"/>
      <c r="T396" s="11">
        <f t="array" ref="T396">XLOOKUP(Scenario_Selected, INDEX(Scenario_Table,0,1), INDEX(Scenario_Table,0,2))</f>
        <v/>
      </c>
      <c r="U396" s="11">
        <f t="array" ref="U396">XLOOKUP(Scenario_Selected, INDEX(Scenario_Table,0,1), INDEX(Scenario_Table,0,3))</f>
        <v/>
      </c>
      <c r="V396" s="11">
        <f t="array" ref="V396">XLOOKUP(Scenario_Selected, INDEX(Scenario_Table,0,1), INDEX(Scenario_Table,0,4))</f>
        <v/>
      </c>
      <c r="W396" s="11">
        <f t="array" ref="W396">LET(ev,$J396, ch,$L396, et,$I396, dr,$Q396, hpday,Assumptions!$B$2, hpw,Assumptions!$B$3, w,$M396,hm,INDIRECT("R[0]C[0]",FALSE),hrs, IF(et="Hours", ev, IF(et="Days", ev*IF(dr&gt;0, dr/$P396, hpday), IF(et="FTE", ev*hpw*w, ch))), IF(hrs="", "", hrs*hm))</f>
        <v/>
      </c>
      <c r="X396" s="11">
        <f>IF($P396="","", $P396*INDIRECT("R[0]C[-3]",FALSE))</f>
        <v/>
      </c>
      <c r="Y396" s="11">
        <f>IF(INDIRECT("R[0]C[-1]",FALSE)="","", INDIRECT("R[0]C[-2]",FALSE)*INDIRECT("R[0]C[-1]",FALSE)*(1+INDIRECT("R[0]C[-3]",FALSE)))</f>
        <v/>
      </c>
      <c r="Z396" s="13" t="n"/>
    </row>
    <row r="397" ht="15.75" customHeight="1" s="74">
      <c r="A397" s="11" t="n">
        <v>397</v>
      </c>
      <c r="C397" s="11">
        <f t="array" ref="C397">IFERROR(INDEX(Milestones!$A:$A, MATCH($B397, Milestones!$B:$B, 0)), "")</f>
        <v/>
      </c>
      <c r="D397" s="11">
        <f t="array" ref="D397">IFERROR(INDEX(Milestones!$C:$C, MATCH($B397, Milestones!$B:$B, 0)), "")</f>
        <v/>
      </c>
      <c r="F397" s="11">
        <f t="array" ref="F397">IFERROR(INDEX(Milestones!$E:$E, MATCH($B397, Milestones!$B:$B, 0)), "")</f>
        <v/>
      </c>
      <c r="I397" s="11" t="n"/>
      <c r="J397" s="20" t="n"/>
      <c r="K397" s="11" t="n"/>
      <c r="L397" s="11">
        <f t="array" ref="L397">IF($K397="","", IFERROR(IFS($K397="Low", INDEX('Lookups - Complexity'!$C:$C, MATCH($B397, 'Lookups - Complexity'!$B:$B,0)), $K397="Medium", INDEX('Lookups - Complexity'!$D:$D, MATCH($B397, 'Lookups - Complexity'!$B:$B,0)), $K397="High", INDEX('Lookups - Complexity'!$E:$E, MATCH($B397, 'Lookups - Complexity'!$B:$B,0))), ""))</f>
        <v/>
      </c>
      <c r="M397" s="11">
        <f>IF($I397="FTE", Assumptions!$B$3, "")</f>
        <v/>
      </c>
      <c r="N397" s="11">
        <f t="array" ref="N397">IFERROR(INDEX(Milestones!$F:$F, MATCH($B397, Milestones!$B:$B, 0)), "")</f>
        <v/>
      </c>
      <c r="O397" s="11">
        <f t="array" ref="O397">IFERROR(INDEX(Milestones!$G:$G, MATCH($B397, Milestones!$B:$B, 0)), "")</f>
        <v/>
      </c>
      <c r="P397" s="11">
        <f t="array" ref="P397">IFERROR(INDEX('Lookups - Rates'!$D:$D, MATCH($G397&amp;"|"&amp;$H397, 'Lookups - Rates'!$Z:$Z, 0)), "")</f>
        <v/>
      </c>
      <c r="Q397" s="11">
        <f t="array" ref="Q397">IFERROR(INDEX('Lookups - Rates'!$E:$E, MATCH($G397&amp;"|"&amp;$H397, 'Lookups - Rates'!$Z:$Z, 0)), "")</f>
        <v/>
      </c>
      <c r="R397" s="11">
        <f>LET(ev,$J397, ch,$L397, hr,$P397, dr,$Q397, hpday,Assumptions!$B$2, hpw,Assumptions!$B$3, w,$M397, hrs, IF($I397="Hours", ev, IF($I397="Days", ev*IF(dr&gt;0, dr/hr, hpday), IF($I397="FTE", ev*hpw*w, ch))), IF(hrs="", "", hrs*hr))</f>
        <v/>
      </c>
      <c r="S397" s="13" t="n"/>
      <c r="T397" s="11">
        <f t="array" ref="T397">XLOOKUP(Scenario_Selected, INDEX(Scenario_Table,0,1), INDEX(Scenario_Table,0,2))</f>
        <v/>
      </c>
      <c r="U397" s="11">
        <f t="array" ref="U397">XLOOKUP(Scenario_Selected, INDEX(Scenario_Table,0,1), INDEX(Scenario_Table,0,3))</f>
        <v/>
      </c>
      <c r="V397" s="11">
        <f t="array" ref="V397">XLOOKUP(Scenario_Selected, INDEX(Scenario_Table,0,1), INDEX(Scenario_Table,0,4))</f>
        <v/>
      </c>
      <c r="W397" s="11">
        <f t="array" ref="W397">LET(ev,$J397, ch,$L397, et,$I397, dr,$Q397, hpday,Assumptions!$B$2, hpw,Assumptions!$B$3, w,$M397,hm,INDIRECT("R[0]C[0]",FALSE),hrs, IF(et="Hours", ev, IF(et="Days", ev*IF(dr&gt;0, dr/$P397, hpday), IF(et="FTE", ev*hpw*w, ch))), IF(hrs="", "", hrs*hm))</f>
        <v/>
      </c>
      <c r="X397" s="11">
        <f>IF($P397="","", $P397*INDIRECT("R[0]C[-3]",FALSE))</f>
        <v/>
      </c>
      <c r="Y397" s="11">
        <f>IF(INDIRECT("R[0]C[-1]",FALSE)="","", INDIRECT("R[0]C[-2]",FALSE)*INDIRECT("R[0]C[-1]",FALSE)*(1+INDIRECT("R[0]C[-3]",FALSE)))</f>
        <v/>
      </c>
      <c r="Z397" s="13" t="n"/>
    </row>
    <row r="398" ht="15.75" customHeight="1" s="74">
      <c r="A398" s="11" t="n">
        <v>398</v>
      </c>
      <c r="C398" s="11">
        <f t="array" ref="C398">IFERROR(INDEX(Milestones!$A:$A, MATCH($B398, Milestones!$B:$B, 0)), "")</f>
        <v/>
      </c>
      <c r="D398" s="11">
        <f t="array" ref="D398">IFERROR(INDEX(Milestones!$C:$C, MATCH($B398, Milestones!$B:$B, 0)), "")</f>
        <v/>
      </c>
      <c r="F398" s="11">
        <f t="array" ref="F398">IFERROR(INDEX(Milestones!$E:$E, MATCH($B398, Milestones!$B:$B, 0)), "")</f>
        <v/>
      </c>
      <c r="I398" s="11" t="n"/>
      <c r="J398" s="20" t="n"/>
      <c r="K398" s="11" t="n"/>
      <c r="L398" s="11">
        <f t="array" ref="L398">IF($K398="","", IFERROR(IFS($K398="Low", INDEX('Lookups - Complexity'!$C:$C, MATCH($B398, 'Lookups - Complexity'!$B:$B,0)), $K398="Medium", INDEX('Lookups - Complexity'!$D:$D, MATCH($B398, 'Lookups - Complexity'!$B:$B,0)), $K398="High", INDEX('Lookups - Complexity'!$E:$E, MATCH($B398, 'Lookups - Complexity'!$B:$B,0))), ""))</f>
        <v/>
      </c>
      <c r="M398" s="11">
        <f>IF($I398="FTE", Assumptions!$B$3, "")</f>
        <v/>
      </c>
      <c r="N398" s="11">
        <f t="array" ref="N398">IFERROR(INDEX(Milestones!$F:$F, MATCH($B398, Milestones!$B:$B, 0)), "")</f>
        <v/>
      </c>
      <c r="O398" s="11">
        <f t="array" ref="O398">IFERROR(INDEX(Milestones!$G:$G, MATCH($B398, Milestones!$B:$B, 0)), "")</f>
        <v/>
      </c>
      <c r="P398" s="11">
        <f t="array" ref="P398">IFERROR(INDEX('Lookups - Rates'!$D:$D, MATCH($G398&amp;"|"&amp;$H398, 'Lookups - Rates'!$Z:$Z, 0)), "")</f>
        <v/>
      </c>
      <c r="Q398" s="11">
        <f t="array" ref="Q398">IFERROR(INDEX('Lookups - Rates'!$E:$E, MATCH($G398&amp;"|"&amp;$H398, 'Lookups - Rates'!$Z:$Z, 0)), "")</f>
        <v/>
      </c>
      <c r="R398" s="11">
        <f>LET(ev,$J398, ch,$L398, hr,$P398, dr,$Q398, hpday,Assumptions!$B$2, hpw,Assumptions!$B$3, w,$M398, hrs, IF($I398="Hours", ev, IF($I398="Days", ev*IF(dr&gt;0, dr/hr, hpday), IF($I398="FTE", ev*hpw*w, ch))), IF(hrs="", "", hrs*hr))</f>
        <v/>
      </c>
      <c r="S398" s="13" t="n"/>
      <c r="T398" s="11">
        <f t="array" ref="T398">XLOOKUP(Scenario_Selected, INDEX(Scenario_Table,0,1), INDEX(Scenario_Table,0,2))</f>
        <v/>
      </c>
      <c r="U398" s="11">
        <f t="array" ref="U398">XLOOKUP(Scenario_Selected, INDEX(Scenario_Table,0,1), INDEX(Scenario_Table,0,3))</f>
        <v/>
      </c>
      <c r="V398" s="11">
        <f t="array" ref="V398">XLOOKUP(Scenario_Selected, INDEX(Scenario_Table,0,1), INDEX(Scenario_Table,0,4))</f>
        <v/>
      </c>
      <c r="W398" s="11">
        <f t="array" ref="W398">LET(ev,$J398, ch,$L398, et,$I398, dr,$Q398, hpday,Assumptions!$B$2, hpw,Assumptions!$B$3, w,$M398,hm,INDIRECT("R[0]C[0]",FALSE),hrs, IF(et="Hours", ev, IF(et="Days", ev*IF(dr&gt;0, dr/$P398, hpday), IF(et="FTE", ev*hpw*w, ch))), IF(hrs="", "", hrs*hm))</f>
        <v/>
      </c>
      <c r="X398" s="11">
        <f>IF($P398="","", $P398*INDIRECT("R[0]C[-3]",FALSE))</f>
        <v/>
      </c>
      <c r="Y398" s="11">
        <f>IF(INDIRECT("R[0]C[-1]",FALSE)="","", INDIRECT("R[0]C[-2]",FALSE)*INDIRECT("R[0]C[-1]",FALSE)*(1+INDIRECT("R[0]C[-3]",FALSE)))</f>
        <v/>
      </c>
      <c r="Z398" s="13" t="n"/>
    </row>
    <row r="399" ht="15.75" customHeight="1" s="74">
      <c r="A399" s="11" t="n">
        <v>399</v>
      </c>
      <c r="C399" s="11">
        <f t="array" ref="C399">IFERROR(INDEX(Milestones!$A:$A, MATCH($B399, Milestones!$B:$B, 0)), "")</f>
        <v/>
      </c>
      <c r="D399" s="11">
        <f t="array" ref="D399">IFERROR(INDEX(Milestones!$C:$C, MATCH($B399, Milestones!$B:$B, 0)), "")</f>
        <v/>
      </c>
      <c r="F399" s="11">
        <f t="array" ref="F399">IFERROR(INDEX(Milestones!$E:$E, MATCH($B399, Milestones!$B:$B, 0)), "")</f>
        <v/>
      </c>
      <c r="I399" s="11" t="n"/>
      <c r="J399" s="20" t="n"/>
      <c r="K399" s="11" t="n"/>
      <c r="L399" s="11">
        <f t="array" ref="L399">IF($K399="","", IFERROR(IFS($K399="Low", INDEX('Lookups - Complexity'!$C:$C, MATCH($B399, 'Lookups - Complexity'!$B:$B,0)), $K399="Medium", INDEX('Lookups - Complexity'!$D:$D, MATCH($B399, 'Lookups - Complexity'!$B:$B,0)), $K399="High", INDEX('Lookups - Complexity'!$E:$E, MATCH($B399, 'Lookups - Complexity'!$B:$B,0))), ""))</f>
        <v/>
      </c>
      <c r="M399" s="11">
        <f>IF($I399="FTE", Assumptions!$B$3, "")</f>
        <v/>
      </c>
      <c r="N399" s="11">
        <f t="array" ref="N399">IFERROR(INDEX(Milestones!$F:$F, MATCH($B399, Milestones!$B:$B, 0)), "")</f>
        <v/>
      </c>
      <c r="O399" s="11">
        <f t="array" ref="O399">IFERROR(INDEX(Milestones!$G:$G, MATCH($B399, Milestones!$B:$B, 0)), "")</f>
        <v/>
      </c>
      <c r="P399" s="11">
        <f t="array" ref="P399">IFERROR(INDEX('Lookups - Rates'!$D:$D, MATCH($G399&amp;"|"&amp;$H399, 'Lookups - Rates'!$Z:$Z, 0)), "")</f>
        <v/>
      </c>
      <c r="Q399" s="11">
        <f t="array" ref="Q399">IFERROR(INDEX('Lookups - Rates'!$E:$E, MATCH($G399&amp;"|"&amp;$H399, 'Lookups - Rates'!$Z:$Z, 0)), "")</f>
        <v/>
      </c>
      <c r="R399" s="11">
        <f>LET(ev,$J399, ch,$L399, hr,$P399, dr,$Q399, hpday,Assumptions!$B$2, hpw,Assumptions!$B$3, w,$M399, hrs, IF($I399="Hours", ev, IF($I399="Days", ev*IF(dr&gt;0, dr/hr, hpday), IF($I399="FTE", ev*hpw*w, ch))), IF(hrs="", "", hrs*hr))</f>
        <v/>
      </c>
      <c r="S399" s="13" t="n"/>
      <c r="T399" s="11">
        <f t="array" ref="T399">XLOOKUP(Scenario_Selected, INDEX(Scenario_Table,0,1), INDEX(Scenario_Table,0,2))</f>
        <v/>
      </c>
      <c r="U399" s="11">
        <f t="array" ref="U399">XLOOKUP(Scenario_Selected, INDEX(Scenario_Table,0,1), INDEX(Scenario_Table,0,3))</f>
        <v/>
      </c>
      <c r="V399" s="11">
        <f t="array" ref="V399">XLOOKUP(Scenario_Selected, INDEX(Scenario_Table,0,1), INDEX(Scenario_Table,0,4))</f>
        <v/>
      </c>
      <c r="W399" s="11">
        <f t="array" ref="W399">LET(ev,$J399, ch,$L399, et,$I399, dr,$Q399, hpday,Assumptions!$B$2, hpw,Assumptions!$B$3, w,$M399,hm,INDIRECT("R[0]C[0]",FALSE),hrs, IF(et="Hours", ev, IF(et="Days", ev*IF(dr&gt;0, dr/$P399, hpday), IF(et="FTE", ev*hpw*w, ch))), IF(hrs="", "", hrs*hm))</f>
        <v/>
      </c>
      <c r="X399" s="11">
        <f>IF($P399="","", $P399*INDIRECT("R[0]C[-3]",FALSE))</f>
        <v/>
      </c>
      <c r="Y399" s="11">
        <f>IF(INDIRECT("R[0]C[-1]",FALSE)="","", INDIRECT("R[0]C[-2]",FALSE)*INDIRECT("R[0]C[-1]",FALSE)*(1+INDIRECT("R[0]C[-3]",FALSE)))</f>
        <v/>
      </c>
      <c r="Z399" s="13" t="n"/>
    </row>
    <row r="400" ht="15.75" customHeight="1" s="74">
      <c r="A400" s="11" t="n">
        <v>400</v>
      </c>
      <c r="C400" s="11">
        <f t="array" ref="C400">IFERROR(INDEX(Milestones!$A:$A, MATCH($B400, Milestones!$B:$B, 0)), "")</f>
        <v/>
      </c>
      <c r="D400" s="11">
        <f t="array" ref="D400">IFERROR(INDEX(Milestones!$C:$C, MATCH($B400, Milestones!$B:$B, 0)), "")</f>
        <v/>
      </c>
      <c r="F400" s="11">
        <f t="array" ref="F400">IFERROR(INDEX(Milestones!$E:$E, MATCH($B400, Milestones!$B:$B, 0)), "")</f>
        <v/>
      </c>
      <c r="I400" s="11" t="n"/>
      <c r="J400" s="20" t="n"/>
      <c r="K400" s="11" t="n"/>
      <c r="L400" s="11">
        <f t="array" ref="L400">IF($K400="","", IFERROR(IFS($K400="Low", INDEX('Lookups - Complexity'!$C:$C, MATCH($B400, 'Lookups - Complexity'!$B:$B,0)), $K400="Medium", INDEX('Lookups - Complexity'!$D:$D, MATCH($B400, 'Lookups - Complexity'!$B:$B,0)), $K400="High", INDEX('Lookups - Complexity'!$E:$E, MATCH($B400, 'Lookups - Complexity'!$B:$B,0))), ""))</f>
        <v/>
      </c>
      <c r="M400" s="11">
        <f>IF($I400="FTE", Assumptions!$B$3, "")</f>
        <v/>
      </c>
      <c r="N400" s="11">
        <f t="array" ref="N400">IFERROR(INDEX(Milestones!$F:$F, MATCH($B400, Milestones!$B:$B, 0)), "")</f>
        <v/>
      </c>
      <c r="O400" s="11">
        <f t="array" ref="O400">IFERROR(INDEX(Milestones!$G:$G, MATCH($B400, Milestones!$B:$B, 0)), "")</f>
        <v/>
      </c>
      <c r="P400" s="11">
        <f t="array" ref="P400">IFERROR(INDEX('Lookups - Rates'!$D:$D, MATCH($G400&amp;"|"&amp;$H400, 'Lookups - Rates'!$Z:$Z, 0)), "")</f>
        <v/>
      </c>
      <c r="Q400" s="11">
        <f t="array" ref="Q400">IFERROR(INDEX('Lookups - Rates'!$E:$E, MATCH($G400&amp;"|"&amp;$H400, 'Lookups - Rates'!$Z:$Z, 0)), "")</f>
        <v/>
      </c>
      <c r="R400" s="11">
        <f>LET(ev,$J400, ch,$L400, hr,$P400, dr,$Q400, hpday,Assumptions!$B$2, hpw,Assumptions!$B$3, w,$M400, hrs, IF($I400="Hours", ev, IF($I400="Days", ev*IF(dr&gt;0, dr/hr, hpday), IF($I400="FTE", ev*hpw*w, ch))), IF(hrs="", "", hrs*hr))</f>
        <v/>
      </c>
      <c r="S400" s="13" t="n"/>
      <c r="T400" s="11">
        <f t="array" ref="T400">XLOOKUP(Scenario_Selected, INDEX(Scenario_Table,0,1), INDEX(Scenario_Table,0,2))</f>
        <v/>
      </c>
      <c r="U400" s="11">
        <f t="array" ref="U400">XLOOKUP(Scenario_Selected, INDEX(Scenario_Table,0,1), INDEX(Scenario_Table,0,3))</f>
        <v/>
      </c>
      <c r="V400" s="11">
        <f t="array" ref="V400">XLOOKUP(Scenario_Selected, INDEX(Scenario_Table,0,1), INDEX(Scenario_Table,0,4))</f>
        <v/>
      </c>
      <c r="W400" s="11">
        <f t="array" ref="W400">LET(ev,$J400, ch,$L400, et,$I400, dr,$Q400, hpday,Assumptions!$B$2, hpw,Assumptions!$B$3, w,$M400,hm,INDIRECT("R[0]C[0]",FALSE),hrs, IF(et="Hours", ev, IF(et="Days", ev*IF(dr&gt;0, dr/$P400, hpday), IF(et="FTE", ev*hpw*w, ch))), IF(hrs="", "", hrs*hm))</f>
        <v/>
      </c>
      <c r="X400" s="11">
        <f>IF($P400="","", $P400*INDIRECT("R[0]C[-3]",FALSE))</f>
        <v/>
      </c>
      <c r="Y400" s="11">
        <f>IF(INDIRECT("R[0]C[-1]",FALSE)="","", INDIRECT("R[0]C[-2]",FALSE)*INDIRECT("R[0]C[-1]",FALSE)*(1+INDIRECT("R[0]C[-3]",FALSE)))</f>
        <v/>
      </c>
      <c r="Z400" s="13" t="n"/>
    </row>
    <row r="401" ht="15.75" customHeight="1" s="74">
      <c r="J401" s="20" t="n"/>
      <c r="S401" s="13" t="n"/>
      <c r="Z401" s="13" t="n"/>
    </row>
    <row r="402" ht="15.75" customHeight="1" s="74">
      <c r="J402" s="20" t="n"/>
      <c r="S402" s="13" t="n"/>
      <c r="Z402" s="13" t="n"/>
    </row>
    <row r="403" ht="15.75" customHeight="1" s="74">
      <c r="J403" s="20" t="n"/>
      <c r="S403" s="13" t="n"/>
      <c r="Z403" s="13" t="n"/>
    </row>
    <row r="404" ht="15.75" customHeight="1" s="74">
      <c r="J404" s="20" t="n"/>
      <c r="S404" s="13" t="n"/>
      <c r="Z404" s="13" t="n"/>
    </row>
    <row r="405" ht="15.75" customHeight="1" s="74">
      <c r="J405" s="20" t="n"/>
      <c r="S405" s="13" t="n"/>
      <c r="Z405" s="13" t="n"/>
    </row>
    <row r="406" ht="15.75" customHeight="1" s="74">
      <c r="J406" s="20" t="n"/>
      <c r="S406" s="13" t="n"/>
      <c r="Z406" s="13" t="n"/>
    </row>
    <row r="407" ht="15.75" customHeight="1" s="74">
      <c r="J407" s="20" t="n"/>
      <c r="S407" s="13" t="n"/>
      <c r="Z407" s="13" t="n"/>
    </row>
    <row r="408" ht="15.75" customHeight="1" s="74">
      <c r="J408" s="20" t="n"/>
      <c r="S408" s="13" t="n"/>
      <c r="Z408" s="13" t="n"/>
    </row>
    <row r="409" ht="15.75" customHeight="1" s="74">
      <c r="J409" s="20" t="n"/>
      <c r="S409" s="13" t="n"/>
      <c r="Z409" s="13" t="n"/>
    </row>
    <row r="410" ht="15.75" customHeight="1" s="74">
      <c r="J410" s="20" t="n"/>
      <c r="S410" s="13" t="n"/>
      <c r="Z410" s="13" t="n"/>
    </row>
    <row r="411" ht="15.75" customHeight="1" s="74">
      <c r="J411" s="20" t="n"/>
      <c r="S411" s="13" t="n"/>
      <c r="Z411" s="13" t="n"/>
    </row>
    <row r="412" ht="15.75" customHeight="1" s="74">
      <c r="J412" s="20" t="n"/>
      <c r="S412" s="13" t="n"/>
      <c r="Z412" s="13" t="n"/>
    </row>
    <row r="413" ht="15.75" customHeight="1" s="74">
      <c r="J413" s="20" t="n"/>
      <c r="S413" s="13" t="n"/>
      <c r="Z413" s="13" t="n"/>
    </row>
    <row r="414" ht="15.75" customHeight="1" s="74">
      <c r="J414" s="20" t="n"/>
      <c r="S414" s="13" t="n"/>
      <c r="Z414" s="13" t="n"/>
    </row>
    <row r="415" ht="15.75" customHeight="1" s="74">
      <c r="J415" s="20" t="n"/>
      <c r="S415" s="13" t="n"/>
      <c r="Z415" s="13" t="n"/>
    </row>
    <row r="416" ht="15.75" customHeight="1" s="74">
      <c r="J416" s="20" t="n"/>
      <c r="S416" s="13" t="n"/>
      <c r="Z416" s="13" t="n"/>
    </row>
    <row r="417" ht="15.75" customHeight="1" s="74">
      <c r="J417" s="20" t="n"/>
      <c r="S417" s="13" t="n"/>
      <c r="Z417" s="13" t="n"/>
    </row>
    <row r="418" ht="15.75" customHeight="1" s="74">
      <c r="J418" s="20" t="n"/>
      <c r="S418" s="13" t="n"/>
      <c r="Z418" s="13" t="n"/>
    </row>
    <row r="419" ht="15.75" customHeight="1" s="74">
      <c r="J419" s="20" t="n"/>
      <c r="S419" s="13" t="n"/>
      <c r="Z419" s="13" t="n"/>
    </row>
    <row r="420" ht="15.75" customHeight="1" s="74">
      <c r="J420" s="20" t="n"/>
      <c r="S420" s="13" t="n"/>
      <c r="Z420" s="13" t="n"/>
    </row>
    <row r="421" ht="15.75" customHeight="1" s="74">
      <c r="J421" s="20" t="n"/>
      <c r="S421" s="13" t="n"/>
      <c r="Z421" s="13" t="n"/>
    </row>
    <row r="422" ht="15.75" customHeight="1" s="74">
      <c r="J422" s="20" t="n"/>
      <c r="S422" s="13" t="n"/>
      <c r="Z422" s="13" t="n"/>
    </row>
    <row r="423" ht="15.75" customHeight="1" s="74">
      <c r="J423" s="20" t="n"/>
      <c r="S423" s="13" t="n"/>
      <c r="Z423" s="13" t="n"/>
    </row>
    <row r="424" ht="15.75" customHeight="1" s="74">
      <c r="J424" s="20" t="n"/>
      <c r="S424" s="13" t="n"/>
      <c r="Z424" s="13" t="n"/>
    </row>
    <row r="425" ht="15.75" customHeight="1" s="74">
      <c r="J425" s="20" t="n"/>
      <c r="S425" s="13" t="n"/>
      <c r="Z425" s="13" t="n"/>
    </row>
    <row r="426" ht="15.75" customHeight="1" s="74">
      <c r="J426" s="20" t="n"/>
      <c r="S426" s="13" t="n"/>
      <c r="Z426" s="13" t="n"/>
    </row>
    <row r="427" ht="15.75" customHeight="1" s="74">
      <c r="J427" s="20" t="n"/>
      <c r="S427" s="13" t="n"/>
      <c r="Z427" s="13" t="n"/>
    </row>
    <row r="428" ht="15.75" customHeight="1" s="74">
      <c r="J428" s="20" t="n"/>
      <c r="S428" s="13" t="n"/>
      <c r="Z428" s="13" t="n"/>
    </row>
    <row r="429" ht="15.75" customHeight="1" s="74">
      <c r="J429" s="20" t="n"/>
      <c r="S429" s="13" t="n"/>
      <c r="Z429" s="13" t="n"/>
    </row>
    <row r="430" ht="15.75" customHeight="1" s="74">
      <c r="J430" s="20" t="n"/>
      <c r="S430" s="13" t="n"/>
      <c r="Z430" s="13" t="n"/>
    </row>
    <row r="431" ht="15.75" customHeight="1" s="74">
      <c r="J431" s="20" t="n"/>
      <c r="S431" s="13" t="n"/>
      <c r="Z431" s="13" t="n"/>
    </row>
    <row r="432" ht="15.75" customHeight="1" s="74">
      <c r="J432" s="20" t="n"/>
      <c r="S432" s="13" t="n"/>
      <c r="Z432" s="13" t="n"/>
    </row>
    <row r="433" ht="15.75" customHeight="1" s="74">
      <c r="J433" s="20" t="n"/>
      <c r="S433" s="13" t="n"/>
      <c r="Z433" s="13" t="n"/>
    </row>
    <row r="434" ht="15.75" customHeight="1" s="74">
      <c r="J434" s="20" t="n"/>
      <c r="S434" s="13" t="n"/>
      <c r="Z434" s="13" t="n"/>
    </row>
    <row r="435" ht="15.75" customHeight="1" s="74">
      <c r="J435" s="20" t="n"/>
      <c r="S435" s="13" t="n"/>
      <c r="Z435" s="13" t="n"/>
    </row>
    <row r="436" ht="15.75" customHeight="1" s="74">
      <c r="J436" s="20" t="n"/>
      <c r="S436" s="13" t="n"/>
      <c r="Z436" s="13" t="n"/>
    </row>
    <row r="437" ht="15.75" customHeight="1" s="74">
      <c r="J437" s="20" t="n"/>
      <c r="S437" s="13" t="n"/>
      <c r="Z437" s="13" t="n"/>
    </row>
    <row r="438" ht="15.75" customHeight="1" s="74">
      <c r="J438" s="20" t="n"/>
      <c r="S438" s="13" t="n"/>
      <c r="Z438" s="13" t="n"/>
    </row>
    <row r="439" ht="15.75" customHeight="1" s="74">
      <c r="J439" s="20" t="n"/>
      <c r="S439" s="13" t="n"/>
      <c r="Z439" s="13" t="n"/>
    </row>
    <row r="440" ht="15.75" customHeight="1" s="74">
      <c r="J440" s="20" t="n"/>
      <c r="S440" s="13" t="n"/>
      <c r="Z440" s="13" t="n"/>
    </row>
    <row r="441" ht="15.75" customHeight="1" s="74">
      <c r="J441" s="20" t="n"/>
      <c r="S441" s="13" t="n"/>
      <c r="Z441" s="13" t="n"/>
    </row>
    <row r="442" ht="15.75" customHeight="1" s="74">
      <c r="J442" s="20" t="n"/>
      <c r="S442" s="13" t="n"/>
      <c r="Z442" s="13" t="n"/>
    </row>
    <row r="443" ht="15.75" customHeight="1" s="74">
      <c r="J443" s="20" t="n"/>
      <c r="S443" s="13" t="n"/>
      <c r="Z443" s="13" t="n"/>
    </row>
    <row r="444" ht="15.75" customHeight="1" s="74">
      <c r="J444" s="20" t="n"/>
      <c r="S444" s="13" t="n"/>
      <c r="Z444" s="13" t="n"/>
    </row>
    <row r="445" ht="15.75" customHeight="1" s="74">
      <c r="J445" s="20" t="n"/>
      <c r="S445" s="13" t="n"/>
      <c r="Z445" s="13" t="n"/>
    </row>
    <row r="446" ht="15.75" customHeight="1" s="74">
      <c r="J446" s="20" t="n"/>
      <c r="S446" s="13" t="n"/>
      <c r="Z446" s="13" t="n"/>
    </row>
    <row r="447" ht="15.75" customHeight="1" s="74">
      <c r="J447" s="20" t="n"/>
      <c r="S447" s="13" t="n"/>
      <c r="Z447" s="13" t="n"/>
    </row>
    <row r="448" ht="15.75" customHeight="1" s="74">
      <c r="J448" s="20" t="n"/>
      <c r="S448" s="13" t="n"/>
      <c r="Z448" s="13" t="n"/>
    </row>
    <row r="449" ht="15.75" customHeight="1" s="74">
      <c r="J449" s="20" t="n"/>
      <c r="S449" s="13" t="n"/>
      <c r="Z449" s="13" t="n"/>
    </row>
    <row r="450" ht="15.75" customHeight="1" s="74">
      <c r="J450" s="20" t="n"/>
      <c r="S450" s="13" t="n"/>
      <c r="Z450" s="13" t="n"/>
    </row>
    <row r="451" ht="15.75" customHeight="1" s="74">
      <c r="J451" s="20" t="n"/>
      <c r="S451" s="13" t="n"/>
      <c r="Z451" s="13" t="n"/>
    </row>
    <row r="452" ht="15.75" customHeight="1" s="74">
      <c r="J452" s="20" t="n"/>
      <c r="S452" s="13" t="n"/>
      <c r="Z452" s="13" t="n"/>
    </row>
    <row r="453" ht="15.75" customHeight="1" s="74">
      <c r="J453" s="20" t="n"/>
      <c r="S453" s="13" t="n"/>
      <c r="Z453" s="13" t="n"/>
    </row>
    <row r="454" ht="15.75" customHeight="1" s="74">
      <c r="J454" s="20" t="n"/>
      <c r="S454" s="13" t="n"/>
      <c r="Z454" s="13" t="n"/>
    </row>
    <row r="455" ht="15.75" customHeight="1" s="74">
      <c r="J455" s="20" t="n"/>
      <c r="S455" s="13" t="n"/>
      <c r="Z455" s="13" t="n"/>
    </row>
    <row r="456" ht="15.75" customHeight="1" s="74">
      <c r="J456" s="20" t="n"/>
      <c r="S456" s="13" t="n"/>
      <c r="Z456" s="13" t="n"/>
    </row>
    <row r="457" ht="15.75" customHeight="1" s="74">
      <c r="J457" s="20" t="n"/>
      <c r="S457" s="13" t="n"/>
      <c r="Z457" s="13" t="n"/>
    </row>
    <row r="458" ht="15.75" customHeight="1" s="74">
      <c r="J458" s="20" t="n"/>
      <c r="S458" s="13" t="n"/>
      <c r="Z458" s="13" t="n"/>
    </row>
    <row r="459" ht="15.75" customHeight="1" s="74">
      <c r="J459" s="20" t="n"/>
      <c r="S459" s="13" t="n"/>
      <c r="Z459" s="13" t="n"/>
    </row>
    <row r="460" ht="15.75" customHeight="1" s="74">
      <c r="J460" s="20" t="n"/>
      <c r="S460" s="13" t="n"/>
      <c r="Z460" s="13" t="n"/>
    </row>
    <row r="461" ht="15.75" customHeight="1" s="74">
      <c r="J461" s="20" t="n"/>
      <c r="S461" s="13" t="n"/>
      <c r="Z461" s="13" t="n"/>
    </row>
    <row r="462" ht="15.75" customHeight="1" s="74">
      <c r="J462" s="20" t="n"/>
      <c r="S462" s="13" t="n"/>
      <c r="Z462" s="13" t="n"/>
    </row>
    <row r="463" ht="15.75" customHeight="1" s="74">
      <c r="J463" s="20" t="n"/>
      <c r="S463" s="13" t="n"/>
      <c r="Z463" s="13" t="n"/>
    </row>
    <row r="464" ht="15.75" customHeight="1" s="74">
      <c r="J464" s="20" t="n"/>
      <c r="S464" s="13" t="n"/>
      <c r="Z464" s="13" t="n"/>
    </row>
    <row r="465" ht="15.75" customHeight="1" s="74">
      <c r="J465" s="20" t="n"/>
      <c r="S465" s="13" t="n"/>
      <c r="Z465" s="13" t="n"/>
    </row>
    <row r="466" ht="15.75" customHeight="1" s="74">
      <c r="J466" s="20" t="n"/>
      <c r="S466" s="13" t="n"/>
      <c r="Z466" s="13" t="n"/>
    </row>
    <row r="467" ht="15.75" customHeight="1" s="74">
      <c r="J467" s="20" t="n"/>
      <c r="S467" s="13" t="n"/>
      <c r="Z467" s="13" t="n"/>
    </row>
    <row r="468" ht="15.75" customHeight="1" s="74">
      <c r="J468" s="20" t="n"/>
      <c r="S468" s="13" t="n"/>
      <c r="Z468" s="13" t="n"/>
    </row>
    <row r="469" ht="15.75" customHeight="1" s="74">
      <c r="J469" s="20" t="n"/>
      <c r="S469" s="13" t="n"/>
      <c r="Z469" s="13" t="n"/>
    </row>
    <row r="470" ht="15.75" customHeight="1" s="74">
      <c r="J470" s="20" t="n"/>
      <c r="S470" s="13" t="n"/>
      <c r="Z470" s="13" t="n"/>
    </row>
    <row r="471" ht="15.75" customHeight="1" s="74">
      <c r="J471" s="20" t="n"/>
      <c r="S471" s="13" t="n"/>
      <c r="Z471" s="13" t="n"/>
    </row>
    <row r="472" ht="15.75" customHeight="1" s="74">
      <c r="J472" s="20" t="n"/>
      <c r="S472" s="13" t="n"/>
      <c r="Z472" s="13" t="n"/>
    </row>
    <row r="473" ht="15.75" customHeight="1" s="74">
      <c r="J473" s="20" t="n"/>
      <c r="S473" s="13" t="n"/>
      <c r="Z473" s="13" t="n"/>
    </row>
    <row r="474" ht="15.75" customHeight="1" s="74">
      <c r="J474" s="20" t="n"/>
      <c r="S474" s="13" t="n"/>
      <c r="Z474" s="13" t="n"/>
    </row>
    <row r="475" ht="15.75" customHeight="1" s="74">
      <c r="J475" s="20" t="n"/>
      <c r="S475" s="13" t="n"/>
      <c r="Z475" s="13" t="n"/>
    </row>
    <row r="476" ht="15.75" customHeight="1" s="74">
      <c r="J476" s="20" t="n"/>
      <c r="S476" s="13" t="n"/>
      <c r="Z476" s="13" t="n"/>
    </row>
    <row r="477" ht="15.75" customHeight="1" s="74">
      <c r="J477" s="20" t="n"/>
      <c r="S477" s="13" t="n"/>
      <c r="Z477" s="13" t="n"/>
    </row>
    <row r="478" ht="15.75" customHeight="1" s="74">
      <c r="J478" s="20" t="n"/>
      <c r="S478" s="13" t="n"/>
      <c r="Z478" s="13" t="n"/>
    </row>
    <row r="479" ht="15.75" customHeight="1" s="74">
      <c r="J479" s="20" t="n"/>
      <c r="S479" s="13" t="n"/>
      <c r="Z479" s="13" t="n"/>
    </row>
    <row r="480" ht="15.75" customHeight="1" s="74">
      <c r="J480" s="20" t="n"/>
      <c r="S480" s="13" t="n"/>
      <c r="Z480" s="13" t="n"/>
    </row>
    <row r="481" ht="15.75" customHeight="1" s="74">
      <c r="J481" s="20" t="n"/>
      <c r="S481" s="13" t="n"/>
      <c r="Z481" s="13" t="n"/>
    </row>
    <row r="482" ht="15.75" customHeight="1" s="74">
      <c r="J482" s="20" t="n"/>
      <c r="S482" s="13" t="n"/>
      <c r="Z482" s="13" t="n"/>
    </row>
    <row r="483" ht="15.75" customHeight="1" s="74">
      <c r="J483" s="20" t="n"/>
      <c r="S483" s="13" t="n"/>
      <c r="Z483" s="13" t="n"/>
    </row>
    <row r="484" ht="15.75" customHeight="1" s="74">
      <c r="J484" s="20" t="n"/>
      <c r="S484" s="13" t="n"/>
      <c r="Z484" s="13" t="n"/>
    </row>
    <row r="485" ht="15.75" customHeight="1" s="74">
      <c r="J485" s="20" t="n"/>
      <c r="S485" s="13" t="n"/>
      <c r="Z485" s="13" t="n"/>
    </row>
    <row r="486" ht="15.75" customHeight="1" s="74">
      <c r="J486" s="20" t="n"/>
      <c r="S486" s="13" t="n"/>
      <c r="Z486" s="13" t="n"/>
    </row>
    <row r="487" ht="15.75" customHeight="1" s="74">
      <c r="J487" s="20" t="n"/>
      <c r="S487" s="13" t="n"/>
      <c r="Z487" s="13" t="n"/>
    </row>
    <row r="488" ht="15.75" customHeight="1" s="74">
      <c r="J488" s="20" t="n"/>
      <c r="S488" s="13" t="n"/>
      <c r="Z488" s="13" t="n"/>
    </row>
    <row r="489" ht="15.75" customHeight="1" s="74">
      <c r="J489" s="20" t="n"/>
      <c r="S489" s="13" t="n"/>
      <c r="Z489" s="13" t="n"/>
    </row>
    <row r="490" ht="15.75" customHeight="1" s="74">
      <c r="J490" s="20" t="n"/>
      <c r="S490" s="13" t="n"/>
      <c r="Z490" s="13" t="n"/>
    </row>
    <row r="491" ht="15.75" customHeight="1" s="74">
      <c r="J491" s="20" t="n"/>
      <c r="S491" s="13" t="n"/>
      <c r="Z491" s="13" t="n"/>
    </row>
    <row r="492" ht="15.75" customHeight="1" s="74">
      <c r="J492" s="20" t="n"/>
      <c r="S492" s="13" t="n"/>
      <c r="Z492" s="13" t="n"/>
    </row>
    <row r="493" ht="15.75" customHeight="1" s="74">
      <c r="J493" s="20" t="n"/>
      <c r="S493" s="13" t="n"/>
      <c r="Z493" s="13" t="n"/>
    </row>
    <row r="494" ht="15.75" customHeight="1" s="74">
      <c r="J494" s="20" t="n"/>
      <c r="S494" s="13" t="n"/>
      <c r="Z494" s="13" t="n"/>
    </row>
    <row r="495" ht="15.75" customHeight="1" s="74">
      <c r="J495" s="20" t="n"/>
      <c r="S495" s="13" t="n"/>
      <c r="Z495" s="13" t="n"/>
    </row>
    <row r="496" ht="15.75" customHeight="1" s="74">
      <c r="J496" s="20" t="n"/>
      <c r="S496" s="13" t="n"/>
      <c r="Z496" s="13" t="n"/>
    </row>
    <row r="497" ht="15.75" customHeight="1" s="74">
      <c r="J497" s="20" t="n"/>
      <c r="S497" s="13" t="n"/>
      <c r="Z497" s="13" t="n"/>
    </row>
    <row r="498" ht="15.75" customHeight="1" s="74">
      <c r="J498" s="20" t="n"/>
      <c r="S498" s="13" t="n"/>
      <c r="Z498" s="13" t="n"/>
    </row>
    <row r="499" ht="15.75" customHeight="1" s="74">
      <c r="J499" s="20" t="n"/>
      <c r="S499" s="13" t="n"/>
      <c r="Z499" s="13" t="n"/>
    </row>
    <row r="500" ht="15.75" customHeight="1" s="74">
      <c r="J500" s="20" t="n"/>
      <c r="S500" s="13" t="n"/>
      <c r="Z500" s="13" t="n"/>
    </row>
    <row r="501" ht="15.75" customHeight="1" s="74">
      <c r="J501" s="20" t="n"/>
      <c r="S501" s="13" t="n"/>
      <c r="Z501" s="13" t="n"/>
    </row>
    <row r="502" ht="15.75" customHeight="1" s="74">
      <c r="J502" s="20" t="n"/>
      <c r="S502" s="13" t="n"/>
      <c r="Z502" s="13" t="n"/>
    </row>
    <row r="503" ht="15.75" customHeight="1" s="74">
      <c r="J503" s="20" t="n"/>
      <c r="S503" s="13" t="n"/>
      <c r="Z503" s="13" t="n"/>
    </row>
    <row r="504" ht="15.75" customHeight="1" s="74">
      <c r="J504" s="20" t="n"/>
      <c r="S504" s="13" t="n"/>
      <c r="Z504" s="13" t="n"/>
    </row>
    <row r="505" ht="15.75" customHeight="1" s="74">
      <c r="J505" s="20" t="n"/>
      <c r="S505" s="13" t="n"/>
      <c r="Z505" s="13" t="n"/>
    </row>
    <row r="506" ht="15.75" customHeight="1" s="74">
      <c r="J506" s="20" t="n"/>
      <c r="S506" s="13" t="n"/>
      <c r="Z506" s="13" t="n"/>
    </row>
    <row r="507" ht="15.75" customHeight="1" s="74">
      <c r="J507" s="20" t="n"/>
      <c r="S507" s="13" t="n"/>
      <c r="Z507" s="13" t="n"/>
    </row>
    <row r="508" ht="15.75" customHeight="1" s="74">
      <c r="J508" s="20" t="n"/>
      <c r="S508" s="13" t="n"/>
      <c r="Z508" s="13" t="n"/>
    </row>
    <row r="509" ht="15.75" customHeight="1" s="74">
      <c r="J509" s="20" t="n"/>
      <c r="S509" s="13" t="n"/>
      <c r="Z509" s="13" t="n"/>
    </row>
    <row r="510" ht="15.75" customHeight="1" s="74">
      <c r="J510" s="20" t="n"/>
      <c r="S510" s="13" t="n"/>
      <c r="Z510" s="13" t="n"/>
    </row>
    <row r="511" ht="15.75" customHeight="1" s="74">
      <c r="J511" s="20" t="n"/>
      <c r="S511" s="13" t="n"/>
      <c r="Z511" s="13" t="n"/>
    </row>
    <row r="512" ht="15.75" customHeight="1" s="74">
      <c r="J512" s="20" t="n"/>
      <c r="S512" s="13" t="n"/>
      <c r="Z512" s="13" t="n"/>
    </row>
    <row r="513" ht="15.75" customHeight="1" s="74">
      <c r="J513" s="20" t="n"/>
      <c r="S513" s="13" t="n"/>
      <c r="Z513" s="13" t="n"/>
    </row>
    <row r="514" ht="15.75" customHeight="1" s="74">
      <c r="J514" s="20" t="n"/>
      <c r="S514" s="13" t="n"/>
      <c r="Z514" s="13" t="n"/>
    </row>
    <row r="515" ht="15.75" customHeight="1" s="74">
      <c r="J515" s="20" t="n"/>
      <c r="S515" s="13" t="n"/>
      <c r="Z515" s="13" t="n"/>
    </row>
    <row r="516" ht="15.75" customHeight="1" s="74">
      <c r="J516" s="20" t="n"/>
      <c r="S516" s="13" t="n"/>
      <c r="Z516" s="13" t="n"/>
    </row>
    <row r="517" ht="15.75" customHeight="1" s="74">
      <c r="J517" s="20" t="n"/>
      <c r="S517" s="13" t="n"/>
      <c r="Z517" s="13" t="n"/>
    </row>
    <row r="518" ht="15.75" customHeight="1" s="74">
      <c r="J518" s="20" t="n"/>
      <c r="S518" s="13" t="n"/>
      <c r="Z518" s="13" t="n"/>
    </row>
    <row r="519" ht="15.75" customHeight="1" s="74">
      <c r="J519" s="20" t="n"/>
      <c r="S519" s="13" t="n"/>
      <c r="Z519" s="13" t="n"/>
    </row>
    <row r="520" ht="15.75" customHeight="1" s="74">
      <c r="J520" s="20" t="n"/>
      <c r="S520" s="13" t="n"/>
      <c r="Z520" s="13" t="n"/>
    </row>
    <row r="521" ht="15.75" customHeight="1" s="74">
      <c r="J521" s="20" t="n"/>
      <c r="S521" s="13" t="n"/>
      <c r="Z521" s="13" t="n"/>
    </row>
    <row r="522" ht="15.75" customHeight="1" s="74">
      <c r="J522" s="20" t="n"/>
      <c r="S522" s="13" t="n"/>
      <c r="Z522" s="13" t="n"/>
    </row>
    <row r="523" ht="15.75" customHeight="1" s="74">
      <c r="J523" s="20" t="n"/>
      <c r="S523" s="13" t="n"/>
      <c r="Z523" s="13" t="n"/>
    </row>
    <row r="524" ht="15.75" customHeight="1" s="74">
      <c r="J524" s="20" t="n"/>
      <c r="S524" s="13" t="n"/>
      <c r="Z524" s="13" t="n"/>
    </row>
    <row r="525" ht="15.75" customHeight="1" s="74">
      <c r="J525" s="20" t="n"/>
      <c r="S525" s="13" t="n"/>
      <c r="Z525" s="13" t="n"/>
    </row>
    <row r="526" ht="15.75" customHeight="1" s="74">
      <c r="J526" s="20" t="n"/>
      <c r="S526" s="13" t="n"/>
      <c r="Z526" s="13" t="n"/>
    </row>
    <row r="527" ht="15.75" customHeight="1" s="74">
      <c r="J527" s="20" t="n"/>
      <c r="S527" s="13" t="n"/>
      <c r="Z527" s="13" t="n"/>
    </row>
    <row r="528" ht="15.75" customHeight="1" s="74">
      <c r="J528" s="20" t="n"/>
      <c r="S528" s="13" t="n"/>
      <c r="Z528" s="13" t="n"/>
    </row>
    <row r="529" ht="15.75" customHeight="1" s="74">
      <c r="J529" s="20" t="n"/>
      <c r="S529" s="13" t="n"/>
      <c r="Z529" s="13" t="n"/>
    </row>
    <row r="530" ht="15.75" customHeight="1" s="74">
      <c r="J530" s="20" t="n"/>
      <c r="S530" s="13" t="n"/>
      <c r="Z530" s="13" t="n"/>
    </row>
    <row r="531" ht="15.75" customHeight="1" s="74">
      <c r="J531" s="20" t="n"/>
      <c r="S531" s="13" t="n"/>
      <c r="Z531" s="13" t="n"/>
    </row>
    <row r="532" ht="15.75" customHeight="1" s="74">
      <c r="J532" s="20" t="n"/>
      <c r="S532" s="13" t="n"/>
      <c r="Z532" s="13" t="n"/>
    </row>
    <row r="533" ht="15.75" customHeight="1" s="74">
      <c r="J533" s="20" t="n"/>
      <c r="S533" s="13" t="n"/>
      <c r="Z533" s="13" t="n"/>
    </row>
    <row r="534" ht="15.75" customHeight="1" s="74">
      <c r="J534" s="20" t="n"/>
      <c r="S534" s="13" t="n"/>
      <c r="Z534" s="13" t="n"/>
    </row>
    <row r="535" ht="15.75" customHeight="1" s="74">
      <c r="J535" s="20" t="n"/>
      <c r="S535" s="13" t="n"/>
      <c r="Z535" s="13" t="n"/>
    </row>
    <row r="536" ht="15.75" customHeight="1" s="74">
      <c r="J536" s="20" t="n"/>
      <c r="S536" s="13" t="n"/>
      <c r="Z536" s="13" t="n"/>
    </row>
    <row r="537" ht="15.75" customHeight="1" s="74">
      <c r="J537" s="20" t="n"/>
      <c r="S537" s="13" t="n"/>
      <c r="Z537" s="13" t="n"/>
    </row>
    <row r="538" ht="15.75" customHeight="1" s="74">
      <c r="J538" s="20" t="n"/>
      <c r="S538" s="13" t="n"/>
      <c r="Z538" s="13" t="n"/>
    </row>
    <row r="539" ht="15.75" customHeight="1" s="74">
      <c r="J539" s="20" t="n"/>
      <c r="S539" s="13" t="n"/>
      <c r="Z539" s="13" t="n"/>
    </row>
    <row r="540" ht="15.75" customHeight="1" s="74">
      <c r="J540" s="20" t="n"/>
      <c r="S540" s="13" t="n"/>
      <c r="Z540" s="13" t="n"/>
    </row>
    <row r="541" ht="15.75" customHeight="1" s="74">
      <c r="J541" s="20" t="n"/>
      <c r="S541" s="13" t="n"/>
      <c r="Z541" s="13" t="n"/>
    </row>
    <row r="542" ht="15.75" customHeight="1" s="74">
      <c r="J542" s="20" t="n"/>
      <c r="S542" s="13" t="n"/>
      <c r="Z542" s="13" t="n"/>
    </row>
    <row r="543" ht="15.75" customHeight="1" s="74">
      <c r="J543" s="20" t="n"/>
      <c r="S543" s="13" t="n"/>
      <c r="Z543" s="13" t="n"/>
    </row>
    <row r="544" ht="15.75" customHeight="1" s="74">
      <c r="J544" s="20" t="n"/>
      <c r="S544" s="13" t="n"/>
      <c r="Z544" s="13" t="n"/>
    </row>
    <row r="545" ht="15.75" customHeight="1" s="74">
      <c r="J545" s="20" t="n"/>
      <c r="S545" s="13" t="n"/>
      <c r="Z545" s="13" t="n"/>
    </row>
    <row r="546" ht="15.75" customHeight="1" s="74">
      <c r="J546" s="20" t="n"/>
      <c r="S546" s="13" t="n"/>
      <c r="Z546" s="13" t="n"/>
    </row>
    <row r="547" ht="15.75" customHeight="1" s="74">
      <c r="J547" s="20" t="n"/>
      <c r="S547" s="13" t="n"/>
      <c r="Z547" s="13" t="n"/>
    </row>
    <row r="548" ht="15.75" customHeight="1" s="74">
      <c r="J548" s="20" t="n"/>
      <c r="S548" s="13" t="n"/>
      <c r="Z548" s="13" t="n"/>
    </row>
    <row r="549" ht="15.75" customHeight="1" s="74">
      <c r="J549" s="20" t="n"/>
      <c r="S549" s="13" t="n"/>
      <c r="Z549" s="13" t="n"/>
    </row>
    <row r="550" ht="15.75" customHeight="1" s="74">
      <c r="J550" s="20" t="n"/>
      <c r="S550" s="13" t="n"/>
      <c r="Z550" s="13" t="n"/>
    </row>
    <row r="551" ht="15.75" customHeight="1" s="74">
      <c r="J551" s="20" t="n"/>
      <c r="S551" s="13" t="n"/>
      <c r="Z551" s="13" t="n"/>
    </row>
    <row r="552" ht="15.75" customHeight="1" s="74">
      <c r="J552" s="20" t="n"/>
      <c r="S552" s="13" t="n"/>
      <c r="Z552" s="13" t="n"/>
    </row>
    <row r="553" ht="15.75" customHeight="1" s="74">
      <c r="J553" s="20" t="n"/>
      <c r="S553" s="13" t="n"/>
      <c r="Z553" s="13" t="n"/>
    </row>
    <row r="554" ht="15.75" customHeight="1" s="74">
      <c r="J554" s="20" t="n"/>
      <c r="S554" s="13" t="n"/>
      <c r="Z554" s="13" t="n"/>
    </row>
    <row r="555" ht="15.75" customHeight="1" s="74">
      <c r="J555" s="20" t="n"/>
      <c r="S555" s="13" t="n"/>
      <c r="Z555" s="13" t="n"/>
    </row>
    <row r="556" ht="15.75" customHeight="1" s="74">
      <c r="J556" s="20" t="n"/>
      <c r="S556" s="13" t="n"/>
      <c r="Z556" s="13" t="n"/>
    </row>
    <row r="557" ht="15.75" customHeight="1" s="74">
      <c r="J557" s="20" t="n"/>
      <c r="S557" s="13" t="n"/>
      <c r="Z557" s="13" t="n"/>
    </row>
    <row r="558" ht="15.75" customHeight="1" s="74">
      <c r="J558" s="20" t="n"/>
      <c r="S558" s="13" t="n"/>
      <c r="Z558" s="13" t="n"/>
    </row>
    <row r="559" ht="15.75" customHeight="1" s="74">
      <c r="J559" s="20" t="n"/>
      <c r="S559" s="13" t="n"/>
      <c r="Z559" s="13" t="n"/>
    </row>
    <row r="560" ht="15.75" customHeight="1" s="74">
      <c r="J560" s="20" t="n"/>
      <c r="S560" s="13" t="n"/>
      <c r="Z560" s="13" t="n"/>
    </row>
    <row r="561" ht="15.75" customHeight="1" s="74">
      <c r="J561" s="20" t="n"/>
      <c r="S561" s="13" t="n"/>
      <c r="Z561" s="13" t="n"/>
    </row>
    <row r="562" ht="15.75" customHeight="1" s="74">
      <c r="J562" s="20" t="n"/>
      <c r="S562" s="13" t="n"/>
      <c r="Z562" s="13" t="n"/>
    </row>
    <row r="563" ht="15.75" customHeight="1" s="74">
      <c r="J563" s="20" t="n"/>
      <c r="S563" s="13" t="n"/>
      <c r="Z563" s="13" t="n"/>
    </row>
    <row r="564" ht="15.75" customHeight="1" s="74">
      <c r="J564" s="20" t="n"/>
      <c r="S564" s="13" t="n"/>
      <c r="Z564" s="13" t="n"/>
    </row>
    <row r="565" ht="15.75" customHeight="1" s="74">
      <c r="J565" s="20" t="n"/>
      <c r="S565" s="13" t="n"/>
      <c r="Z565" s="13" t="n"/>
    </row>
    <row r="566" ht="15.75" customHeight="1" s="74">
      <c r="J566" s="20" t="n"/>
      <c r="S566" s="13" t="n"/>
      <c r="Z566" s="13" t="n"/>
    </row>
    <row r="567" ht="15.75" customHeight="1" s="74">
      <c r="J567" s="20" t="n"/>
      <c r="S567" s="13" t="n"/>
      <c r="Z567" s="13" t="n"/>
    </row>
    <row r="568" ht="15.75" customHeight="1" s="74">
      <c r="J568" s="20" t="n"/>
      <c r="S568" s="13" t="n"/>
      <c r="Z568" s="13" t="n"/>
    </row>
    <row r="569" ht="15.75" customHeight="1" s="74">
      <c r="J569" s="20" t="n"/>
      <c r="S569" s="13" t="n"/>
      <c r="Z569" s="13" t="n"/>
    </row>
    <row r="570" ht="15.75" customHeight="1" s="74">
      <c r="J570" s="20" t="n"/>
      <c r="S570" s="13" t="n"/>
      <c r="Z570" s="13" t="n"/>
    </row>
    <row r="571" ht="15.75" customHeight="1" s="74">
      <c r="J571" s="20" t="n"/>
      <c r="S571" s="13" t="n"/>
      <c r="Z571" s="13" t="n"/>
    </row>
    <row r="572" ht="15.75" customHeight="1" s="74">
      <c r="J572" s="20" t="n"/>
      <c r="S572" s="13" t="n"/>
      <c r="Z572" s="13" t="n"/>
    </row>
    <row r="573" ht="15.75" customHeight="1" s="74">
      <c r="J573" s="20" t="n"/>
      <c r="S573" s="13" t="n"/>
      <c r="Z573" s="13" t="n"/>
    </row>
    <row r="574" ht="15.75" customHeight="1" s="74">
      <c r="J574" s="20" t="n"/>
      <c r="S574" s="13" t="n"/>
      <c r="Z574" s="13" t="n"/>
    </row>
    <row r="575" ht="15.75" customHeight="1" s="74">
      <c r="J575" s="20" t="n"/>
      <c r="S575" s="13" t="n"/>
      <c r="Z575" s="13" t="n"/>
    </row>
    <row r="576" ht="15.75" customHeight="1" s="74">
      <c r="J576" s="20" t="n"/>
      <c r="S576" s="13" t="n"/>
      <c r="Z576" s="13" t="n"/>
    </row>
    <row r="577" ht="15.75" customHeight="1" s="74">
      <c r="J577" s="20" t="n"/>
      <c r="S577" s="13" t="n"/>
      <c r="Z577" s="13" t="n"/>
    </row>
    <row r="578" ht="15.75" customHeight="1" s="74">
      <c r="J578" s="20" t="n"/>
      <c r="S578" s="13" t="n"/>
      <c r="Z578" s="13" t="n"/>
    </row>
    <row r="579" ht="15.75" customHeight="1" s="74">
      <c r="J579" s="20" t="n"/>
      <c r="S579" s="13" t="n"/>
      <c r="Z579" s="13" t="n"/>
    </row>
    <row r="580" ht="15.75" customHeight="1" s="74">
      <c r="J580" s="20" t="n"/>
      <c r="S580" s="13" t="n"/>
      <c r="Z580" s="13" t="n"/>
    </row>
    <row r="581" ht="15.75" customHeight="1" s="74">
      <c r="J581" s="20" t="n"/>
      <c r="S581" s="13" t="n"/>
      <c r="Z581" s="13" t="n"/>
    </row>
    <row r="582" ht="15.75" customHeight="1" s="74">
      <c r="J582" s="20" t="n"/>
      <c r="S582" s="13" t="n"/>
      <c r="Z582" s="13" t="n"/>
    </row>
    <row r="583" ht="15.75" customHeight="1" s="74">
      <c r="J583" s="20" t="n"/>
      <c r="S583" s="13" t="n"/>
      <c r="Z583" s="13" t="n"/>
    </row>
    <row r="584" ht="15.75" customHeight="1" s="74">
      <c r="J584" s="20" t="n"/>
      <c r="S584" s="13" t="n"/>
      <c r="Z584" s="13" t="n"/>
    </row>
    <row r="585" ht="15.75" customHeight="1" s="74">
      <c r="J585" s="20" t="n"/>
      <c r="S585" s="13" t="n"/>
      <c r="Z585" s="13" t="n"/>
    </row>
    <row r="586" ht="15.75" customHeight="1" s="74">
      <c r="J586" s="20" t="n"/>
      <c r="S586" s="13" t="n"/>
      <c r="Z586" s="13" t="n"/>
    </row>
    <row r="587" ht="15.75" customHeight="1" s="74">
      <c r="J587" s="20" t="n"/>
      <c r="S587" s="13" t="n"/>
      <c r="Z587" s="13" t="n"/>
    </row>
    <row r="588" ht="15.75" customHeight="1" s="74">
      <c r="J588" s="20" t="n"/>
      <c r="S588" s="13" t="n"/>
      <c r="Z588" s="13" t="n"/>
    </row>
    <row r="589" ht="15.75" customHeight="1" s="74">
      <c r="J589" s="20" t="n"/>
      <c r="S589" s="13" t="n"/>
      <c r="Z589" s="13" t="n"/>
    </row>
    <row r="590" ht="15.75" customHeight="1" s="74">
      <c r="J590" s="20" t="n"/>
      <c r="S590" s="13" t="n"/>
      <c r="Z590" s="13" t="n"/>
    </row>
    <row r="591" ht="15.75" customHeight="1" s="74">
      <c r="J591" s="20" t="n"/>
      <c r="S591" s="13" t="n"/>
      <c r="Z591" s="13" t="n"/>
    </row>
    <row r="592" ht="15.75" customHeight="1" s="74">
      <c r="J592" s="20" t="n"/>
      <c r="S592" s="13" t="n"/>
      <c r="Z592" s="13" t="n"/>
    </row>
    <row r="593" ht="15.75" customHeight="1" s="74">
      <c r="J593" s="20" t="n"/>
      <c r="S593" s="13" t="n"/>
      <c r="Z593" s="13" t="n"/>
    </row>
    <row r="594" ht="15.75" customHeight="1" s="74">
      <c r="J594" s="20" t="n"/>
      <c r="S594" s="13" t="n"/>
      <c r="Z594" s="13" t="n"/>
    </row>
    <row r="595" ht="15.75" customHeight="1" s="74">
      <c r="J595" s="20" t="n"/>
      <c r="S595" s="13" t="n"/>
      <c r="Z595" s="13" t="n"/>
    </row>
    <row r="596" ht="15.75" customHeight="1" s="74">
      <c r="J596" s="20" t="n"/>
      <c r="S596" s="13" t="n"/>
      <c r="Z596" s="13" t="n"/>
    </row>
    <row r="597" ht="15.75" customHeight="1" s="74">
      <c r="J597" s="20" t="n"/>
      <c r="S597" s="13" t="n"/>
      <c r="Z597" s="13" t="n"/>
    </row>
    <row r="598" ht="15.75" customHeight="1" s="74">
      <c r="J598" s="20" t="n"/>
      <c r="S598" s="13" t="n"/>
      <c r="Z598" s="13" t="n"/>
    </row>
    <row r="599" ht="15.75" customHeight="1" s="74">
      <c r="J599" s="20" t="n"/>
      <c r="S599" s="13" t="n"/>
      <c r="Z599" s="13" t="n"/>
    </row>
    <row r="600" ht="15.75" customHeight="1" s="74">
      <c r="J600" s="20" t="n"/>
      <c r="S600" s="13" t="n"/>
      <c r="Z600" s="13" t="n"/>
    </row>
    <row r="601" ht="15.75" customHeight="1" s="74">
      <c r="J601" s="20" t="n"/>
      <c r="S601" s="13" t="n"/>
      <c r="Z601" s="13" t="n"/>
    </row>
    <row r="602" ht="15.75" customHeight="1" s="74">
      <c r="J602" s="20" t="n"/>
      <c r="S602" s="13" t="n"/>
      <c r="Z602" s="13" t="n"/>
    </row>
    <row r="603" ht="15.75" customHeight="1" s="74">
      <c r="J603" s="20" t="n"/>
      <c r="S603" s="13" t="n"/>
      <c r="Z603" s="13" t="n"/>
    </row>
    <row r="604" ht="15.75" customHeight="1" s="74">
      <c r="J604" s="20" t="n"/>
      <c r="S604" s="13" t="n"/>
      <c r="Z604" s="13" t="n"/>
    </row>
    <row r="605" ht="15.75" customHeight="1" s="74">
      <c r="J605" s="20" t="n"/>
      <c r="S605" s="13" t="n"/>
      <c r="Z605" s="13" t="n"/>
    </row>
    <row r="606" ht="15.75" customHeight="1" s="74">
      <c r="J606" s="20" t="n"/>
      <c r="S606" s="13" t="n"/>
      <c r="Z606" s="13" t="n"/>
    </row>
    <row r="607" ht="15.75" customHeight="1" s="74">
      <c r="J607" s="20" t="n"/>
      <c r="S607" s="13" t="n"/>
      <c r="Z607" s="13" t="n"/>
    </row>
    <row r="608" ht="15.75" customHeight="1" s="74">
      <c r="J608" s="20" t="n"/>
      <c r="S608" s="13" t="n"/>
      <c r="Z608" s="13" t="n"/>
    </row>
    <row r="609" ht="15.75" customHeight="1" s="74">
      <c r="J609" s="20" t="n"/>
      <c r="S609" s="13" t="n"/>
      <c r="Z609" s="13" t="n"/>
    </row>
    <row r="610" ht="15.75" customHeight="1" s="74">
      <c r="J610" s="20" t="n"/>
      <c r="S610" s="13" t="n"/>
      <c r="Z610" s="13" t="n"/>
    </row>
    <row r="611" ht="15.75" customHeight="1" s="74">
      <c r="J611" s="20" t="n"/>
      <c r="S611" s="13" t="n"/>
      <c r="Z611" s="13" t="n"/>
    </row>
    <row r="612" ht="15.75" customHeight="1" s="74">
      <c r="J612" s="20" t="n"/>
      <c r="S612" s="13" t="n"/>
      <c r="Z612" s="13" t="n"/>
    </row>
    <row r="613" ht="15.75" customHeight="1" s="74">
      <c r="J613" s="20" t="n"/>
      <c r="S613" s="13" t="n"/>
      <c r="Z613" s="13" t="n"/>
    </row>
    <row r="614" ht="15.75" customHeight="1" s="74">
      <c r="J614" s="20" t="n"/>
      <c r="S614" s="13" t="n"/>
      <c r="Z614" s="13" t="n"/>
    </row>
    <row r="615" ht="15.75" customHeight="1" s="74">
      <c r="J615" s="20" t="n"/>
      <c r="S615" s="13" t="n"/>
      <c r="Z615" s="13" t="n"/>
    </row>
    <row r="616" ht="15.75" customHeight="1" s="74">
      <c r="J616" s="20" t="n"/>
      <c r="S616" s="13" t="n"/>
      <c r="Z616" s="13" t="n"/>
    </row>
    <row r="617" ht="15.75" customHeight="1" s="74">
      <c r="J617" s="20" t="n"/>
      <c r="S617" s="13" t="n"/>
      <c r="Z617" s="13" t="n"/>
    </row>
    <row r="618" ht="15.75" customHeight="1" s="74">
      <c r="J618" s="20" t="n"/>
      <c r="S618" s="13" t="n"/>
      <c r="Z618" s="13" t="n"/>
    </row>
    <row r="619" ht="15.75" customHeight="1" s="74">
      <c r="J619" s="20" t="n"/>
      <c r="S619" s="13" t="n"/>
      <c r="Z619" s="13" t="n"/>
    </row>
    <row r="620" ht="15.75" customHeight="1" s="74">
      <c r="J620" s="20" t="n"/>
      <c r="S620" s="13" t="n"/>
      <c r="Z620" s="13" t="n"/>
    </row>
    <row r="621" ht="15.75" customHeight="1" s="74">
      <c r="J621" s="20" t="n"/>
      <c r="S621" s="13" t="n"/>
      <c r="Z621" s="13" t="n"/>
    </row>
    <row r="622" ht="15.75" customHeight="1" s="74">
      <c r="J622" s="20" t="n"/>
      <c r="S622" s="13" t="n"/>
      <c r="Z622" s="13" t="n"/>
    </row>
    <row r="623" ht="15.75" customHeight="1" s="74">
      <c r="J623" s="20" t="n"/>
      <c r="S623" s="13" t="n"/>
      <c r="Z623" s="13" t="n"/>
    </row>
    <row r="624" ht="15.75" customHeight="1" s="74">
      <c r="J624" s="20" t="n"/>
      <c r="S624" s="13" t="n"/>
      <c r="Z624" s="13" t="n"/>
    </row>
    <row r="625" ht="15.75" customHeight="1" s="74">
      <c r="J625" s="20" t="n"/>
      <c r="S625" s="13" t="n"/>
      <c r="Z625" s="13" t="n"/>
    </row>
    <row r="626" ht="15.75" customHeight="1" s="74">
      <c r="J626" s="20" t="n"/>
      <c r="S626" s="13" t="n"/>
      <c r="Z626" s="13" t="n"/>
    </row>
    <row r="627" ht="15.75" customHeight="1" s="74">
      <c r="J627" s="20" t="n"/>
      <c r="S627" s="13" t="n"/>
      <c r="Z627" s="13" t="n"/>
    </row>
    <row r="628" ht="15.75" customHeight="1" s="74">
      <c r="J628" s="20" t="n"/>
      <c r="S628" s="13" t="n"/>
      <c r="Z628" s="13" t="n"/>
    </row>
    <row r="629" ht="15.75" customHeight="1" s="74">
      <c r="J629" s="20" t="n"/>
      <c r="S629" s="13" t="n"/>
      <c r="Z629" s="13" t="n"/>
    </row>
    <row r="630" ht="15.75" customHeight="1" s="74">
      <c r="J630" s="20" t="n"/>
      <c r="S630" s="13" t="n"/>
      <c r="Z630" s="13" t="n"/>
    </row>
    <row r="631" ht="15.75" customHeight="1" s="74">
      <c r="J631" s="20" t="n"/>
      <c r="S631" s="13" t="n"/>
      <c r="Z631" s="13" t="n"/>
    </row>
    <row r="632" ht="15.75" customHeight="1" s="74">
      <c r="J632" s="20" t="n"/>
      <c r="S632" s="13" t="n"/>
      <c r="Z632" s="13" t="n"/>
    </row>
    <row r="633" ht="15.75" customHeight="1" s="74">
      <c r="J633" s="20" t="n"/>
      <c r="S633" s="13" t="n"/>
      <c r="Z633" s="13" t="n"/>
    </row>
    <row r="634" ht="15.75" customHeight="1" s="74">
      <c r="J634" s="20" t="n"/>
      <c r="S634" s="13" t="n"/>
      <c r="Z634" s="13" t="n"/>
    </row>
    <row r="635" ht="15.75" customHeight="1" s="74">
      <c r="J635" s="20" t="n"/>
      <c r="S635" s="13" t="n"/>
      <c r="Z635" s="13" t="n"/>
    </row>
    <row r="636" ht="15.75" customHeight="1" s="74">
      <c r="J636" s="20" t="n"/>
      <c r="S636" s="13" t="n"/>
      <c r="Z636" s="13" t="n"/>
    </row>
    <row r="637" ht="15.75" customHeight="1" s="74">
      <c r="J637" s="20" t="n"/>
      <c r="S637" s="13" t="n"/>
      <c r="Z637" s="13" t="n"/>
    </row>
    <row r="638" ht="15.75" customHeight="1" s="74">
      <c r="J638" s="20" t="n"/>
      <c r="S638" s="13" t="n"/>
      <c r="Z638" s="13" t="n"/>
    </row>
    <row r="639" ht="15.75" customHeight="1" s="74">
      <c r="J639" s="20" t="n"/>
      <c r="S639" s="13" t="n"/>
      <c r="Z639" s="13" t="n"/>
    </row>
    <row r="640" ht="15.75" customHeight="1" s="74">
      <c r="J640" s="20" t="n"/>
      <c r="S640" s="13" t="n"/>
      <c r="Z640" s="13" t="n"/>
    </row>
    <row r="641" ht="15.75" customHeight="1" s="74">
      <c r="J641" s="20" t="n"/>
      <c r="S641" s="13" t="n"/>
      <c r="Z641" s="13" t="n"/>
    </row>
    <row r="642" ht="15.75" customHeight="1" s="74">
      <c r="J642" s="20" t="n"/>
      <c r="S642" s="13" t="n"/>
      <c r="Z642" s="13" t="n"/>
    </row>
    <row r="643" ht="15.75" customHeight="1" s="74">
      <c r="J643" s="20" t="n"/>
      <c r="S643" s="13" t="n"/>
      <c r="Z643" s="13" t="n"/>
    </row>
    <row r="644" ht="15.75" customHeight="1" s="74">
      <c r="J644" s="20" t="n"/>
      <c r="S644" s="13" t="n"/>
      <c r="Z644" s="13" t="n"/>
    </row>
    <row r="645" ht="15.75" customHeight="1" s="74">
      <c r="J645" s="20" t="n"/>
      <c r="S645" s="13" t="n"/>
      <c r="Z645" s="13" t="n"/>
    </row>
    <row r="646" ht="15.75" customHeight="1" s="74">
      <c r="J646" s="20" t="n"/>
      <c r="S646" s="13" t="n"/>
      <c r="Z646" s="13" t="n"/>
    </row>
    <row r="647" ht="15.75" customHeight="1" s="74">
      <c r="J647" s="20" t="n"/>
      <c r="S647" s="13" t="n"/>
      <c r="Z647" s="13" t="n"/>
    </row>
    <row r="648" ht="15.75" customHeight="1" s="74">
      <c r="J648" s="20" t="n"/>
      <c r="S648" s="13" t="n"/>
      <c r="Z648" s="13" t="n"/>
    </row>
    <row r="649" ht="15.75" customHeight="1" s="74">
      <c r="J649" s="20" t="n"/>
      <c r="S649" s="13" t="n"/>
      <c r="Z649" s="13" t="n"/>
    </row>
    <row r="650" ht="15.75" customHeight="1" s="74">
      <c r="J650" s="20" t="n"/>
      <c r="S650" s="13" t="n"/>
      <c r="Z650" s="13" t="n"/>
    </row>
    <row r="651" ht="15.75" customHeight="1" s="74">
      <c r="J651" s="20" t="n"/>
      <c r="S651" s="13" t="n"/>
      <c r="Z651" s="13" t="n"/>
    </row>
    <row r="652" ht="15.75" customHeight="1" s="74">
      <c r="J652" s="20" t="n"/>
      <c r="S652" s="13" t="n"/>
      <c r="Z652" s="13" t="n"/>
    </row>
    <row r="653" ht="15.75" customHeight="1" s="74">
      <c r="J653" s="20" t="n"/>
      <c r="S653" s="13" t="n"/>
      <c r="Z653" s="13" t="n"/>
    </row>
    <row r="654" ht="15.75" customHeight="1" s="74">
      <c r="J654" s="20" t="n"/>
      <c r="S654" s="13" t="n"/>
      <c r="Z654" s="13" t="n"/>
    </row>
    <row r="655" ht="15.75" customHeight="1" s="74">
      <c r="J655" s="20" t="n"/>
      <c r="S655" s="13" t="n"/>
      <c r="Z655" s="13" t="n"/>
    </row>
    <row r="656" ht="15.75" customHeight="1" s="74">
      <c r="J656" s="20" t="n"/>
      <c r="S656" s="13" t="n"/>
      <c r="Z656" s="13" t="n"/>
    </row>
    <row r="657" ht="15.75" customHeight="1" s="74">
      <c r="J657" s="20" t="n"/>
      <c r="S657" s="13" t="n"/>
      <c r="Z657" s="13" t="n"/>
    </row>
    <row r="658" ht="15.75" customHeight="1" s="74">
      <c r="J658" s="20" t="n"/>
      <c r="S658" s="13" t="n"/>
      <c r="Z658" s="13" t="n"/>
    </row>
    <row r="659" ht="15.75" customHeight="1" s="74">
      <c r="J659" s="20" t="n"/>
      <c r="S659" s="13" t="n"/>
      <c r="Z659" s="13" t="n"/>
    </row>
    <row r="660" ht="15.75" customHeight="1" s="74">
      <c r="J660" s="20" t="n"/>
      <c r="S660" s="13" t="n"/>
      <c r="Z660" s="13" t="n"/>
    </row>
    <row r="661" ht="15.75" customHeight="1" s="74">
      <c r="J661" s="20" t="n"/>
      <c r="S661" s="13" t="n"/>
      <c r="Z661" s="13" t="n"/>
    </row>
    <row r="662" ht="15.75" customHeight="1" s="74">
      <c r="J662" s="20" t="n"/>
      <c r="S662" s="13" t="n"/>
      <c r="Z662" s="13" t="n"/>
    </row>
    <row r="663" ht="15.75" customHeight="1" s="74">
      <c r="J663" s="20" t="n"/>
      <c r="S663" s="13" t="n"/>
      <c r="Z663" s="13" t="n"/>
    </row>
    <row r="664" ht="15.75" customHeight="1" s="74">
      <c r="J664" s="20" t="n"/>
      <c r="S664" s="13" t="n"/>
      <c r="Z664" s="13" t="n"/>
    </row>
    <row r="665" ht="15.75" customHeight="1" s="74">
      <c r="J665" s="20" t="n"/>
      <c r="S665" s="13" t="n"/>
      <c r="Z665" s="13" t="n"/>
    </row>
    <row r="666" ht="15.75" customHeight="1" s="74">
      <c r="J666" s="20" t="n"/>
      <c r="S666" s="13" t="n"/>
      <c r="Z666" s="13" t="n"/>
    </row>
    <row r="667" ht="15.75" customHeight="1" s="74">
      <c r="J667" s="20" t="n"/>
      <c r="S667" s="13" t="n"/>
      <c r="Z667" s="13" t="n"/>
    </row>
    <row r="668" ht="15.75" customHeight="1" s="74">
      <c r="J668" s="20" t="n"/>
      <c r="S668" s="13" t="n"/>
      <c r="Z668" s="13" t="n"/>
    </row>
    <row r="669" ht="15.75" customHeight="1" s="74">
      <c r="J669" s="20" t="n"/>
      <c r="S669" s="13" t="n"/>
      <c r="Z669" s="13" t="n"/>
    </row>
    <row r="670" ht="15.75" customHeight="1" s="74">
      <c r="J670" s="20" t="n"/>
      <c r="S670" s="13" t="n"/>
      <c r="Z670" s="13" t="n"/>
    </row>
    <row r="671" ht="15.75" customHeight="1" s="74">
      <c r="J671" s="20" t="n"/>
      <c r="S671" s="13" t="n"/>
      <c r="Z671" s="13" t="n"/>
    </row>
    <row r="672" ht="15.75" customHeight="1" s="74">
      <c r="J672" s="20" t="n"/>
      <c r="S672" s="13" t="n"/>
      <c r="Z672" s="13" t="n"/>
    </row>
    <row r="673" ht="15.75" customHeight="1" s="74">
      <c r="J673" s="20" t="n"/>
      <c r="S673" s="13" t="n"/>
      <c r="Z673" s="13" t="n"/>
    </row>
    <row r="674" ht="15.75" customHeight="1" s="74">
      <c r="J674" s="20" t="n"/>
      <c r="S674" s="13" t="n"/>
      <c r="Z674" s="13" t="n"/>
    </row>
    <row r="675" ht="15.75" customHeight="1" s="74">
      <c r="J675" s="20" t="n"/>
      <c r="S675" s="13" t="n"/>
      <c r="Z675" s="13" t="n"/>
    </row>
    <row r="676" ht="15.75" customHeight="1" s="74">
      <c r="J676" s="20" t="n"/>
      <c r="S676" s="13" t="n"/>
      <c r="Z676" s="13" t="n"/>
    </row>
    <row r="677" ht="15.75" customHeight="1" s="74">
      <c r="J677" s="20" t="n"/>
      <c r="S677" s="13" t="n"/>
      <c r="Z677" s="13" t="n"/>
    </row>
    <row r="678" ht="15.75" customHeight="1" s="74">
      <c r="J678" s="20" t="n"/>
      <c r="S678" s="13" t="n"/>
      <c r="Z678" s="13" t="n"/>
    </row>
    <row r="679" ht="15.75" customHeight="1" s="74">
      <c r="J679" s="20" t="n"/>
      <c r="S679" s="13" t="n"/>
      <c r="Z679" s="13" t="n"/>
    </row>
    <row r="680" ht="15.75" customHeight="1" s="74">
      <c r="J680" s="20" t="n"/>
      <c r="S680" s="13" t="n"/>
      <c r="Z680" s="13" t="n"/>
    </row>
    <row r="681" ht="15.75" customHeight="1" s="74">
      <c r="J681" s="20" t="n"/>
      <c r="S681" s="13" t="n"/>
      <c r="Z681" s="13" t="n"/>
    </row>
    <row r="682" ht="15.75" customHeight="1" s="74">
      <c r="J682" s="20" t="n"/>
      <c r="S682" s="13" t="n"/>
      <c r="Z682" s="13" t="n"/>
    </row>
    <row r="683" ht="15.75" customHeight="1" s="74">
      <c r="J683" s="20" t="n"/>
      <c r="S683" s="13" t="n"/>
      <c r="Z683" s="13" t="n"/>
    </row>
    <row r="684" ht="15.75" customHeight="1" s="74">
      <c r="J684" s="20" t="n"/>
      <c r="S684" s="13" t="n"/>
      <c r="Z684" s="13" t="n"/>
    </row>
    <row r="685" ht="15.75" customHeight="1" s="74">
      <c r="J685" s="20" t="n"/>
      <c r="S685" s="13" t="n"/>
      <c r="Z685" s="13" t="n"/>
    </row>
    <row r="686" ht="15.75" customHeight="1" s="74">
      <c r="J686" s="20" t="n"/>
      <c r="S686" s="13" t="n"/>
      <c r="Z686" s="13" t="n"/>
    </row>
    <row r="687" ht="15.75" customHeight="1" s="74">
      <c r="J687" s="20" t="n"/>
      <c r="S687" s="13" t="n"/>
      <c r="Z687" s="13" t="n"/>
    </row>
    <row r="688" ht="15.75" customHeight="1" s="74">
      <c r="J688" s="20" t="n"/>
      <c r="S688" s="13" t="n"/>
      <c r="Z688" s="13" t="n"/>
    </row>
    <row r="689" ht="15.75" customHeight="1" s="74">
      <c r="J689" s="20" t="n"/>
      <c r="S689" s="13" t="n"/>
      <c r="Z689" s="13" t="n"/>
    </row>
    <row r="690" ht="15.75" customHeight="1" s="74">
      <c r="J690" s="20" t="n"/>
      <c r="S690" s="13" t="n"/>
      <c r="Z690" s="13" t="n"/>
    </row>
    <row r="691" ht="15.75" customHeight="1" s="74">
      <c r="J691" s="20" t="n"/>
      <c r="S691" s="13" t="n"/>
      <c r="Z691" s="13" t="n"/>
    </row>
    <row r="692" ht="15.75" customHeight="1" s="74">
      <c r="J692" s="20" t="n"/>
      <c r="S692" s="13" t="n"/>
      <c r="Z692" s="13" t="n"/>
    </row>
    <row r="693" ht="15.75" customHeight="1" s="74">
      <c r="J693" s="20" t="n"/>
      <c r="S693" s="13" t="n"/>
      <c r="Z693" s="13" t="n"/>
    </row>
    <row r="694" ht="15.75" customHeight="1" s="74">
      <c r="J694" s="20" t="n"/>
      <c r="S694" s="13" t="n"/>
      <c r="Z694" s="13" t="n"/>
    </row>
    <row r="695" ht="15.75" customHeight="1" s="74">
      <c r="J695" s="20" t="n"/>
      <c r="S695" s="13" t="n"/>
      <c r="Z695" s="13" t="n"/>
    </row>
    <row r="696" ht="15.75" customHeight="1" s="74">
      <c r="J696" s="20" t="n"/>
      <c r="S696" s="13" t="n"/>
      <c r="Z696" s="13" t="n"/>
    </row>
    <row r="697" ht="15.75" customHeight="1" s="74">
      <c r="J697" s="20" t="n"/>
      <c r="S697" s="13" t="n"/>
      <c r="Z697" s="13" t="n"/>
    </row>
    <row r="698" ht="15.75" customHeight="1" s="74">
      <c r="J698" s="20" t="n"/>
      <c r="S698" s="13" t="n"/>
      <c r="Z698" s="13" t="n"/>
    </row>
    <row r="699" ht="15.75" customHeight="1" s="74">
      <c r="J699" s="20" t="n"/>
      <c r="S699" s="13" t="n"/>
      <c r="Z699" s="13" t="n"/>
    </row>
    <row r="700" ht="15.75" customHeight="1" s="74">
      <c r="J700" s="20" t="n"/>
      <c r="S700" s="13" t="n"/>
      <c r="Z700" s="13" t="n"/>
    </row>
    <row r="701" ht="15.75" customHeight="1" s="74">
      <c r="J701" s="20" t="n"/>
      <c r="S701" s="13" t="n"/>
      <c r="Z701" s="13" t="n"/>
    </row>
    <row r="702" ht="15.75" customHeight="1" s="74">
      <c r="J702" s="20" t="n"/>
      <c r="S702" s="13" t="n"/>
      <c r="Z702" s="13" t="n"/>
    </row>
    <row r="703" ht="15.75" customHeight="1" s="74">
      <c r="J703" s="20" t="n"/>
      <c r="S703" s="13" t="n"/>
      <c r="Z703" s="13" t="n"/>
    </row>
    <row r="704" ht="15.75" customHeight="1" s="74">
      <c r="J704" s="20" t="n"/>
      <c r="S704" s="13" t="n"/>
      <c r="Z704" s="13" t="n"/>
    </row>
    <row r="705" ht="15.75" customHeight="1" s="74">
      <c r="J705" s="20" t="n"/>
      <c r="S705" s="13" t="n"/>
      <c r="Z705" s="13" t="n"/>
    </row>
    <row r="706" ht="15.75" customHeight="1" s="74">
      <c r="J706" s="20" t="n"/>
      <c r="S706" s="13" t="n"/>
      <c r="Z706" s="13" t="n"/>
    </row>
    <row r="707" ht="15.75" customHeight="1" s="74">
      <c r="J707" s="20" t="n"/>
      <c r="S707" s="13" t="n"/>
      <c r="Z707" s="13" t="n"/>
    </row>
    <row r="708" ht="15.75" customHeight="1" s="74">
      <c r="J708" s="20" t="n"/>
      <c r="S708" s="13" t="n"/>
      <c r="Z708" s="13" t="n"/>
    </row>
    <row r="709" ht="15.75" customHeight="1" s="74">
      <c r="J709" s="20" t="n"/>
      <c r="S709" s="13" t="n"/>
      <c r="Z709" s="13" t="n"/>
    </row>
    <row r="710" ht="15.75" customHeight="1" s="74">
      <c r="J710" s="20" t="n"/>
      <c r="S710" s="13" t="n"/>
      <c r="Z710" s="13" t="n"/>
    </row>
    <row r="711" ht="15.75" customHeight="1" s="74">
      <c r="J711" s="20" t="n"/>
      <c r="S711" s="13" t="n"/>
      <c r="Z711" s="13" t="n"/>
    </row>
    <row r="712" ht="15.75" customHeight="1" s="74">
      <c r="J712" s="20" t="n"/>
      <c r="S712" s="13" t="n"/>
      <c r="Z712" s="13" t="n"/>
    </row>
    <row r="713" ht="15.75" customHeight="1" s="74">
      <c r="J713" s="20" t="n"/>
      <c r="S713" s="13" t="n"/>
      <c r="Z713" s="13" t="n"/>
    </row>
    <row r="714" ht="15.75" customHeight="1" s="74">
      <c r="J714" s="20" t="n"/>
      <c r="S714" s="13" t="n"/>
      <c r="Z714" s="13" t="n"/>
    </row>
    <row r="715" ht="15.75" customHeight="1" s="74">
      <c r="J715" s="20" t="n"/>
      <c r="S715" s="13" t="n"/>
      <c r="Z715" s="13" t="n"/>
    </row>
    <row r="716" ht="15.75" customHeight="1" s="74">
      <c r="J716" s="20" t="n"/>
      <c r="S716" s="13" t="n"/>
      <c r="Z716" s="13" t="n"/>
    </row>
    <row r="717" ht="15.75" customHeight="1" s="74">
      <c r="J717" s="20" t="n"/>
      <c r="S717" s="13" t="n"/>
      <c r="Z717" s="13" t="n"/>
    </row>
    <row r="718" ht="15.75" customHeight="1" s="74">
      <c r="J718" s="20" t="n"/>
      <c r="S718" s="13" t="n"/>
      <c r="Z718" s="13" t="n"/>
    </row>
    <row r="719" ht="15.75" customHeight="1" s="74">
      <c r="J719" s="20" t="n"/>
      <c r="S719" s="13" t="n"/>
      <c r="Z719" s="13" t="n"/>
    </row>
    <row r="720" ht="15.75" customHeight="1" s="74">
      <c r="J720" s="20" t="n"/>
      <c r="S720" s="13" t="n"/>
      <c r="Z720" s="13" t="n"/>
    </row>
    <row r="721" ht="15.75" customHeight="1" s="74">
      <c r="J721" s="20" t="n"/>
      <c r="S721" s="13" t="n"/>
      <c r="Z721" s="13" t="n"/>
    </row>
    <row r="722" ht="15.75" customHeight="1" s="74">
      <c r="J722" s="20" t="n"/>
      <c r="S722" s="13" t="n"/>
      <c r="Z722" s="13" t="n"/>
    </row>
    <row r="723" ht="15.75" customHeight="1" s="74">
      <c r="J723" s="20" t="n"/>
      <c r="S723" s="13" t="n"/>
      <c r="Z723" s="13" t="n"/>
    </row>
    <row r="724" ht="15.75" customHeight="1" s="74">
      <c r="J724" s="20" t="n"/>
      <c r="S724" s="13" t="n"/>
      <c r="Z724" s="13" t="n"/>
    </row>
    <row r="725" ht="15.75" customHeight="1" s="74">
      <c r="J725" s="20" t="n"/>
      <c r="S725" s="13" t="n"/>
      <c r="Z725" s="13" t="n"/>
    </row>
    <row r="726" ht="15.75" customHeight="1" s="74">
      <c r="J726" s="20" t="n"/>
      <c r="S726" s="13" t="n"/>
      <c r="Z726" s="13" t="n"/>
    </row>
    <row r="727" ht="15.75" customHeight="1" s="74">
      <c r="J727" s="20" t="n"/>
      <c r="S727" s="13" t="n"/>
      <c r="Z727" s="13" t="n"/>
    </row>
    <row r="728" ht="15.75" customHeight="1" s="74">
      <c r="J728" s="20" t="n"/>
      <c r="S728" s="13" t="n"/>
      <c r="Z728" s="13" t="n"/>
    </row>
    <row r="729" ht="15.75" customHeight="1" s="74">
      <c r="J729" s="20" t="n"/>
      <c r="S729" s="13" t="n"/>
      <c r="Z729" s="13" t="n"/>
    </row>
    <row r="730" ht="15.75" customHeight="1" s="74">
      <c r="J730" s="20" t="n"/>
      <c r="S730" s="13" t="n"/>
      <c r="Z730" s="13" t="n"/>
    </row>
    <row r="731" ht="15.75" customHeight="1" s="74">
      <c r="J731" s="20" t="n"/>
      <c r="S731" s="13" t="n"/>
      <c r="Z731" s="13" t="n"/>
    </row>
    <row r="732" ht="15.75" customHeight="1" s="74">
      <c r="J732" s="20" t="n"/>
      <c r="S732" s="13" t="n"/>
      <c r="Z732" s="13" t="n"/>
    </row>
    <row r="733" ht="15.75" customHeight="1" s="74">
      <c r="J733" s="20" t="n"/>
      <c r="S733" s="13" t="n"/>
      <c r="Z733" s="13" t="n"/>
    </row>
    <row r="734" ht="15.75" customHeight="1" s="74">
      <c r="J734" s="20" t="n"/>
      <c r="S734" s="13" t="n"/>
      <c r="Z734" s="13" t="n"/>
    </row>
    <row r="735" ht="15.75" customHeight="1" s="74">
      <c r="J735" s="20" t="n"/>
      <c r="S735" s="13" t="n"/>
      <c r="Z735" s="13" t="n"/>
    </row>
    <row r="736" ht="15.75" customHeight="1" s="74">
      <c r="J736" s="20" t="n"/>
      <c r="S736" s="13" t="n"/>
      <c r="Z736" s="13" t="n"/>
    </row>
    <row r="737" ht="15.75" customHeight="1" s="74">
      <c r="J737" s="20" t="n"/>
      <c r="S737" s="13" t="n"/>
      <c r="Z737" s="13" t="n"/>
    </row>
    <row r="738" ht="15.75" customHeight="1" s="74">
      <c r="J738" s="20" t="n"/>
      <c r="S738" s="13" t="n"/>
      <c r="Z738" s="13" t="n"/>
    </row>
    <row r="739" ht="15.75" customHeight="1" s="74">
      <c r="J739" s="20" t="n"/>
      <c r="S739" s="13" t="n"/>
      <c r="Z739" s="13" t="n"/>
    </row>
    <row r="740" ht="15.75" customHeight="1" s="74">
      <c r="J740" s="20" t="n"/>
      <c r="S740" s="13" t="n"/>
      <c r="Z740" s="13" t="n"/>
    </row>
    <row r="741" ht="15.75" customHeight="1" s="74">
      <c r="J741" s="20" t="n"/>
      <c r="S741" s="13" t="n"/>
      <c r="Z741" s="13" t="n"/>
    </row>
    <row r="742" ht="15.75" customHeight="1" s="74">
      <c r="J742" s="20" t="n"/>
      <c r="S742" s="13" t="n"/>
      <c r="Z742" s="13" t="n"/>
    </row>
    <row r="743" ht="15.75" customHeight="1" s="74">
      <c r="J743" s="20" t="n"/>
      <c r="S743" s="13" t="n"/>
      <c r="Z743" s="13" t="n"/>
    </row>
    <row r="744" ht="15.75" customHeight="1" s="74">
      <c r="J744" s="20" t="n"/>
      <c r="S744" s="13" t="n"/>
      <c r="Z744" s="13" t="n"/>
    </row>
    <row r="745" ht="15.75" customHeight="1" s="74">
      <c r="J745" s="20" t="n"/>
      <c r="S745" s="13" t="n"/>
      <c r="Z745" s="13" t="n"/>
    </row>
    <row r="746" ht="15.75" customHeight="1" s="74">
      <c r="J746" s="20" t="n"/>
      <c r="S746" s="13" t="n"/>
      <c r="Z746" s="13" t="n"/>
    </row>
    <row r="747" ht="15.75" customHeight="1" s="74">
      <c r="J747" s="20" t="n"/>
      <c r="S747" s="13" t="n"/>
      <c r="Z747" s="13" t="n"/>
    </row>
    <row r="748" ht="15.75" customHeight="1" s="74">
      <c r="J748" s="20" t="n"/>
      <c r="S748" s="13" t="n"/>
      <c r="Z748" s="13" t="n"/>
    </row>
    <row r="749" ht="15.75" customHeight="1" s="74">
      <c r="J749" s="20" t="n"/>
      <c r="S749" s="13" t="n"/>
      <c r="Z749" s="13" t="n"/>
    </row>
    <row r="750" ht="15.75" customHeight="1" s="74">
      <c r="J750" s="20" t="n"/>
      <c r="S750" s="13" t="n"/>
      <c r="Z750" s="13" t="n"/>
    </row>
    <row r="751" ht="15.75" customHeight="1" s="74">
      <c r="J751" s="20" t="n"/>
      <c r="S751" s="13" t="n"/>
      <c r="Z751" s="13" t="n"/>
    </row>
    <row r="752" ht="15.75" customHeight="1" s="74">
      <c r="J752" s="20" t="n"/>
      <c r="S752" s="13" t="n"/>
      <c r="Z752" s="13" t="n"/>
    </row>
    <row r="753" ht="15.75" customHeight="1" s="74">
      <c r="J753" s="20" t="n"/>
      <c r="S753" s="13" t="n"/>
      <c r="Z753" s="13" t="n"/>
    </row>
    <row r="754" ht="15.75" customHeight="1" s="74">
      <c r="J754" s="20" t="n"/>
      <c r="S754" s="13" t="n"/>
      <c r="Z754" s="13" t="n"/>
    </row>
    <row r="755" ht="15.75" customHeight="1" s="74">
      <c r="J755" s="20" t="n"/>
      <c r="S755" s="13" t="n"/>
      <c r="Z755" s="13" t="n"/>
    </row>
    <row r="756" ht="15.75" customHeight="1" s="74">
      <c r="J756" s="20" t="n"/>
      <c r="S756" s="13" t="n"/>
      <c r="Z756" s="13" t="n"/>
    </row>
    <row r="757" ht="15.75" customHeight="1" s="74">
      <c r="J757" s="20" t="n"/>
      <c r="S757" s="13" t="n"/>
      <c r="Z757" s="13" t="n"/>
    </row>
    <row r="758" ht="15.75" customHeight="1" s="74">
      <c r="J758" s="20" t="n"/>
      <c r="S758" s="13" t="n"/>
      <c r="Z758" s="13" t="n"/>
    </row>
    <row r="759" ht="15.75" customHeight="1" s="74">
      <c r="J759" s="20" t="n"/>
      <c r="S759" s="13" t="n"/>
      <c r="Z759" s="13" t="n"/>
    </row>
    <row r="760" ht="15.75" customHeight="1" s="74">
      <c r="J760" s="20" t="n"/>
      <c r="S760" s="13" t="n"/>
      <c r="Z760" s="13" t="n"/>
    </row>
    <row r="761" ht="15.75" customHeight="1" s="74">
      <c r="J761" s="20" t="n"/>
      <c r="S761" s="13" t="n"/>
      <c r="Z761" s="13" t="n"/>
    </row>
    <row r="762" ht="15.75" customHeight="1" s="74">
      <c r="J762" s="20" t="n"/>
      <c r="S762" s="13" t="n"/>
      <c r="Z762" s="13" t="n"/>
    </row>
    <row r="763" ht="15.75" customHeight="1" s="74">
      <c r="J763" s="20" t="n"/>
      <c r="S763" s="13" t="n"/>
      <c r="Z763" s="13" t="n"/>
    </row>
    <row r="764" ht="15.75" customHeight="1" s="74">
      <c r="J764" s="20" t="n"/>
      <c r="S764" s="13" t="n"/>
      <c r="Z764" s="13" t="n"/>
    </row>
    <row r="765" ht="15.75" customHeight="1" s="74">
      <c r="J765" s="20" t="n"/>
      <c r="S765" s="13" t="n"/>
      <c r="Z765" s="13" t="n"/>
    </row>
    <row r="766" ht="15.75" customHeight="1" s="74">
      <c r="J766" s="20" t="n"/>
      <c r="S766" s="13" t="n"/>
      <c r="Z766" s="13" t="n"/>
    </row>
    <row r="767" ht="15.75" customHeight="1" s="74">
      <c r="J767" s="20" t="n"/>
      <c r="S767" s="13" t="n"/>
      <c r="Z767" s="13" t="n"/>
    </row>
    <row r="768" ht="15.75" customHeight="1" s="74">
      <c r="J768" s="20" t="n"/>
      <c r="S768" s="13" t="n"/>
      <c r="Z768" s="13" t="n"/>
    </row>
    <row r="769" ht="15.75" customHeight="1" s="74">
      <c r="J769" s="20" t="n"/>
      <c r="S769" s="13" t="n"/>
      <c r="Z769" s="13" t="n"/>
    </row>
    <row r="770" ht="15.75" customHeight="1" s="74">
      <c r="J770" s="20" t="n"/>
      <c r="S770" s="13" t="n"/>
      <c r="Z770" s="13" t="n"/>
    </row>
    <row r="771" ht="15.75" customHeight="1" s="74">
      <c r="J771" s="20" t="n"/>
      <c r="S771" s="13" t="n"/>
      <c r="Z771" s="13" t="n"/>
    </row>
    <row r="772" ht="15.75" customHeight="1" s="74">
      <c r="J772" s="20" t="n"/>
      <c r="S772" s="13" t="n"/>
      <c r="Z772" s="13" t="n"/>
    </row>
    <row r="773" ht="15.75" customHeight="1" s="74">
      <c r="J773" s="20" t="n"/>
      <c r="S773" s="13" t="n"/>
      <c r="Z773" s="13" t="n"/>
    </row>
    <row r="774" ht="15.75" customHeight="1" s="74">
      <c r="J774" s="20" t="n"/>
      <c r="S774" s="13" t="n"/>
      <c r="Z774" s="13" t="n"/>
    </row>
    <row r="775" ht="15.75" customHeight="1" s="74">
      <c r="J775" s="20" t="n"/>
      <c r="S775" s="13" t="n"/>
      <c r="Z775" s="13" t="n"/>
    </row>
    <row r="776" ht="15.75" customHeight="1" s="74">
      <c r="J776" s="20" t="n"/>
      <c r="S776" s="13" t="n"/>
      <c r="Z776" s="13" t="n"/>
    </row>
    <row r="777" ht="15.75" customHeight="1" s="74">
      <c r="J777" s="20" t="n"/>
      <c r="S777" s="13" t="n"/>
      <c r="Z777" s="13" t="n"/>
    </row>
    <row r="778" ht="15.75" customHeight="1" s="74">
      <c r="J778" s="20" t="n"/>
      <c r="S778" s="13" t="n"/>
      <c r="Z778" s="13" t="n"/>
    </row>
    <row r="779" ht="15.75" customHeight="1" s="74">
      <c r="J779" s="20" t="n"/>
      <c r="S779" s="13" t="n"/>
      <c r="Z779" s="13" t="n"/>
    </row>
    <row r="780" ht="15.75" customHeight="1" s="74">
      <c r="J780" s="20" t="n"/>
      <c r="S780" s="13" t="n"/>
      <c r="Z780" s="13" t="n"/>
    </row>
    <row r="781" ht="15.75" customHeight="1" s="74">
      <c r="J781" s="20" t="n"/>
      <c r="S781" s="13" t="n"/>
      <c r="Z781" s="13" t="n"/>
    </row>
    <row r="782" ht="15.75" customHeight="1" s="74">
      <c r="J782" s="20" t="n"/>
      <c r="S782" s="13" t="n"/>
      <c r="Z782" s="13" t="n"/>
    </row>
    <row r="783" ht="15.75" customHeight="1" s="74">
      <c r="J783" s="20" t="n"/>
      <c r="S783" s="13" t="n"/>
      <c r="Z783" s="13" t="n"/>
    </row>
    <row r="784" ht="15.75" customHeight="1" s="74">
      <c r="J784" s="20" t="n"/>
      <c r="S784" s="13" t="n"/>
      <c r="Z784" s="13" t="n"/>
    </row>
    <row r="785" ht="15.75" customHeight="1" s="74">
      <c r="J785" s="20" t="n"/>
      <c r="S785" s="13" t="n"/>
      <c r="Z785" s="13" t="n"/>
    </row>
    <row r="786" ht="15.75" customHeight="1" s="74">
      <c r="J786" s="20" t="n"/>
      <c r="S786" s="13" t="n"/>
      <c r="Z786" s="13" t="n"/>
    </row>
    <row r="787" ht="15.75" customHeight="1" s="74">
      <c r="J787" s="20" t="n"/>
      <c r="S787" s="13" t="n"/>
      <c r="Z787" s="13" t="n"/>
    </row>
    <row r="788" ht="15.75" customHeight="1" s="74">
      <c r="J788" s="20" t="n"/>
      <c r="S788" s="13" t="n"/>
      <c r="Z788" s="13" t="n"/>
    </row>
    <row r="789" ht="15.75" customHeight="1" s="74">
      <c r="J789" s="20" t="n"/>
      <c r="S789" s="13" t="n"/>
      <c r="Z789" s="13" t="n"/>
    </row>
    <row r="790" ht="15.75" customHeight="1" s="74">
      <c r="J790" s="20" t="n"/>
      <c r="S790" s="13" t="n"/>
      <c r="Z790" s="13" t="n"/>
    </row>
    <row r="791" ht="15.75" customHeight="1" s="74">
      <c r="J791" s="20" t="n"/>
      <c r="S791" s="13" t="n"/>
      <c r="Z791" s="13" t="n"/>
    </row>
    <row r="792" ht="15.75" customHeight="1" s="74">
      <c r="J792" s="20" t="n"/>
      <c r="S792" s="13" t="n"/>
      <c r="Z792" s="13" t="n"/>
    </row>
    <row r="793" ht="15.75" customHeight="1" s="74">
      <c r="J793" s="20" t="n"/>
      <c r="S793" s="13" t="n"/>
      <c r="Z793" s="13" t="n"/>
    </row>
    <row r="794" ht="15.75" customHeight="1" s="74">
      <c r="J794" s="20" t="n"/>
      <c r="S794" s="13" t="n"/>
      <c r="Z794" s="13" t="n"/>
    </row>
    <row r="795" ht="15.75" customHeight="1" s="74">
      <c r="J795" s="20" t="n"/>
      <c r="S795" s="13" t="n"/>
      <c r="Z795" s="13" t="n"/>
    </row>
    <row r="796" ht="15.75" customHeight="1" s="74">
      <c r="J796" s="20" t="n"/>
      <c r="S796" s="13" t="n"/>
      <c r="Z796" s="13" t="n"/>
    </row>
    <row r="797" ht="15.75" customHeight="1" s="74">
      <c r="J797" s="20" t="n"/>
      <c r="S797" s="13" t="n"/>
      <c r="Z797" s="13" t="n"/>
    </row>
    <row r="798" ht="15.75" customHeight="1" s="74">
      <c r="J798" s="20" t="n"/>
      <c r="S798" s="13" t="n"/>
      <c r="Z798" s="13" t="n"/>
    </row>
    <row r="799" ht="15.75" customHeight="1" s="74">
      <c r="J799" s="20" t="n"/>
      <c r="S799" s="13" t="n"/>
      <c r="Z799" s="13" t="n"/>
    </row>
    <row r="800" ht="15.75" customHeight="1" s="74">
      <c r="J800" s="20" t="n"/>
      <c r="S800" s="13" t="n"/>
      <c r="Z800" s="13" t="n"/>
    </row>
    <row r="801" ht="15.75" customHeight="1" s="74">
      <c r="J801" s="20" t="n"/>
      <c r="S801" s="13" t="n"/>
      <c r="Z801" s="13" t="n"/>
    </row>
    <row r="802" ht="15.75" customHeight="1" s="74">
      <c r="J802" s="20" t="n"/>
      <c r="S802" s="13" t="n"/>
      <c r="Z802" s="13" t="n"/>
    </row>
    <row r="803" ht="15.75" customHeight="1" s="74">
      <c r="J803" s="20" t="n"/>
      <c r="S803" s="13" t="n"/>
      <c r="Z803" s="13" t="n"/>
    </row>
    <row r="804" ht="15.75" customHeight="1" s="74">
      <c r="J804" s="20" t="n"/>
      <c r="S804" s="13" t="n"/>
      <c r="Z804" s="13" t="n"/>
    </row>
    <row r="805" ht="15.75" customHeight="1" s="74">
      <c r="J805" s="20" t="n"/>
      <c r="S805" s="13" t="n"/>
      <c r="Z805" s="13" t="n"/>
    </row>
    <row r="806" ht="15.75" customHeight="1" s="74">
      <c r="J806" s="20" t="n"/>
      <c r="S806" s="13" t="n"/>
      <c r="Z806" s="13" t="n"/>
    </row>
    <row r="807" ht="15.75" customHeight="1" s="74">
      <c r="J807" s="20" t="n"/>
      <c r="S807" s="13" t="n"/>
      <c r="Z807" s="13" t="n"/>
    </row>
    <row r="808" ht="15.75" customHeight="1" s="74">
      <c r="J808" s="20" t="n"/>
      <c r="S808" s="13" t="n"/>
      <c r="Z808" s="13" t="n"/>
    </row>
    <row r="809" ht="15.75" customHeight="1" s="74">
      <c r="J809" s="20" t="n"/>
      <c r="S809" s="13" t="n"/>
      <c r="Z809" s="13" t="n"/>
    </row>
    <row r="810" ht="15.75" customHeight="1" s="74">
      <c r="J810" s="20" t="n"/>
      <c r="S810" s="13" t="n"/>
      <c r="Z810" s="13" t="n"/>
    </row>
    <row r="811" ht="15.75" customHeight="1" s="74">
      <c r="J811" s="20" t="n"/>
      <c r="S811" s="13" t="n"/>
      <c r="Z811" s="13" t="n"/>
    </row>
    <row r="812" ht="15.75" customHeight="1" s="74">
      <c r="J812" s="20" t="n"/>
      <c r="S812" s="13" t="n"/>
      <c r="Z812" s="13" t="n"/>
    </row>
    <row r="813" ht="15.75" customHeight="1" s="74">
      <c r="J813" s="20" t="n"/>
      <c r="S813" s="13" t="n"/>
      <c r="Z813" s="13" t="n"/>
    </row>
    <row r="814" ht="15.75" customHeight="1" s="74">
      <c r="J814" s="20" t="n"/>
      <c r="S814" s="13" t="n"/>
      <c r="Z814" s="13" t="n"/>
    </row>
    <row r="815" ht="15.75" customHeight="1" s="74">
      <c r="J815" s="20" t="n"/>
      <c r="S815" s="13" t="n"/>
      <c r="Z815" s="13" t="n"/>
    </row>
    <row r="816" ht="15.75" customHeight="1" s="74">
      <c r="J816" s="20" t="n"/>
      <c r="S816" s="13" t="n"/>
      <c r="Z816" s="13" t="n"/>
    </row>
    <row r="817" ht="15.75" customHeight="1" s="74">
      <c r="J817" s="20" t="n"/>
      <c r="S817" s="13" t="n"/>
      <c r="Z817" s="13" t="n"/>
    </row>
    <row r="818" ht="15.75" customHeight="1" s="74">
      <c r="J818" s="20" t="n"/>
      <c r="S818" s="13" t="n"/>
      <c r="Z818" s="13" t="n"/>
    </row>
    <row r="819" ht="15.75" customHeight="1" s="74">
      <c r="J819" s="20" t="n"/>
      <c r="S819" s="13" t="n"/>
      <c r="Z819" s="13" t="n"/>
    </row>
    <row r="820" ht="15.75" customHeight="1" s="74">
      <c r="J820" s="20" t="n"/>
      <c r="S820" s="13" t="n"/>
      <c r="Z820" s="13" t="n"/>
    </row>
    <row r="821" ht="15.75" customHeight="1" s="74">
      <c r="J821" s="20" t="n"/>
      <c r="S821" s="13" t="n"/>
      <c r="Z821" s="13" t="n"/>
    </row>
    <row r="822" ht="15.75" customHeight="1" s="74">
      <c r="J822" s="20" t="n"/>
      <c r="S822" s="13" t="n"/>
      <c r="Z822" s="13" t="n"/>
    </row>
    <row r="823" ht="15.75" customHeight="1" s="74">
      <c r="J823" s="20" t="n"/>
      <c r="S823" s="13" t="n"/>
      <c r="Z823" s="13" t="n"/>
    </row>
    <row r="824" ht="15.75" customHeight="1" s="74">
      <c r="J824" s="20" t="n"/>
      <c r="S824" s="13" t="n"/>
      <c r="Z824" s="13" t="n"/>
    </row>
    <row r="825" ht="15.75" customHeight="1" s="74">
      <c r="J825" s="20" t="n"/>
      <c r="S825" s="13" t="n"/>
      <c r="Z825" s="13" t="n"/>
    </row>
    <row r="826" ht="15.75" customHeight="1" s="74">
      <c r="J826" s="20" t="n"/>
      <c r="S826" s="13" t="n"/>
      <c r="Z826" s="13" t="n"/>
    </row>
    <row r="827" ht="15.75" customHeight="1" s="74">
      <c r="J827" s="20" t="n"/>
      <c r="S827" s="13" t="n"/>
      <c r="Z827" s="13" t="n"/>
    </row>
    <row r="828" ht="15.75" customHeight="1" s="74">
      <c r="J828" s="20" t="n"/>
      <c r="S828" s="13" t="n"/>
      <c r="Z828" s="13" t="n"/>
    </row>
    <row r="829" ht="15.75" customHeight="1" s="74">
      <c r="J829" s="20" t="n"/>
      <c r="S829" s="13" t="n"/>
      <c r="Z829" s="13" t="n"/>
    </row>
    <row r="830" ht="15.75" customHeight="1" s="74">
      <c r="J830" s="20" t="n"/>
      <c r="S830" s="13" t="n"/>
      <c r="Z830" s="13" t="n"/>
    </row>
    <row r="831" ht="15.75" customHeight="1" s="74">
      <c r="J831" s="20" t="n"/>
      <c r="S831" s="13" t="n"/>
      <c r="Z831" s="13" t="n"/>
    </row>
    <row r="832" ht="15.75" customHeight="1" s="74">
      <c r="J832" s="20" t="n"/>
      <c r="S832" s="13" t="n"/>
      <c r="Z832" s="13" t="n"/>
    </row>
    <row r="833" ht="15.75" customHeight="1" s="74">
      <c r="J833" s="20" t="n"/>
      <c r="S833" s="13" t="n"/>
      <c r="Z833" s="13" t="n"/>
    </row>
    <row r="834" ht="15.75" customHeight="1" s="74">
      <c r="J834" s="20" t="n"/>
      <c r="S834" s="13" t="n"/>
      <c r="Z834" s="13" t="n"/>
    </row>
    <row r="835" ht="15.75" customHeight="1" s="74">
      <c r="J835" s="20" t="n"/>
      <c r="S835" s="13" t="n"/>
      <c r="Z835" s="13" t="n"/>
    </row>
    <row r="836" ht="15.75" customHeight="1" s="74">
      <c r="J836" s="20" t="n"/>
      <c r="S836" s="13" t="n"/>
      <c r="Z836" s="13" t="n"/>
    </row>
    <row r="837" ht="15.75" customHeight="1" s="74">
      <c r="J837" s="20" t="n"/>
      <c r="S837" s="13" t="n"/>
      <c r="Z837" s="13" t="n"/>
    </row>
    <row r="838" ht="15.75" customHeight="1" s="74">
      <c r="J838" s="20" t="n"/>
      <c r="S838" s="13" t="n"/>
      <c r="Z838" s="13" t="n"/>
    </row>
    <row r="839" ht="15.75" customHeight="1" s="74">
      <c r="J839" s="20" t="n"/>
      <c r="S839" s="13" t="n"/>
      <c r="Z839" s="13" t="n"/>
    </row>
    <row r="840" ht="15.75" customHeight="1" s="74">
      <c r="J840" s="20" t="n"/>
      <c r="S840" s="13" t="n"/>
      <c r="Z840" s="13" t="n"/>
    </row>
    <row r="841" ht="15.75" customHeight="1" s="74">
      <c r="J841" s="20" t="n"/>
      <c r="S841" s="13" t="n"/>
      <c r="Z841" s="13" t="n"/>
    </row>
    <row r="842" ht="15.75" customHeight="1" s="74">
      <c r="J842" s="20" t="n"/>
      <c r="S842" s="13" t="n"/>
      <c r="Z842" s="13" t="n"/>
    </row>
    <row r="843" ht="15.75" customHeight="1" s="74">
      <c r="J843" s="20" t="n"/>
      <c r="S843" s="13" t="n"/>
      <c r="Z843" s="13" t="n"/>
    </row>
    <row r="844" ht="15.75" customHeight="1" s="74">
      <c r="J844" s="20" t="n"/>
      <c r="S844" s="13" t="n"/>
      <c r="Z844" s="13" t="n"/>
    </row>
    <row r="845" ht="15.75" customHeight="1" s="74">
      <c r="J845" s="20" t="n"/>
      <c r="S845" s="13" t="n"/>
      <c r="Z845" s="13" t="n"/>
    </row>
    <row r="846" ht="15.75" customHeight="1" s="74">
      <c r="J846" s="20" t="n"/>
      <c r="S846" s="13" t="n"/>
      <c r="Z846" s="13" t="n"/>
    </row>
    <row r="847" ht="15.75" customHeight="1" s="74">
      <c r="J847" s="20" t="n"/>
      <c r="S847" s="13" t="n"/>
      <c r="Z847" s="13" t="n"/>
    </row>
    <row r="848" ht="15.75" customHeight="1" s="74">
      <c r="J848" s="20" t="n"/>
      <c r="S848" s="13" t="n"/>
      <c r="Z848" s="13" t="n"/>
    </row>
    <row r="849" ht="15.75" customHeight="1" s="74">
      <c r="J849" s="20" t="n"/>
      <c r="S849" s="13" t="n"/>
      <c r="Z849" s="13" t="n"/>
    </row>
    <row r="850" ht="15.75" customHeight="1" s="74">
      <c r="J850" s="20" t="n"/>
      <c r="S850" s="13" t="n"/>
      <c r="Z850" s="13" t="n"/>
    </row>
    <row r="851" ht="15.75" customHeight="1" s="74">
      <c r="J851" s="20" t="n"/>
      <c r="S851" s="13" t="n"/>
      <c r="Z851" s="13" t="n"/>
    </row>
    <row r="852" ht="15.75" customHeight="1" s="74">
      <c r="J852" s="20" t="n"/>
      <c r="S852" s="13" t="n"/>
      <c r="Z852" s="13" t="n"/>
    </row>
    <row r="853" ht="15.75" customHeight="1" s="74">
      <c r="J853" s="20" t="n"/>
      <c r="S853" s="13" t="n"/>
      <c r="Z853" s="13" t="n"/>
    </row>
    <row r="854" ht="15.75" customHeight="1" s="74">
      <c r="J854" s="20" t="n"/>
      <c r="S854" s="13" t="n"/>
      <c r="Z854" s="13" t="n"/>
    </row>
    <row r="855" ht="15.75" customHeight="1" s="74">
      <c r="J855" s="20" t="n"/>
      <c r="S855" s="13" t="n"/>
      <c r="Z855" s="13" t="n"/>
    </row>
    <row r="856" ht="15.75" customHeight="1" s="74">
      <c r="J856" s="20" t="n"/>
      <c r="S856" s="13" t="n"/>
      <c r="Z856" s="13" t="n"/>
    </row>
    <row r="857" ht="15.75" customHeight="1" s="74">
      <c r="J857" s="20" t="n"/>
      <c r="S857" s="13" t="n"/>
      <c r="Z857" s="13" t="n"/>
    </row>
    <row r="858" ht="15.75" customHeight="1" s="74">
      <c r="J858" s="20" t="n"/>
      <c r="S858" s="13" t="n"/>
      <c r="Z858" s="13" t="n"/>
    </row>
    <row r="859" ht="15.75" customHeight="1" s="74">
      <c r="J859" s="20" t="n"/>
      <c r="S859" s="13" t="n"/>
      <c r="Z859" s="13" t="n"/>
    </row>
    <row r="860" ht="15.75" customHeight="1" s="74">
      <c r="J860" s="20" t="n"/>
      <c r="S860" s="13" t="n"/>
      <c r="Z860" s="13" t="n"/>
    </row>
    <row r="861" ht="15.75" customHeight="1" s="74">
      <c r="J861" s="20" t="n"/>
      <c r="S861" s="13" t="n"/>
      <c r="Z861" s="13" t="n"/>
    </row>
    <row r="862" ht="15.75" customHeight="1" s="74">
      <c r="J862" s="20" t="n"/>
      <c r="S862" s="13" t="n"/>
      <c r="Z862" s="13" t="n"/>
    </row>
    <row r="863" ht="15.75" customHeight="1" s="74">
      <c r="J863" s="20" t="n"/>
      <c r="S863" s="13" t="n"/>
      <c r="Z863" s="13" t="n"/>
    </row>
    <row r="864" ht="15.75" customHeight="1" s="74">
      <c r="J864" s="20" t="n"/>
      <c r="S864" s="13" t="n"/>
      <c r="Z864" s="13" t="n"/>
    </row>
    <row r="865" ht="15.75" customHeight="1" s="74">
      <c r="J865" s="20" t="n"/>
      <c r="S865" s="13" t="n"/>
      <c r="Z865" s="13" t="n"/>
    </row>
    <row r="866" ht="15.75" customHeight="1" s="74">
      <c r="J866" s="20" t="n"/>
      <c r="S866" s="13" t="n"/>
      <c r="Z866" s="13" t="n"/>
    </row>
    <row r="867" ht="15.75" customHeight="1" s="74">
      <c r="J867" s="20" t="n"/>
      <c r="S867" s="13" t="n"/>
      <c r="Z867" s="13" t="n"/>
    </row>
    <row r="868" ht="15.75" customHeight="1" s="74">
      <c r="J868" s="20" t="n"/>
      <c r="S868" s="13" t="n"/>
      <c r="Z868" s="13" t="n"/>
    </row>
    <row r="869" ht="15.75" customHeight="1" s="74">
      <c r="J869" s="20" t="n"/>
      <c r="S869" s="13" t="n"/>
      <c r="Z869" s="13" t="n"/>
    </row>
    <row r="870" ht="15.75" customHeight="1" s="74">
      <c r="J870" s="20" t="n"/>
      <c r="S870" s="13" t="n"/>
      <c r="Z870" s="13" t="n"/>
    </row>
    <row r="871" ht="15.75" customHeight="1" s="74">
      <c r="J871" s="20" t="n"/>
      <c r="S871" s="13" t="n"/>
      <c r="Z871" s="13" t="n"/>
    </row>
    <row r="872" ht="15.75" customHeight="1" s="74">
      <c r="J872" s="20" t="n"/>
      <c r="S872" s="13" t="n"/>
      <c r="Z872" s="13" t="n"/>
    </row>
    <row r="873" ht="15.75" customHeight="1" s="74">
      <c r="J873" s="20" t="n"/>
      <c r="S873" s="13" t="n"/>
      <c r="Z873" s="13" t="n"/>
    </row>
    <row r="874" ht="15.75" customHeight="1" s="74">
      <c r="J874" s="20" t="n"/>
      <c r="S874" s="13" t="n"/>
      <c r="Z874" s="13" t="n"/>
    </row>
    <row r="875" ht="15.75" customHeight="1" s="74">
      <c r="J875" s="20" t="n"/>
      <c r="S875" s="13" t="n"/>
      <c r="Z875" s="13" t="n"/>
    </row>
    <row r="876" ht="15.75" customHeight="1" s="74">
      <c r="J876" s="20" t="n"/>
      <c r="S876" s="13" t="n"/>
      <c r="Z876" s="13" t="n"/>
    </row>
    <row r="877" ht="15.75" customHeight="1" s="74">
      <c r="J877" s="20" t="n"/>
      <c r="S877" s="13" t="n"/>
      <c r="Z877" s="13" t="n"/>
    </row>
    <row r="878" ht="15.75" customHeight="1" s="74">
      <c r="J878" s="20" t="n"/>
      <c r="S878" s="13" t="n"/>
      <c r="Z878" s="13" t="n"/>
    </row>
    <row r="879" ht="15.75" customHeight="1" s="74">
      <c r="J879" s="20" t="n"/>
      <c r="S879" s="13" t="n"/>
      <c r="Z879" s="13" t="n"/>
    </row>
    <row r="880" ht="15.75" customHeight="1" s="74">
      <c r="J880" s="20" t="n"/>
      <c r="S880" s="13" t="n"/>
      <c r="Z880" s="13" t="n"/>
    </row>
    <row r="881" ht="15.75" customHeight="1" s="74">
      <c r="J881" s="20" t="n"/>
      <c r="S881" s="13" t="n"/>
      <c r="Z881" s="13" t="n"/>
    </row>
    <row r="882" ht="15.75" customHeight="1" s="74">
      <c r="J882" s="20" t="n"/>
      <c r="S882" s="13" t="n"/>
      <c r="Z882" s="13" t="n"/>
    </row>
    <row r="883" ht="15.75" customHeight="1" s="74">
      <c r="J883" s="20" t="n"/>
      <c r="S883" s="13" t="n"/>
      <c r="Z883" s="13" t="n"/>
    </row>
    <row r="884" ht="15.75" customHeight="1" s="74">
      <c r="J884" s="20" t="n"/>
      <c r="S884" s="13" t="n"/>
      <c r="Z884" s="13" t="n"/>
    </row>
    <row r="885" ht="15.75" customHeight="1" s="74">
      <c r="J885" s="20" t="n"/>
      <c r="S885" s="13" t="n"/>
      <c r="Z885" s="13" t="n"/>
    </row>
    <row r="886" ht="15.75" customHeight="1" s="74">
      <c r="J886" s="20" t="n"/>
      <c r="S886" s="13" t="n"/>
      <c r="Z886" s="13" t="n"/>
    </row>
    <row r="887" ht="15.75" customHeight="1" s="74">
      <c r="J887" s="20" t="n"/>
      <c r="S887" s="13" t="n"/>
      <c r="Z887" s="13" t="n"/>
    </row>
    <row r="888" ht="15.75" customHeight="1" s="74">
      <c r="J888" s="20" t="n"/>
      <c r="S888" s="13" t="n"/>
      <c r="Z888" s="13" t="n"/>
    </row>
    <row r="889" ht="15.75" customHeight="1" s="74">
      <c r="J889" s="20" t="n"/>
      <c r="S889" s="13" t="n"/>
      <c r="Z889" s="13" t="n"/>
    </row>
    <row r="890" ht="15.75" customHeight="1" s="74">
      <c r="J890" s="20" t="n"/>
      <c r="S890" s="13" t="n"/>
      <c r="Z890" s="13" t="n"/>
    </row>
    <row r="891" ht="15.75" customHeight="1" s="74">
      <c r="J891" s="20" t="n"/>
      <c r="S891" s="13" t="n"/>
      <c r="Z891" s="13" t="n"/>
    </row>
    <row r="892" ht="15.75" customHeight="1" s="74">
      <c r="J892" s="20" t="n"/>
      <c r="S892" s="13" t="n"/>
      <c r="Z892" s="13" t="n"/>
    </row>
    <row r="893" ht="15.75" customHeight="1" s="74">
      <c r="J893" s="20" t="n"/>
      <c r="S893" s="13" t="n"/>
      <c r="Z893" s="13" t="n"/>
    </row>
    <row r="894" ht="15.75" customHeight="1" s="74">
      <c r="J894" s="20" t="n"/>
      <c r="S894" s="13" t="n"/>
      <c r="Z894" s="13" t="n"/>
    </row>
    <row r="895" ht="15.75" customHeight="1" s="74">
      <c r="J895" s="20" t="n"/>
      <c r="S895" s="13" t="n"/>
      <c r="Z895" s="13" t="n"/>
    </row>
    <row r="896" ht="15.75" customHeight="1" s="74">
      <c r="J896" s="20" t="n"/>
      <c r="S896" s="13" t="n"/>
      <c r="Z896" s="13" t="n"/>
    </row>
    <row r="897" ht="15.75" customHeight="1" s="74">
      <c r="J897" s="20" t="n"/>
      <c r="S897" s="13" t="n"/>
      <c r="Z897" s="13" t="n"/>
    </row>
    <row r="898" ht="15.75" customHeight="1" s="74">
      <c r="J898" s="20" t="n"/>
      <c r="S898" s="13" t="n"/>
      <c r="Z898" s="13" t="n"/>
    </row>
    <row r="899" ht="15.75" customHeight="1" s="74">
      <c r="J899" s="20" t="n"/>
      <c r="S899" s="13" t="n"/>
      <c r="Z899" s="13" t="n"/>
    </row>
    <row r="900" ht="15.75" customHeight="1" s="74">
      <c r="J900" s="20" t="n"/>
      <c r="S900" s="13" t="n"/>
      <c r="Z900" s="13" t="n"/>
    </row>
    <row r="901" ht="15.75" customHeight="1" s="74">
      <c r="J901" s="20" t="n"/>
      <c r="S901" s="13" t="n"/>
      <c r="Z901" s="13" t="n"/>
    </row>
    <row r="902" ht="15.75" customHeight="1" s="74">
      <c r="J902" s="20" t="n"/>
      <c r="S902" s="13" t="n"/>
      <c r="Z902" s="13" t="n"/>
    </row>
    <row r="903" ht="15.75" customHeight="1" s="74">
      <c r="J903" s="20" t="n"/>
      <c r="S903" s="13" t="n"/>
      <c r="Z903" s="13" t="n"/>
    </row>
    <row r="904" ht="15.75" customHeight="1" s="74">
      <c r="J904" s="20" t="n"/>
      <c r="S904" s="13" t="n"/>
      <c r="Z904" s="13" t="n"/>
    </row>
    <row r="905" ht="15.75" customHeight="1" s="74">
      <c r="J905" s="20" t="n"/>
      <c r="S905" s="13" t="n"/>
      <c r="Z905" s="13" t="n"/>
    </row>
    <row r="906" ht="15.75" customHeight="1" s="74">
      <c r="J906" s="20" t="n"/>
      <c r="S906" s="13" t="n"/>
      <c r="Z906" s="13" t="n"/>
    </row>
    <row r="907" ht="15.75" customHeight="1" s="74">
      <c r="J907" s="20" t="n"/>
      <c r="S907" s="13" t="n"/>
      <c r="Z907" s="13" t="n"/>
    </row>
    <row r="908" ht="15.75" customHeight="1" s="74">
      <c r="J908" s="20" t="n"/>
      <c r="S908" s="13" t="n"/>
      <c r="Z908" s="13" t="n"/>
    </row>
    <row r="909" ht="15.75" customHeight="1" s="74">
      <c r="J909" s="20" t="n"/>
      <c r="S909" s="13" t="n"/>
      <c r="Z909" s="13" t="n"/>
    </row>
    <row r="910" ht="15.75" customHeight="1" s="74">
      <c r="J910" s="20" t="n"/>
      <c r="S910" s="13" t="n"/>
      <c r="Z910" s="13" t="n"/>
    </row>
    <row r="911" ht="15.75" customHeight="1" s="74">
      <c r="J911" s="20" t="n"/>
      <c r="S911" s="13" t="n"/>
      <c r="Z911" s="13" t="n"/>
    </row>
    <row r="912" ht="15.75" customHeight="1" s="74">
      <c r="J912" s="20" t="n"/>
      <c r="S912" s="13" t="n"/>
      <c r="Z912" s="13" t="n"/>
    </row>
    <row r="913" ht="15.75" customHeight="1" s="74">
      <c r="J913" s="20" t="n"/>
      <c r="S913" s="13" t="n"/>
      <c r="Z913" s="13" t="n"/>
    </row>
    <row r="914" ht="15.75" customHeight="1" s="74">
      <c r="J914" s="20" t="n"/>
      <c r="S914" s="13" t="n"/>
      <c r="Z914" s="13" t="n"/>
    </row>
    <row r="915" ht="15.75" customHeight="1" s="74">
      <c r="J915" s="20" t="n"/>
      <c r="S915" s="13" t="n"/>
      <c r="Z915" s="13" t="n"/>
    </row>
    <row r="916" ht="15.75" customHeight="1" s="74">
      <c r="J916" s="20" t="n"/>
      <c r="S916" s="13" t="n"/>
      <c r="Z916" s="13" t="n"/>
    </row>
    <row r="917" ht="15.75" customHeight="1" s="74">
      <c r="J917" s="20" t="n"/>
      <c r="S917" s="13" t="n"/>
      <c r="Z917" s="13" t="n"/>
    </row>
    <row r="918" ht="15.75" customHeight="1" s="74">
      <c r="J918" s="20" t="n"/>
      <c r="S918" s="13" t="n"/>
      <c r="Z918" s="13" t="n"/>
    </row>
    <row r="919" ht="15.75" customHeight="1" s="74">
      <c r="J919" s="20" t="n"/>
      <c r="S919" s="13" t="n"/>
      <c r="Z919" s="13" t="n"/>
    </row>
    <row r="920" ht="15.75" customHeight="1" s="74">
      <c r="J920" s="20" t="n"/>
      <c r="S920" s="13" t="n"/>
      <c r="Z920" s="13" t="n"/>
    </row>
    <row r="921" ht="15.75" customHeight="1" s="74">
      <c r="J921" s="20" t="n"/>
      <c r="S921" s="13" t="n"/>
      <c r="Z921" s="13" t="n"/>
    </row>
    <row r="922" ht="15.75" customHeight="1" s="74">
      <c r="J922" s="20" t="n"/>
      <c r="S922" s="13" t="n"/>
      <c r="Z922" s="13" t="n"/>
    </row>
    <row r="923" ht="15.75" customHeight="1" s="74">
      <c r="J923" s="20" t="n"/>
      <c r="S923" s="13" t="n"/>
      <c r="Z923" s="13" t="n"/>
    </row>
    <row r="924" ht="15.75" customHeight="1" s="74">
      <c r="J924" s="20" t="n"/>
      <c r="S924" s="13" t="n"/>
      <c r="Z924" s="13" t="n"/>
    </row>
    <row r="925" ht="15.75" customHeight="1" s="74">
      <c r="J925" s="20" t="n"/>
      <c r="S925" s="13" t="n"/>
      <c r="Z925" s="13" t="n"/>
    </row>
    <row r="926" ht="15.75" customHeight="1" s="74">
      <c r="J926" s="20" t="n"/>
      <c r="S926" s="13" t="n"/>
      <c r="Z926" s="13" t="n"/>
    </row>
    <row r="927" ht="15.75" customHeight="1" s="74">
      <c r="J927" s="20" t="n"/>
      <c r="S927" s="13" t="n"/>
      <c r="Z927" s="13" t="n"/>
    </row>
    <row r="928" ht="15.75" customHeight="1" s="74">
      <c r="J928" s="20" t="n"/>
      <c r="S928" s="13" t="n"/>
      <c r="Z928" s="13" t="n"/>
    </row>
    <row r="929" ht="15.75" customHeight="1" s="74">
      <c r="J929" s="20" t="n"/>
      <c r="S929" s="13" t="n"/>
      <c r="Z929" s="13" t="n"/>
    </row>
    <row r="930" ht="15.75" customHeight="1" s="74">
      <c r="J930" s="20" t="n"/>
      <c r="S930" s="13" t="n"/>
      <c r="Z930" s="13" t="n"/>
    </row>
    <row r="931" ht="15.75" customHeight="1" s="74">
      <c r="J931" s="20" t="n"/>
      <c r="S931" s="13" t="n"/>
      <c r="Z931" s="13" t="n"/>
    </row>
    <row r="932" ht="15.75" customHeight="1" s="74">
      <c r="J932" s="20" t="n"/>
      <c r="S932" s="13" t="n"/>
      <c r="Z932" s="13" t="n"/>
    </row>
    <row r="933" ht="15.75" customHeight="1" s="74">
      <c r="J933" s="20" t="n"/>
      <c r="S933" s="13" t="n"/>
      <c r="Z933" s="13" t="n"/>
    </row>
    <row r="934" ht="15.75" customHeight="1" s="74">
      <c r="J934" s="20" t="n"/>
      <c r="S934" s="13" t="n"/>
      <c r="Z934" s="13" t="n"/>
    </row>
    <row r="935" ht="15.75" customHeight="1" s="74">
      <c r="J935" s="20" t="n"/>
      <c r="S935" s="13" t="n"/>
      <c r="Z935" s="13" t="n"/>
    </row>
    <row r="936" ht="15.75" customHeight="1" s="74">
      <c r="J936" s="20" t="n"/>
      <c r="S936" s="13" t="n"/>
      <c r="Z936" s="13" t="n"/>
    </row>
    <row r="937" ht="15.75" customHeight="1" s="74">
      <c r="J937" s="20" t="n"/>
      <c r="S937" s="13" t="n"/>
      <c r="Z937" s="13" t="n"/>
    </row>
    <row r="938" ht="15.75" customHeight="1" s="74">
      <c r="J938" s="20" t="n"/>
      <c r="S938" s="13" t="n"/>
      <c r="Z938" s="13" t="n"/>
    </row>
    <row r="939" ht="15.75" customHeight="1" s="74">
      <c r="J939" s="20" t="n"/>
      <c r="S939" s="13" t="n"/>
      <c r="Z939" s="13" t="n"/>
    </row>
    <row r="940" ht="15.75" customHeight="1" s="74">
      <c r="J940" s="20" t="n"/>
      <c r="S940" s="13" t="n"/>
      <c r="Z940" s="13" t="n"/>
    </row>
    <row r="941" ht="15.75" customHeight="1" s="74">
      <c r="J941" s="20" t="n"/>
      <c r="S941" s="13" t="n"/>
      <c r="Z941" s="13" t="n"/>
    </row>
    <row r="942" ht="15.75" customHeight="1" s="74">
      <c r="J942" s="20" t="n"/>
      <c r="S942" s="13" t="n"/>
      <c r="Z942" s="13" t="n"/>
    </row>
    <row r="943" ht="15.75" customHeight="1" s="74">
      <c r="J943" s="20" t="n"/>
      <c r="S943" s="13" t="n"/>
      <c r="Z943" s="13" t="n"/>
    </row>
    <row r="944" ht="15.75" customHeight="1" s="74">
      <c r="J944" s="20" t="n"/>
      <c r="S944" s="13" t="n"/>
      <c r="Z944" s="13" t="n"/>
    </row>
    <row r="945" ht="15.75" customHeight="1" s="74">
      <c r="J945" s="20" t="n"/>
      <c r="S945" s="13" t="n"/>
      <c r="Z945" s="13" t="n"/>
    </row>
    <row r="946" ht="15.75" customHeight="1" s="74">
      <c r="J946" s="20" t="n"/>
      <c r="S946" s="13" t="n"/>
      <c r="Z946" s="13" t="n"/>
    </row>
    <row r="947" ht="15.75" customHeight="1" s="74">
      <c r="J947" s="20" t="n"/>
      <c r="S947" s="13" t="n"/>
      <c r="Z947" s="13" t="n"/>
    </row>
    <row r="948" ht="15.75" customHeight="1" s="74">
      <c r="J948" s="20" t="n"/>
      <c r="S948" s="13" t="n"/>
      <c r="Z948" s="13" t="n"/>
    </row>
    <row r="949" ht="15.75" customHeight="1" s="74">
      <c r="J949" s="20" t="n"/>
      <c r="S949" s="13" t="n"/>
      <c r="Z949" s="13" t="n"/>
    </row>
    <row r="950" ht="15.75" customHeight="1" s="74">
      <c r="J950" s="20" t="n"/>
      <c r="S950" s="13" t="n"/>
      <c r="Z950" s="13" t="n"/>
    </row>
    <row r="951" ht="15.75" customHeight="1" s="74">
      <c r="J951" s="20" t="n"/>
      <c r="S951" s="13" t="n"/>
      <c r="Z951" s="13" t="n"/>
    </row>
    <row r="952" ht="15.75" customHeight="1" s="74">
      <c r="J952" s="20" t="n"/>
      <c r="S952" s="13" t="n"/>
      <c r="Z952" s="13" t="n"/>
    </row>
    <row r="953" ht="15.75" customHeight="1" s="74">
      <c r="J953" s="20" t="n"/>
      <c r="S953" s="13" t="n"/>
      <c r="Z953" s="13" t="n"/>
    </row>
    <row r="954" ht="15.75" customHeight="1" s="74">
      <c r="J954" s="20" t="n"/>
      <c r="S954" s="13" t="n"/>
      <c r="Z954" s="13" t="n"/>
    </row>
    <row r="955" ht="15.75" customHeight="1" s="74">
      <c r="J955" s="20" t="n"/>
      <c r="S955" s="13" t="n"/>
      <c r="Z955" s="13" t="n"/>
    </row>
    <row r="956" ht="15.75" customHeight="1" s="74">
      <c r="J956" s="20" t="n"/>
      <c r="S956" s="13" t="n"/>
      <c r="Z956" s="13" t="n"/>
    </row>
    <row r="957" ht="15.75" customHeight="1" s="74">
      <c r="J957" s="20" t="n"/>
      <c r="S957" s="13" t="n"/>
      <c r="Z957" s="13" t="n"/>
    </row>
    <row r="958" ht="15.75" customHeight="1" s="74">
      <c r="J958" s="20" t="n"/>
      <c r="S958" s="13" t="n"/>
      <c r="Z958" s="13" t="n"/>
    </row>
    <row r="959" ht="15.75" customHeight="1" s="74">
      <c r="J959" s="20" t="n"/>
      <c r="S959" s="13" t="n"/>
      <c r="Z959" s="13" t="n"/>
    </row>
    <row r="960" ht="15.75" customHeight="1" s="74">
      <c r="J960" s="20" t="n"/>
      <c r="S960" s="13" t="n"/>
      <c r="Z960" s="13" t="n"/>
    </row>
    <row r="961" ht="15.75" customHeight="1" s="74">
      <c r="J961" s="20" t="n"/>
      <c r="S961" s="13" t="n"/>
      <c r="Z961" s="13" t="n"/>
    </row>
    <row r="962" ht="15.75" customHeight="1" s="74">
      <c r="J962" s="20" t="n"/>
      <c r="S962" s="13" t="n"/>
      <c r="Z962" s="13" t="n"/>
    </row>
    <row r="963" ht="15.75" customHeight="1" s="74">
      <c r="J963" s="20" t="n"/>
      <c r="S963" s="13" t="n"/>
      <c r="Z963" s="13" t="n"/>
    </row>
    <row r="964" ht="15.75" customHeight="1" s="74">
      <c r="J964" s="20" t="n"/>
      <c r="S964" s="13" t="n"/>
      <c r="Z964" s="13" t="n"/>
    </row>
    <row r="965" ht="15.75" customHeight="1" s="74">
      <c r="J965" s="20" t="n"/>
      <c r="S965" s="13" t="n"/>
      <c r="Z965" s="13" t="n"/>
    </row>
    <row r="966" ht="15.75" customHeight="1" s="74">
      <c r="J966" s="20" t="n"/>
      <c r="S966" s="13" t="n"/>
      <c r="Z966" s="13" t="n"/>
    </row>
    <row r="967" ht="15.75" customHeight="1" s="74">
      <c r="J967" s="20" t="n"/>
      <c r="S967" s="13" t="n"/>
      <c r="Z967" s="13" t="n"/>
    </row>
    <row r="968" ht="15.75" customHeight="1" s="74">
      <c r="J968" s="20" t="n"/>
      <c r="S968" s="13" t="n"/>
      <c r="Z968" s="13" t="n"/>
    </row>
    <row r="969" ht="15.75" customHeight="1" s="74">
      <c r="J969" s="20" t="n"/>
      <c r="S969" s="13" t="n"/>
      <c r="Z969" s="13" t="n"/>
    </row>
    <row r="970" ht="15.75" customHeight="1" s="74">
      <c r="J970" s="20" t="n"/>
      <c r="S970" s="13" t="n"/>
      <c r="Z970" s="13" t="n"/>
    </row>
    <row r="971" ht="15.75" customHeight="1" s="74">
      <c r="J971" s="20" t="n"/>
      <c r="S971" s="13" t="n"/>
      <c r="Z971" s="13" t="n"/>
    </row>
    <row r="972" ht="15.75" customHeight="1" s="74">
      <c r="J972" s="20" t="n"/>
      <c r="S972" s="13" t="n"/>
      <c r="Z972" s="13" t="n"/>
    </row>
    <row r="973" ht="15.75" customHeight="1" s="74">
      <c r="J973" s="20" t="n"/>
      <c r="S973" s="13" t="n"/>
      <c r="Z973" s="13" t="n"/>
    </row>
    <row r="974" ht="15.75" customHeight="1" s="74">
      <c r="J974" s="20" t="n"/>
      <c r="S974" s="13" t="n"/>
      <c r="Z974" s="13" t="n"/>
    </row>
    <row r="975" ht="15.75" customHeight="1" s="74">
      <c r="J975" s="20" t="n"/>
      <c r="S975" s="13" t="n"/>
      <c r="Z975" s="13" t="n"/>
    </row>
    <row r="976" ht="15.75" customHeight="1" s="74">
      <c r="J976" s="20" t="n"/>
      <c r="S976" s="13" t="n"/>
      <c r="Z976" s="13" t="n"/>
    </row>
    <row r="977" ht="15.75" customHeight="1" s="74">
      <c r="J977" s="20" t="n"/>
      <c r="S977" s="13" t="n"/>
      <c r="Z977" s="13" t="n"/>
    </row>
    <row r="978" ht="15.75" customHeight="1" s="74">
      <c r="J978" s="20" t="n"/>
      <c r="S978" s="13" t="n"/>
      <c r="Z978" s="13" t="n"/>
    </row>
    <row r="979" ht="15.75" customHeight="1" s="74">
      <c r="J979" s="20" t="n"/>
      <c r="S979" s="13" t="n"/>
      <c r="Z979" s="13" t="n"/>
    </row>
    <row r="980" ht="15.75" customHeight="1" s="74">
      <c r="J980" s="20" t="n"/>
      <c r="S980" s="13" t="n"/>
      <c r="Z980" s="13" t="n"/>
    </row>
    <row r="981" ht="15.75" customHeight="1" s="74">
      <c r="J981" s="20" t="n"/>
      <c r="S981" s="13" t="n"/>
      <c r="Z981" s="13" t="n"/>
    </row>
    <row r="982" ht="15.75" customHeight="1" s="74">
      <c r="J982" s="20" t="n"/>
      <c r="S982" s="13" t="n"/>
      <c r="Z982" s="13" t="n"/>
    </row>
    <row r="983" ht="15.75" customHeight="1" s="74">
      <c r="J983" s="20" t="n"/>
      <c r="S983" s="13" t="n"/>
      <c r="Z983" s="13" t="n"/>
    </row>
    <row r="984" ht="15.75" customHeight="1" s="74">
      <c r="J984" s="20" t="n"/>
      <c r="S984" s="13" t="n"/>
      <c r="Z984" s="13" t="n"/>
    </row>
    <row r="985" ht="15.75" customHeight="1" s="74">
      <c r="J985" s="20" t="n"/>
      <c r="S985" s="13" t="n"/>
      <c r="Z985" s="13" t="n"/>
    </row>
    <row r="986" ht="15.75" customHeight="1" s="74">
      <c r="J986" s="20" t="n"/>
      <c r="S986" s="13" t="n"/>
      <c r="Z986" s="13" t="n"/>
    </row>
    <row r="987" ht="15.75" customHeight="1" s="74">
      <c r="J987" s="20" t="n"/>
      <c r="S987" s="13" t="n"/>
      <c r="Z987" s="13" t="n"/>
    </row>
    <row r="988" ht="15.75" customHeight="1" s="74">
      <c r="J988" s="20" t="n"/>
      <c r="S988" s="13" t="n"/>
      <c r="Z988" s="13" t="n"/>
    </row>
    <row r="989" ht="15.75" customHeight="1" s="74">
      <c r="J989" s="20" t="n"/>
      <c r="S989" s="13" t="n"/>
      <c r="Z989" s="13" t="n"/>
    </row>
    <row r="990" ht="15.75" customHeight="1" s="74">
      <c r="J990" s="20" t="n"/>
      <c r="S990" s="13" t="n"/>
      <c r="Z990" s="13" t="n"/>
    </row>
    <row r="991" ht="15.75" customHeight="1" s="74">
      <c r="J991" s="20" t="n"/>
      <c r="S991" s="13" t="n"/>
      <c r="Z991" s="13" t="n"/>
    </row>
    <row r="992" ht="15.75" customHeight="1" s="74">
      <c r="J992" s="20" t="n"/>
      <c r="S992" s="13" t="n"/>
      <c r="Z992" s="13" t="n"/>
    </row>
    <row r="993" ht="15.75" customHeight="1" s="74">
      <c r="J993" s="20" t="n"/>
      <c r="S993" s="13" t="n"/>
      <c r="Z993" s="13" t="n"/>
    </row>
    <row r="994" ht="15.75" customHeight="1" s="74">
      <c r="J994" s="20" t="n"/>
      <c r="S994" s="13" t="n"/>
      <c r="Z994" s="13" t="n"/>
    </row>
    <row r="995" ht="15.75" customHeight="1" s="74">
      <c r="J995" s="20" t="n"/>
      <c r="S995" s="13" t="n"/>
      <c r="Z995" s="13" t="n"/>
    </row>
    <row r="996" ht="15.75" customHeight="1" s="74">
      <c r="J996" s="20" t="n"/>
      <c r="S996" s="13" t="n"/>
      <c r="Z996" s="13" t="n"/>
    </row>
    <row r="997" ht="15.75" customHeight="1" s="74">
      <c r="J997" s="20" t="n"/>
      <c r="S997" s="13" t="n"/>
      <c r="Z997" s="13" t="n"/>
    </row>
    <row r="998" ht="15.75" customHeight="1" s="74">
      <c r="J998" s="20" t="n"/>
      <c r="S998" s="13" t="n"/>
      <c r="Z998" s="13" t="n"/>
    </row>
    <row r="999" ht="15.75" customHeight="1" s="74">
      <c r="J999" s="20" t="n"/>
      <c r="S999" s="13" t="n"/>
      <c r="Z999" s="13" t="n"/>
    </row>
  </sheetData>
  <autoFilter ref="$A$1:$AA$999"/>
  <dataValidations count="2">
    <dataValidation sqref="I2:I39 I41:I400" showDropDown="1" showInputMessage="0" showErrorMessage="1" allowBlank="1" type="list">
      <formula1>"Hours,Days,FTE"</formula1>
    </dataValidation>
    <dataValidation sqref="K2:K39 K41:K400" showDropDown="1" showInputMessage="0" showErrorMessage="1" allowBlank="1" type="list">
      <formula1>"Low,Medium,High"</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0" summaryRight="0"/>
    <pageSetUpPr/>
  </sheetPr>
  <dimension ref="A1:I284"/>
  <sheetViews>
    <sheetView workbookViewId="0">
      <selection activeCell="A1" sqref="A1"/>
    </sheetView>
  </sheetViews>
  <sheetFormatPr baseColWidth="8" defaultColWidth="14.43" defaultRowHeight="15" customHeight="1"/>
  <cols>
    <col width="32.43" customWidth="1" style="74" min="1" max="1"/>
    <col width="52.57" customWidth="1" style="74" min="2" max="2"/>
    <col width="57.14" customWidth="1" style="74" min="3" max="3"/>
    <col width="67.29000000000001" customWidth="1" style="74" min="4" max="4"/>
    <col width="119.71" customWidth="1" style="74" min="5" max="5"/>
    <col width="34.14" customWidth="1" style="74" min="6" max="7"/>
    <col width="17" customWidth="1" style="74" min="8" max="8"/>
    <col width="15.29" customWidth="1" style="74" min="9" max="9"/>
  </cols>
  <sheetData>
    <row r="1">
      <c r="A1" s="21" t="inlineStr">
        <is>
          <t>Phase</t>
        </is>
      </c>
      <c r="B1" s="21" t="inlineStr">
        <is>
          <t>Activity / Milestone</t>
        </is>
      </c>
      <c r="C1" s="21" t="inlineStr">
        <is>
          <t>Subtask</t>
        </is>
      </c>
      <c r="D1" s="21" t="inlineStr">
        <is>
          <t>Deliverable</t>
        </is>
      </c>
      <c r="E1" s="21" t="inlineStr">
        <is>
          <t>Deliverable Description</t>
        </is>
      </c>
      <c r="F1" s="21" t="inlineStr">
        <is>
          <t>Knapsack Role Description</t>
        </is>
      </c>
      <c r="G1" s="21" t="inlineStr">
        <is>
          <t>Accountable Party</t>
        </is>
      </c>
      <c r="H1" s="21" t="inlineStr">
        <is>
          <t>Role</t>
        </is>
      </c>
      <c r="I1" s="21" t="inlineStr">
        <is>
          <t>Timeline (Weeks)</t>
        </is>
      </c>
    </row>
    <row r="2">
      <c r="A2" s="22" t="inlineStr">
        <is>
          <t>Implementation + Onboarding</t>
        </is>
      </c>
      <c r="B2" s="22" t="inlineStr">
        <is>
          <t>Stakeholder Alignment Workshops</t>
        </is>
      </c>
      <c r="C2" s="22" t="inlineStr">
        <is>
          <t>Identify executive and operational stakeholders</t>
        </is>
      </c>
      <c r="D2" s="22" t="n"/>
      <c r="E2" s="22" t="n"/>
      <c r="F2" s="22" t="inlineStr">
        <is>
          <t>CX Partner - Change Management SME</t>
        </is>
      </c>
      <c r="G2" s="22" t="inlineStr">
        <is>
          <t>Adobe</t>
        </is>
      </c>
      <c r="H2" s="22" t="inlineStr">
        <is>
          <t>CX Partner</t>
        </is>
      </c>
      <c r="I2" s="22" t="inlineStr">
        <is>
          <t>1–2</t>
        </is>
      </c>
    </row>
    <row r="3">
      <c r="A3" s="22" t="inlineStr">
        <is>
          <t>Implementation + Onboarding</t>
        </is>
      </c>
      <c r="B3" s="22" t="inlineStr">
        <is>
          <t>Stakeholder Alignment Workshops</t>
        </is>
      </c>
      <c r="C3" s="22" t="inlineStr">
        <is>
          <t>Conduct alignment workshops and capture insights</t>
        </is>
      </c>
      <c r="D3" s="22" t="n"/>
      <c r="E3" s="22" t="n"/>
      <c r="F3" s="22" t="inlineStr">
        <is>
          <t>CX Partner - Change Management SME</t>
        </is>
      </c>
      <c r="G3" s="22" t="inlineStr">
        <is>
          <t>Adobe</t>
        </is>
      </c>
      <c r="H3" s="22" t="inlineStr">
        <is>
          <t>CX Partner</t>
        </is>
      </c>
      <c r="I3" s="22" t="inlineStr">
        <is>
          <t>1–2</t>
        </is>
      </c>
    </row>
    <row r="4">
      <c r="A4" s="22" t="inlineStr">
        <is>
          <t>Implementation + Onboarding</t>
        </is>
      </c>
      <c r="B4" s="22" t="inlineStr">
        <is>
          <t>Stakeholder Alignment Workshops</t>
        </is>
      </c>
      <c r="C4" s="22" t="inlineStr">
        <is>
          <t>Develop stakeholder map and influence matrix</t>
        </is>
      </c>
      <c r="D4" s="22" t="n"/>
      <c r="E4" s="22" t="n"/>
      <c r="F4" s="22" t="inlineStr">
        <is>
          <t>CX Partner - Change Management SME</t>
        </is>
      </c>
      <c r="G4" s="22" t="inlineStr">
        <is>
          <t>Adobe</t>
        </is>
      </c>
      <c r="H4" s="22" t="inlineStr">
        <is>
          <t>CX Partner</t>
        </is>
      </c>
      <c r="I4" s="22" t="inlineStr">
        <is>
          <t>1–2</t>
        </is>
      </c>
    </row>
    <row r="5">
      <c r="A5" s="22" t="inlineStr">
        <is>
          <t>Implementation + Onboarding</t>
        </is>
      </c>
      <c r="B5" s="22" t="inlineStr">
        <is>
          <t>Stakeholder Alignment Workshops</t>
        </is>
      </c>
      <c r="C5" s="22" t="inlineStr">
        <is>
          <t>Draft communication strategy and feedback cadence</t>
        </is>
      </c>
      <c r="D5" s="22" t="n"/>
      <c r="E5" s="22" t="n"/>
      <c r="F5" s="22" t="inlineStr">
        <is>
          <t>CX Partner - Change Management SME</t>
        </is>
      </c>
      <c r="G5" s="22" t="inlineStr">
        <is>
          <t>Adobe</t>
        </is>
      </c>
      <c r="H5" s="22" t="inlineStr">
        <is>
          <t>CX Partner</t>
        </is>
      </c>
      <c r="I5" s="22" t="inlineStr">
        <is>
          <t>1–2</t>
        </is>
      </c>
    </row>
    <row r="6">
      <c r="A6" s="22" t="inlineStr">
        <is>
          <t>Implementation + Onboarding</t>
        </is>
      </c>
      <c r="B6" s="22" t="inlineStr">
        <is>
          <t>Stakeholder Alignment Workshops</t>
        </is>
      </c>
      <c r="C6" s="22" t="inlineStr">
        <is>
          <t>Review and sign off communication plan with Steering Committee</t>
        </is>
      </c>
      <c r="D6" s="22" t="inlineStr">
        <is>
          <t>Stakeholder Map, Communication Strategy Draft</t>
        </is>
      </c>
      <c r="E6" s="22" t="inlineStr">
        <is>
          <t>Ensure executive and stakeholder alignment before kickoff.</t>
        </is>
      </c>
      <c r="F6" s="22" t="inlineStr">
        <is>
          <t>CX Partner - Change Management SME</t>
        </is>
      </c>
      <c r="G6" s="22" t="inlineStr">
        <is>
          <t>Adobe</t>
        </is>
      </c>
      <c r="H6" s="22" t="inlineStr">
        <is>
          <t>CX Partner</t>
        </is>
      </c>
      <c r="I6" s="22" t="inlineStr">
        <is>
          <t>1–2</t>
        </is>
      </c>
    </row>
    <row r="7">
      <c r="A7" s="22" t="inlineStr">
        <is>
          <t>Implementation + Onboarding</t>
        </is>
      </c>
      <c r="B7" s="22" t="inlineStr">
        <is>
          <t>Program management and coordination</t>
        </is>
      </c>
      <c r="C7" s="22" t="inlineStr">
        <is>
          <t>Establish governance tracker and cadence calendar</t>
        </is>
      </c>
      <c r="D7" s="22" t="n"/>
      <c r="E7" s="22" t="n"/>
      <c r="F7" s="22" t="inlineStr">
        <is>
          <t>Project Manager</t>
        </is>
      </c>
      <c r="G7" s="22" t="inlineStr">
        <is>
          <t>Knapsack</t>
        </is>
      </c>
      <c r="H7" s="22" t="inlineStr">
        <is>
          <t>Project Manager</t>
        </is>
      </c>
      <c r="I7" s="22" t="inlineStr">
        <is>
          <t>1–20</t>
        </is>
      </c>
    </row>
    <row r="8">
      <c r="A8" s="22" t="inlineStr">
        <is>
          <t>Implementation + Onboarding</t>
        </is>
      </c>
      <c r="B8" s="22" t="inlineStr">
        <is>
          <t>Program management and coordination</t>
        </is>
      </c>
      <c r="C8" s="22" t="inlineStr">
        <is>
          <t>Schedule weekly syncs and milestone reviews</t>
        </is>
      </c>
      <c r="D8" s="22" t="n"/>
      <c r="E8" s="22" t="n"/>
      <c r="F8" s="22" t="inlineStr">
        <is>
          <t>Project Manager</t>
        </is>
      </c>
      <c r="G8" s="22" t="inlineStr">
        <is>
          <t>Knapsack</t>
        </is>
      </c>
      <c r="H8" s="22" t="inlineStr">
        <is>
          <t>Project Manager</t>
        </is>
      </c>
      <c r="I8" s="22" t="inlineStr">
        <is>
          <t>1–20</t>
        </is>
      </c>
    </row>
    <row r="9">
      <c r="A9" s="22" t="inlineStr">
        <is>
          <t>Implementation + Onboarding</t>
        </is>
      </c>
      <c r="B9" s="22" t="inlineStr">
        <is>
          <t>Program management and coordination</t>
        </is>
      </c>
      <c r="C9" s="22" t="inlineStr">
        <is>
          <t>Maintain RAID log</t>
        </is>
      </c>
      <c r="D9" s="22" t="n"/>
      <c r="E9" s="22" t="n"/>
      <c r="F9" s="22" t="inlineStr">
        <is>
          <t>Project Manager</t>
        </is>
      </c>
      <c r="G9" s="22" t="inlineStr">
        <is>
          <t>Knapsack</t>
        </is>
      </c>
      <c r="H9" s="22" t="inlineStr">
        <is>
          <t>Project Manager</t>
        </is>
      </c>
      <c r="I9" s="22" t="inlineStr">
        <is>
          <t>1–20</t>
        </is>
      </c>
    </row>
    <row r="10">
      <c r="A10" s="22" t="inlineStr">
        <is>
          <t>Implementation + Onboarding</t>
        </is>
      </c>
      <c r="B10" s="22" t="inlineStr">
        <is>
          <t>Program management and coordination</t>
        </is>
      </c>
      <c r="C10" s="22" t="inlineStr">
        <is>
          <t>Prepare Phase 1 exit and readiness report</t>
        </is>
      </c>
      <c r="D10" s="22" t="n"/>
      <c r="E10" s="22" t="n"/>
      <c r="F10" s="22" t="inlineStr">
        <is>
          <t>Project Manager</t>
        </is>
      </c>
      <c r="G10" s="22" t="inlineStr">
        <is>
          <t>Knapsack</t>
        </is>
      </c>
      <c r="H10" s="22" t="inlineStr">
        <is>
          <t>Project Manager</t>
        </is>
      </c>
      <c r="I10" s="22" t="inlineStr">
        <is>
          <t>1–20</t>
        </is>
      </c>
    </row>
    <row r="11">
      <c r="A11" s="22" t="inlineStr">
        <is>
          <t>Implementation + Onboarding</t>
        </is>
      </c>
      <c r="B11" s="22" t="inlineStr">
        <is>
          <t>Program management and coordination</t>
        </is>
      </c>
      <c r="C11" s="22" t="inlineStr">
        <is>
          <t>Present status updates to Adobe Steering Committee</t>
        </is>
      </c>
      <c r="D11" s="22" t="inlineStr">
        <is>
          <t>Project Governance Tracker, Phase 1 Exit Report</t>
        </is>
      </c>
      <c r="E11" s="22" t="inlineStr">
        <is>
          <t>Program coordination, kickoff, and phase review oversight.</t>
        </is>
      </c>
      <c r="F11" s="22" t="inlineStr">
        <is>
          <t>Project Manager</t>
        </is>
      </c>
      <c r="G11" s="22" t="inlineStr">
        <is>
          <t>Knapsack</t>
        </is>
      </c>
      <c r="H11" s="22" t="inlineStr">
        <is>
          <t>Project Manager</t>
        </is>
      </c>
      <c r="I11" s="22" t="inlineStr">
        <is>
          <t>1–20</t>
        </is>
      </c>
    </row>
    <row r="12">
      <c r="A12" s="22" t="inlineStr">
        <is>
          <t>Implementation + Onboarding</t>
        </is>
      </c>
      <c r="B12" s="22" t="inlineStr">
        <is>
          <t>Communication Launch Plan</t>
        </is>
      </c>
      <c r="C12" s="22" t="inlineStr">
        <is>
          <t>Create internal messaging and visual identity kit</t>
        </is>
      </c>
      <c r="D12" s="22" t="n"/>
      <c r="E12" s="22" t="n"/>
      <c r="F12" s="22" t="inlineStr">
        <is>
          <t>CX Partner - Change Management SME</t>
        </is>
      </c>
      <c r="G12" s="22" t="inlineStr">
        <is>
          <t>Adobe</t>
        </is>
      </c>
      <c r="H12" s="22" t="inlineStr">
        <is>
          <t>CX Partner</t>
        </is>
      </c>
      <c r="I12" s="22" t="inlineStr">
        <is>
          <t>3–6</t>
        </is>
      </c>
    </row>
    <row r="13">
      <c r="A13" s="22" t="inlineStr">
        <is>
          <t>Implementation + Onboarding</t>
        </is>
      </c>
      <c r="B13" s="22" t="inlineStr">
        <is>
          <t>Communication Launch Plan</t>
        </is>
      </c>
      <c r="C13" s="22" t="inlineStr">
        <is>
          <t>Develop launch materials (FAQ, deck, announcement)</t>
        </is>
      </c>
      <c r="D13" s="22" t="n"/>
      <c r="E13" s="22" t="n"/>
      <c r="F13" s="22" t="inlineStr">
        <is>
          <t>CX Partner - Change Management SME</t>
        </is>
      </c>
      <c r="G13" s="22" t="inlineStr">
        <is>
          <t>Adobe</t>
        </is>
      </c>
      <c r="H13" s="22" t="inlineStr">
        <is>
          <t>CX Partner</t>
        </is>
      </c>
      <c r="I13" s="22" t="inlineStr">
        <is>
          <t>3–6</t>
        </is>
      </c>
    </row>
    <row r="14">
      <c r="A14" s="22" t="inlineStr">
        <is>
          <t>Implementation + Onboarding</t>
        </is>
      </c>
      <c r="B14" s="22" t="inlineStr">
        <is>
          <t>Communication Launch Plan</t>
        </is>
      </c>
      <c r="C14" s="22" t="inlineStr">
        <is>
          <t>Align with design ops for internal brand tone and channels</t>
        </is>
      </c>
      <c r="D14" s="22" t="n"/>
      <c r="E14" s="22" t="n"/>
      <c r="F14" s="22" t="inlineStr">
        <is>
          <t>CX Partner - Change Management SME</t>
        </is>
      </c>
      <c r="G14" s="22" t="inlineStr">
        <is>
          <t>Adobe</t>
        </is>
      </c>
      <c r="H14" s="22" t="inlineStr">
        <is>
          <t>CX Partner</t>
        </is>
      </c>
      <c r="I14" s="22" t="inlineStr">
        <is>
          <t>3–6</t>
        </is>
      </c>
    </row>
    <row r="15">
      <c r="A15" s="22" t="inlineStr">
        <is>
          <t>Implementation + Onboarding</t>
        </is>
      </c>
      <c r="B15" s="22" t="inlineStr">
        <is>
          <t>Communication Launch Plan</t>
        </is>
      </c>
      <c r="C15" s="22" t="inlineStr">
        <is>
          <t>Distribute campaign via Adobe internal comms</t>
        </is>
      </c>
      <c r="D15" s="22" t="n"/>
      <c r="E15" s="22" t="n"/>
      <c r="F15" s="22" t="inlineStr">
        <is>
          <t>CX Partner - Change Management SME</t>
        </is>
      </c>
      <c r="G15" s="22" t="inlineStr">
        <is>
          <t>Adobe</t>
        </is>
      </c>
      <c r="H15" s="22" t="inlineStr">
        <is>
          <t>CX Partner</t>
        </is>
      </c>
      <c r="I15" s="22" t="inlineStr">
        <is>
          <t>3–6</t>
        </is>
      </c>
    </row>
    <row r="16">
      <c r="A16" s="22" t="inlineStr">
        <is>
          <t>Implementation + Onboarding</t>
        </is>
      </c>
      <c r="B16" s="22" t="inlineStr">
        <is>
          <t>Communication Launch Plan</t>
        </is>
      </c>
      <c r="C16" s="22" t="inlineStr">
        <is>
          <t>Gather feedback and refine messaging</t>
        </is>
      </c>
      <c r="D16" s="22" t="inlineStr">
        <is>
          <t>Internal Communication Plan, Branding Package</t>
        </is>
      </c>
      <c r="E16" s="22" t="inlineStr">
        <is>
          <t>Launch program messaging, goals, and brand identity across teams.</t>
        </is>
      </c>
      <c r="F16" s="22" t="inlineStr">
        <is>
          <t>CX Partner - Change Management SME</t>
        </is>
      </c>
      <c r="G16" s="22" t="inlineStr">
        <is>
          <t>Adobe</t>
        </is>
      </c>
      <c r="H16" s="22" t="inlineStr">
        <is>
          <t>CX Partner</t>
        </is>
      </c>
      <c r="I16" s="22" t="inlineStr">
        <is>
          <t>3–6</t>
        </is>
      </c>
    </row>
    <row r="17">
      <c r="A17" s="22" t="inlineStr">
        <is>
          <t>Implementation + Onboarding</t>
        </is>
      </c>
      <c r="B17" s="22" t="inlineStr">
        <is>
          <t>Preparation</t>
        </is>
      </c>
      <c r="C17" s="22" t="inlineStr">
        <is>
          <t>Conduct environment readiness check</t>
        </is>
      </c>
      <c r="D17" s="22" t="n"/>
      <c r="E17" s="22" t="n"/>
      <c r="F17" s="22" t="inlineStr">
        <is>
          <t>Project Manager</t>
        </is>
      </c>
      <c r="G17" s="22" t="inlineStr">
        <is>
          <t>Knapsack</t>
        </is>
      </c>
      <c r="H17" s="22" t="inlineStr">
        <is>
          <t>Project Manager</t>
        </is>
      </c>
      <c r="I17" s="22" t="inlineStr">
        <is>
          <t>7–10</t>
        </is>
      </c>
    </row>
    <row r="18">
      <c r="A18" s="22" t="inlineStr">
        <is>
          <t>Implementation + Onboarding</t>
        </is>
      </c>
      <c r="B18" s="22" t="inlineStr">
        <is>
          <t>Preparation</t>
        </is>
      </c>
      <c r="C18" s="22" t="inlineStr">
        <is>
          <t>Validate API and endpoint configuration</t>
        </is>
      </c>
      <c r="D18" s="22" t="n"/>
      <c r="E18" s="22" t="n"/>
      <c r="F18" s="22" t="inlineStr">
        <is>
          <t>Project Manager</t>
        </is>
      </c>
      <c r="G18" s="22" t="inlineStr">
        <is>
          <t>Knapsack</t>
        </is>
      </c>
      <c r="H18" s="22" t="inlineStr">
        <is>
          <t>Project Manager</t>
        </is>
      </c>
      <c r="I18" s="22" t="inlineStr">
        <is>
          <t>7–10</t>
        </is>
      </c>
    </row>
    <row r="19">
      <c r="A19" s="22" t="inlineStr">
        <is>
          <t>Implementation + Onboarding</t>
        </is>
      </c>
      <c r="B19" s="22" t="inlineStr">
        <is>
          <t>Preparation</t>
        </is>
      </c>
      <c r="C19" s="22" t="inlineStr">
        <is>
          <t>Verify authentication and permissions access</t>
        </is>
      </c>
      <c r="D19" s="22" t="n"/>
      <c r="E19" s="22" t="n"/>
      <c r="F19" s="22" t="inlineStr">
        <is>
          <t>Project Manager</t>
        </is>
      </c>
      <c r="G19" s="22" t="inlineStr">
        <is>
          <t>Knapsack</t>
        </is>
      </c>
      <c r="H19" s="22" t="inlineStr">
        <is>
          <t>Project Manager</t>
        </is>
      </c>
      <c r="I19" s="22" t="inlineStr">
        <is>
          <t>7–10</t>
        </is>
      </c>
    </row>
    <row r="20">
      <c r="A20" s="22" t="inlineStr">
        <is>
          <t>Implementation + Onboarding</t>
        </is>
      </c>
      <c r="B20" s="22" t="inlineStr">
        <is>
          <t>Preparation</t>
        </is>
      </c>
      <c r="C20" s="22" t="inlineStr">
        <is>
          <t>Confirm hosting and network compliance</t>
        </is>
      </c>
      <c r="D20" s="22" t="n"/>
      <c r="E20" s="22" t="n"/>
      <c r="F20" s="22" t="inlineStr">
        <is>
          <t>Project Manager</t>
        </is>
      </c>
      <c r="G20" s="22" t="inlineStr">
        <is>
          <t>Knapsack</t>
        </is>
      </c>
      <c r="H20" s="22" t="inlineStr">
        <is>
          <t>Project Manager</t>
        </is>
      </c>
      <c r="I20" s="22" t="inlineStr">
        <is>
          <t>7–10</t>
        </is>
      </c>
    </row>
    <row r="21">
      <c r="A21" s="22" t="inlineStr">
        <is>
          <t>Implementation + Onboarding</t>
        </is>
      </c>
      <c r="B21" s="22" t="inlineStr">
        <is>
          <t>Preparation</t>
        </is>
      </c>
      <c r="C21" s="22" t="inlineStr">
        <is>
          <t>Document results in Technical Readiness Checklist</t>
        </is>
      </c>
      <c r="D21" s="22" t="inlineStr">
        <is>
          <t>Technical Readiness Checklist</t>
        </is>
      </c>
      <c r="E21" s="22" t="inlineStr">
        <is>
          <t>Verify infrastructure readiness, environment setup, and permissions.</t>
        </is>
      </c>
      <c r="F21" s="22" t="inlineStr">
        <is>
          <t>Project Manager</t>
        </is>
      </c>
      <c r="G21" s="22" t="inlineStr">
        <is>
          <t>Knapsack</t>
        </is>
      </c>
      <c r="H21" s="22" t="inlineStr">
        <is>
          <t>Project Manager</t>
        </is>
      </c>
      <c r="I21" s="22" t="inlineStr">
        <is>
          <t>7–10</t>
        </is>
      </c>
    </row>
    <row r="22">
      <c r="A22" s="22" t="inlineStr">
        <is>
          <t>Implementation + Onboarding</t>
        </is>
      </c>
      <c r="B22" s="22" t="inlineStr">
        <is>
          <t>Local install support</t>
        </is>
      </c>
      <c r="C22" s="22" t="inlineStr">
        <is>
          <t>Provide installation guide and validation checklist</t>
        </is>
      </c>
      <c r="D22" s="22" t="n"/>
      <c r="E22" s="22" t="n"/>
      <c r="F22" s="22" t="inlineStr">
        <is>
          <t>Senior Solutions Engineer</t>
        </is>
      </c>
      <c r="G22" s="22" t="inlineStr">
        <is>
          <t>Knapsack</t>
        </is>
      </c>
      <c r="H22" s="22" t="inlineStr">
        <is>
          <t>Engineer</t>
        </is>
      </c>
      <c r="I22" s="22" t="inlineStr">
        <is>
          <t>7–10</t>
        </is>
      </c>
    </row>
    <row r="23">
      <c r="A23" s="22" t="inlineStr">
        <is>
          <t>Implementation + Onboarding</t>
        </is>
      </c>
      <c r="B23" s="22" t="inlineStr">
        <is>
          <t>Local install support</t>
        </is>
      </c>
      <c r="C23" s="22" t="inlineStr">
        <is>
          <t>Support local environment configuration</t>
        </is>
      </c>
      <c r="D23" s="22" t="n"/>
      <c r="E23" s="22" t="n"/>
      <c r="F23" s="22" t="inlineStr">
        <is>
          <t>Senior Solutions Engineer</t>
        </is>
      </c>
      <c r="G23" s="22" t="inlineStr">
        <is>
          <t>Knapsack</t>
        </is>
      </c>
      <c r="H23" s="22" t="inlineStr">
        <is>
          <t>Engineer</t>
        </is>
      </c>
      <c r="I23" s="22" t="inlineStr">
        <is>
          <t>7–10</t>
        </is>
      </c>
    </row>
    <row r="24">
      <c r="A24" s="22" t="inlineStr">
        <is>
          <t>Implementation + Onboarding</t>
        </is>
      </c>
      <c r="B24" s="22" t="inlineStr">
        <is>
          <t>Local install support</t>
        </is>
      </c>
      <c r="C24" s="22" t="inlineStr">
        <is>
          <t>Troubleshoot integration issues</t>
        </is>
      </c>
      <c r="D24" s="22" t="n"/>
      <c r="E24" s="22" t="n"/>
      <c r="F24" s="22" t="inlineStr">
        <is>
          <t>Senior Solutions Engineer</t>
        </is>
      </c>
      <c r="G24" s="22" t="inlineStr">
        <is>
          <t>Knapsack</t>
        </is>
      </c>
      <c r="H24" s="22" t="inlineStr">
        <is>
          <t>Engineer</t>
        </is>
      </c>
      <c r="I24" s="22" t="inlineStr">
        <is>
          <t>7–10</t>
        </is>
      </c>
    </row>
    <row r="25">
      <c r="A25" s="22" t="inlineStr">
        <is>
          <t>Implementation + Onboarding</t>
        </is>
      </c>
      <c r="B25" s="22" t="inlineStr">
        <is>
          <t>Local install support</t>
        </is>
      </c>
      <c r="C25" s="22" t="inlineStr">
        <is>
          <t>Validate connectivity with IPE components</t>
        </is>
      </c>
      <c r="D25" s="22" t="n"/>
      <c r="E25" s="22" t="n"/>
      <c r="F25" s="22" t="inlineStr">
        <is>
          <t>Senior Solutions Engineer</t>
        </is>
      </c>
      <c r="G25" s="22" t="inlineStr">
        <is>
          <t>Knapsack</t>
        </is>
      </c>
      <c r="H25" s="22" t="inlineStr">
        <is>
          <t>Engineer</t>
        </is>
      </c>
      <c r="I25" s="22" t="inlineStr">
        <is>
          <t>7–10</t>
        </is>
      </c>
    </row>
    <row r="26">
      <c r="A26" s="22" t="inlineStr">
        <is>
          <t>Implementation + Onboarding</t>
        </is>
      </c>
      <c r="B26" s="22" t="inlineStr">
        <is>
          <t>Local install support</t>
        </is>
      </c>
      <c r="C26" s="22" t="inlineStr">
        <is>
          <t>Log and close install-related tickets</t>
        </is>
      </c>
      <c r="D26" s="22" t="inlineStr">
        <is>
          <t>Installation Validation Report</t>
        </is>
      </c>
      <c r="E26" s="22" t="inlineStr">
        <is>
          <t>Validate local environment setup for Knapsack and IPE components.</t>
        </is>
      </c>
      <c r="F26" s="22" t="inlineStr">
        <is>
          <t>Senior Solutions Engineer</t>
        </is>
      </c>
      <c r="G26" s="22" t="inlineStr">
        <is>
          <t>Knapsack</t>
        </is>
      </c>
      <c r="H26" s="22" t="inlineStr">
        <is>
          <t>Engineer</t>
        </is>
      </c>
      <c r="I26" s="22" t="inlineStr">
        <is>
          <t>7–10</t>
        </is>
      </c>
    </row>
    <row r="27">
      <c r="A27" s="22" t="inlineStr">
        <is>
          <t>Implementation + Onboarding</t>
        </is>
      </c>
      <c r="B27" s="22" t="inlineStr">
        <is>
          <t>Component rendering</t>
        </is>
      </c>
      <c r="C27" s="22" t="inlineStr">
        <is>
          <t>Validate core Spectrum components rendering</t>
        </is>
      </c>
      <c r="D27" s="22" t="n"/>
      <c r="E27" s="22" t="n"/>
      <c r="F27" s="22" t="inlineStr">
        <is>
          <t>Senior Solutions Engineer</t>
        </is>
      </c>
      <c r="G27" s="22" t="inlineStr">
        <is>
          <t>Knapsack</t>
        </is>
      </c>
      <c r="H27" s="22" t="inlineStr">
        <is>
          <t>Engineer</t>
        </is>
      </c>
      <c r="I27" s="22" t="inlineStr">
        <is>
          <t>7–10</t>
        </is>
      </c>
    </row>
    <row r="28">
      <c r="A28" s="22" t="inlineStr">
        <is>
          <t>Implementation + Onboarding</t>
        </is>
      </c>
      <c r="B28" s="22" t="inlineStr">
        <is>
          <t>Component rendering</t>
        </is>
      </c>
      <c r="C28" s="22" t="inlineStr">
        <is>
          <t>Conduct visual and functional QA across environments</t>
        </is>
      </c>
      <c r="D28" s="22" t="n"/>
      <c r="E28" s="22" t="n"/>
      <c r="F28" s="22" t="inlineStr">
        <is>
          <t>Senior Solutions Engineer</t>
        </is>
      </c>
      <c r="G28" s="22" t="inlineStr">
        <is>
          <t>Knapsack</t>
        </is>
      </c>
      <c r="H28" s="22" t="inlineStr">
        <is>
          <t>Engineer</t>
        </is>
      </c>
      <c r="I28" s="22" t="inlineStr">
        <is>
          <t>7–10</t>
        </is>
      </c>
    </row>
    <row r="29">
      <c r="A29" s="22" t="inlineStr">
        <is>
          <t>Implementation + Onboarding</t>
        </is>
      </c>
      <c r="B29" s="22" t="inlineStr">
        <is>
          <t>Component rendering</t>
        </is>
      </c>
      <c r="C29" s="22" t="inlineStr">
        <is>
          <t>Compare results with baseline expectations</t>
        </is>
      </c>
      <c r="D29" s="22" t="n"/>
      <c r="E29" s="22" t="n"/>
      <c r="F29" s="22" t="inlineStr">
        <is>
          <t>Senior Solutions Engineer</t>
        </is>
      </c>
      <c r="G29" s="22" t="inlineStr">
        <is>
          <t>Knapsack</t>
        </is>
      </c>
      <c r="H29" s="22" t="inlineStr">
        <is>
          <t>Engineer</t>
        </is>
      </c>
      <c r="I29" s="22" t="inlineStr">
        <is>
          <t>7–10</t>
        </is>
      </c>
    </row>
    <row r="30">
      <c r="A30" s="22" t="inlineStr">
        <is>
          <t>Implementation + Onboarding</t>
        </is>
      </c>
      <c r="B30" s="22" t="inlineStr">
        <is>
          <t>Component rendering</t>
        </is>
      </c>
      <c r="C30" s="22" t="inlineStr">
        <is>
          <t>Document rendering test summary report</t>
        </is>
      </c>
      <c r="D30" s="22" t="n"/>
      <c r="E30" s="22" t="n"/>
      <c r="F30" s="22" t="inlineStr">
        <is>
          <t>Senior Solutions Engineer</t>
        </is>
      </c>
      <c r="G30" s="22" t="inlineStr">
        <is>
          <t>Knapsack</t>
        </is>
      </c>
      <c r="H30" s="22" t="inlineStr">
        <is>
          <t>Engineer</t>
        </is>
      </c>
      <c r="I30" s="22" t="inlineStr">
        <is>
          <t>7–10</t>
        </is>
      </c>
    </row>
    <row r="31">
      <c r="A31" s="22" t="inlineStr">
        <is>
          <t>Implementation + Onboarding</t>
        </is>
      </c>
      <c r="B31" s="22" t="inlineStr">
        <is>
          <t>Component rendering</t>
        </is>
      </c>
      <c r="C31" s="22" t="inlineStr">
        <is>
          <t>Submit remediation recommendations</t>
        </is>
      </c>
      <c r="D31" s="22" t="inlineStr">
        <is>
          <t>Rendering QA Report</t>
        </is>
      </c>
      <c r="E31" s="22" t="inlineStr">
        <is>
          <t>Validate successful rendering of Spectrum components across environments.</t>
        </is>
      </c>
      <c r="F31" s="22" t="inlineStr">
        <is>
          <t>Senior Solutions Engineer</t>
        </is>
      </c>
      <c r="G31" s="22" t="inlineStr">
        <is>
          <t>Knapsack</t>
        </is>
      </c>
      <c r="H31" s="22" t="inlineStr">
        <is>
          <t>Engineer</t>
        </is>
      </c>
      <c r="I31" s="22" t="inlineStr">
        <is>
          <t>7–10</t>
        </is>
      </c>
    </row>
    <row r="32">
      <c r="A32" s="22" t="inlineStr">
        <is>
          <t>Implementation + Onboarding</t>
        </is>
      </c>
      <c r="B32" s="22" t="inlineStr">
        <is>
          <t>SME support for rendering</t>
        </is>
      </c>
      <c r="C32" s="22" t="inlineStr">
        <is>
          <t>Review component architecture and consistency</t>
        </is>
      </c>
      <c r="D32" s="22" t="n"/>
      <c r="E32" s="22" t="n"/>
      <c r="F32" s="22" t="inlineStr">
        <is>
          <t>Subject Matter Expert</t>
        </is>
      </c>
      <c r="G32" s="22" t="inlineStr">
        <is>
          <t>Knapsack</t>
        </is>
      </c>
      <c r="H32" s="22" t="inlineStr">
        <is>
          <t>SME</t>
        </is>
      </c>
      <c r="I32" s="22" t="inlineStr">
        <is>
          <t>7–10</t>
        </is>
      </c>
    </row>
    <row r="33">
      <c r="A33" s="22" t="inlineStr">
        <is>
          <t>Implementation + Onboarding</t>
        </is>
      </c>
      <c r="B33" s="22" t="inlineStr">
        <is>
          <t>SME support for rendering</t>
        </is>
      </c>
      <c r="C33" s="22" t="inlineStr">
        <is>
          <t>Audit rendering pipeline and dependency mapping</t>
        </is>
      </c>
      <c r="D33" s="22" t="n"/>
      <c r="E33" s="22" t="n"/>
      <c r="F33" s="22" t="inlineStr">
        <is>
          <t>Subject Matter Expert</t>
        </is>
      </c>
      <c r="G33" s="22" t="inlineStr">
        <is>
          <t>Knapsack</t>
        </is>
      </c>
      <c r="H33" s="22" t="inlineStr">
        <is>
          <t>SME</t>
        </is>
      </c>
      <c r="I33" s="22" t="inlineStr">
        <is>
          <t>7–10</t>
        </is>
      </c>
    </row>
    <row r="34">
      <c r="A34" s="22" t="inlineStr">
        <is>
          <t>Implementation + Onboarding</t>
        </is>
      </c>
      <c r="B34" s="22" t="inlineStr">
        <is>
          <t>SME support for rendering</t>
        </is>
      </c>
      <c r="C34" s="22" t="inlineStr">
        <is>
          <t>Validate accessibility compliance</t>
        </is>
      </c>
      <c r="D34" s="22" t="n"/>
      <c r="E34" s="22" t="n"/>
      <c r="F34" s="22" t="inlineStr">
        <is>
          <t>Subject Matter Expert</t>
        </is>
      </c>
      <c r="G34" s="22" t="inlineStr">
        <is>
          <t>Knapsack</t>
        </is>
      </c>
      <c r="H34" s="22" t="inlineStr">
        <is>
          <t>SME</t>
        </is>
      </c>
      <c r="I34" s="22" t="inlineStr">
        <is>
          <t>7–10</t>
        </is>
      </c>
    </row>
    <row r="35">
      <c r="A35" s="22" t="inlineStr">
        <is>
          <t>Implementation + Onboarding</t>
        </is>
      </c>
      <c r="B35" s="22" t="inlineStr">
        <is>
          <t>SME support for rendering</t>
        </is>
      </c>
      <c r="C35" s="22" t="inlineStr">
        <is>
          <t>Provide expert input to engineering team</t>
        </is>
      </c>
      <c r="D35" s="22" t="n"/>
      <c r="E35" s="22" t="n"/>
      <c r="F35" s="22" t="inlineStr">
        <is>
          <t>Subject Matter Expert</t>
        </is>
      </c>
      <c r="G35" s="22" t="inlineStr">
        <is>
          <t>Knapsack</t>
        </is>
      </c>
      <c r="H35" s="22" t="inlineStr">
        <is>
          <t>SME</t>
        </is>
      </c>
      <c r="I35" s="22" t="inlineStr">
        <is>
          <t>7–10</t>
        </is>
      </c>
    </row>
    <row r="36">
      <c r="A36" s="22" t="inlineStr">
        <is>
          <t>Implementation + Onboarding</t>
        </is>
      </c>
      <c r="B36" s="22" t="inlineStr">
        <is>
          <t>SME support for rendering</t>
        </is>
      </c>
      <c r="C36" s="22" t="inlineStr">
        <is>
          <t>Approve Architecture Validation Log</t>
        </is>
      </c>
      <c r="D36" s="22" t="inlineStr">
        <is>
          <t>Architecture Validation Log</t>
        </is>
      </c>
      <c r="E36" s="22" t="inlineStr">
        <is>
          <t>SME oversight of rendering logic and architectural consistency.</t>
        </is>
      </c>
      <c r="F36" s="22" t="inlineStr">
        <is>
          <t>Subject Matter Expert</t>
        </is>
      </c>
      <c r="G36" s="22" t="inlineStr">
        <is>
          <t>Knapsack</t>
        </is>
      </c>
      <c r="H36" s="22" t="inlineStr">
        <is>
          <t>SME</t>
        </is>
      </c>
      <c r="I36" s="22" t="inlineStr">
        <is>
          <t>7–10</t>
        </is>
      </c>
    </row>
    <row r="37">
      <c r="A37" s="22" t="inlineStr">
        <is>
          <t>Implementation + Onboarding</t>
        </is>
      </c>
      <c r="B37" s="22" t="inlineStr">
        <is>
          <t>Deployment support</t>
        </is>
      </c>
      <c r="C37" s="22" t="inlineStr">
        <is>
          <t>Define deployment workflow and CI/CD configuration</t>
        </is>
      </c>
      <c r="D37" s="22" t="n"/>
      <c r="E37" s="22" t="n"/>
      <c r="F37" s="22" t="inlineStr">
        <is>
          <t>Senior Solutions Engineer</t>
        </is>
      </c>
      <c r="G37" s="22" t="inlineStr">
        <is>
          <t>Knapsack</t>
        </is>
      </c>
      <c r="H37" s="22" t="inlineStr">
        <is>
          <t>Engineer</t>
        </is>
      </c>
      <c r="I37" s="22" t="inlineStr">
        <is>
          <t>15–20</t>
        </is>
      </c>
    </row>
    <row r="38">
      <c r="A38" s="22" t="inlineStr">
        <is>
          <t>Implementation + Onboarding</t>
        </is>
      </c>
      <c r="B38" s="22" t="inlineStr">
        <is>
          <t>Deployment support</t>
        </is>
      </c>
      <c r="C38" s="22" t="inlineStr">
        <is>
          <t>Create rollback and versioning process</t>
        </is>
      </c>
      <c r="D38" s="22" t="n"/>
      <c r="E38" s="22" t="n"/>
      <c r="F38" s="22" t="inlineStr">
        <is>
          <t>Senior Solutions Engineer</t>
        </is>
      </c>
      <c r="G38" s="22" t="inlineStr">
        <is>
          <t>Knapsack</t>
        </is>
      </c>
      <c r="H38" s="22" t="inlineStr">
        <is>
          <t>Engineer</t>
        </is>
      </c>
      <c r="I38" s="22" t="inlineStr">
        <is>
          <t>15–20</t>
        </is>
      </c>
    </row>
    <row r="39">
      <c r="A39" s="22" t="inlineStr">
        <is>
          <t>Implementation + Onboarding</t>
        </is>
      </c>
      <c r="B39" s="22" t="inlineStr">
        <is>
          <t>Deployment support</t>
        </is>
      </c>
      <c r="C39" s="22" t="inlineStr">
        <is>
          <t>Run initial deployment test</t>
        </is>
      </c>
      <c r="D39" s="22" t="n"/>
      <c r="E39" s="22" t="n"/>
      <c r="F39" s="22" t="inlineStr">
        <is>
          <t>Senior Solutions Engineer</t>
        </is>
      </c>
      <c r="G39" s="22" t="inlineStr">
        <is>
          <t>Knapsack</t>
        </is>
      </c>
      <c r="H39" s="22" t="inlineStr">
        <is>
          <t>Engineer</t>
        </is>
      </c>
      <c r="I39" s="22" t="inlineStr">
        <is>
          <t>15–20</t>
        </is>
      </c>
    </row>
    <row r="40">
      <c r="A40" s="22" t="inlineStr">
        <is>
          <t>Implementation + Onboarding</t>
        </is>
      </c>
      <c r="B40" s="22" t="inlineStr">
        <is>
          <t>Deployment support</t>
        </is>
      </c>
      <c r="C40" s="22" t="inlineStr">
        <is>
          <t>Record metrics against success criteria</t>
        </is>
      </c>
      <c r="D40" s="22" t="n"/>
      <c r="E40" s="22" t="n"/>
      <c r="F40" s="22" t="inlineStr">
        <is>
          <t>Senior Solutions Engineer</t>
        </is>
      </c>
      <c r="G40" s="22" t="inlineStr">
        <is>
          <t>Knapsack</t>
        </is>
      </c>
      <c r="H40" s="22" t="inlineStr">
        <is>
          <t>Engineer</t>
        </is>
      </c>
      <c r="I40" s="22" t="inlineStr">
        <is>
          <t>15–20</t>
        </is>
      </c>
    </row>
    <row r="41">
      <c r="A41" s="22" t="inlineStr">
        <is>
          <t>Implementation + Onboarding</t>
        </is>
      </c>
      <c r="B41" s="22" t="inlineStr">
        <is>
          <t>Deployment support</t>
        </is>
      </c>
      <c r="C41" s="22" t="inlineStr">
        <is>
          <t>Approve Deployment Plan and Success Metrics</t>
        </is>
      </c>
      <c r="D41" s="22" t="inlineStr">
        <is>
          <t>Deployment Plan + Success Metrics</t>
        </is>
      </c>
      <c r="E41" s="22" t="inlineStr">
        <is>
          <t>Plan and validate deployment pipelines with measurable success criteria.</t>
        </is>
      </c>
      <c r="F41" s="22" t="inlineStr">
        <is>
          <t>Senior Solutions Engineer</t>
        </is>
      </c>
      <c r="G41" s="22" t="inlineStr">
        <is>
          <t>Knapsack</t>
        </is>
      </c>
      <c r="H41" s="22" t="inlineStr">
        <is>
          <t>Engineer</t>
        </is>
      </c>
      <c r="I41" s="22" t="inlineStr">
        <is>
          <t>15–20</t>
        </is>
      </c>
    </row>
    <row r="42">
      <c r="A42" s="22" t="inlineStr">
        <is>
          <t>Scaled Rollout and Adoption</t>
        </is>
      </c>
      <c r="B42" s="22" t="inlineStr">
        <is>
          <t>Program management and Steering Committee coordination</t>
        </is>
      </c>
      <c r="C42" s="22" t="inlineStr">
        <is>
          <t>Conduct bi-weekly stand-ups with stakeholders</t>
        </is>
      </c>
      <c r="D42" s="22" t="n"/>
      <c r="E42" s="22" t="n"/>
      <c r="F42" s="22" t="inlineStr">
        <is>
          <t>Project Manager</t>
        </is>
      </c>
      <c r="G42" s="22" t="inlineStr">
        <is>
          <t>Adobe</t>
        </is>
      </c>
      <c r="H42" s="22" t="inlineStr">
        <is>
          <t>Project Manager</t>
        </is>
      </c>
      <c r="I42" s="22" t="inlineStr">
        <is>
          <t>21–32</t>
        </is>
      </c>
    </row>
    <row r="43">
      <c r="A43" s="22" t="inlineStr">
        <is>
          <t>Scaled Rollout and Adoption</t>
        </is>
      </c>
      <c r="B43" s="22" t="inlineStr">
        <is>
          <t>Program management and Steering Committee coordination</t>
        </is>
      </c>
      <c r="C43" s="22" t="inlineStr">
        <is>
          <t>Prepare monthly summary reports</t>
        </is>
      </c>
      <c r="D43" s="22" t="n"/>
      <c r="E43" s="22" t="n"/>
      <c r="F43" s="22" t="inlineStr">
        <is>
          <t>Project Manager</t>
        </is>
      </c>
      <c r="G43" s="22" t="inlineStr">
        <is>
          <t>Adobe</t>
        </is>
      </c>
      <c r="H43" s="22" t="inlineStr">
        <is>
          <t>Project Manager</t>
        </is>
      </c>
      <c r="I43" s="22" t="inlineStr">
        <is>
          <t>21–32</t>
        </is>
      </c>
    </row>
    <row r="44">
      <c r="A44" s="22" t="inlineStr">
        <is>
          <t>Scaled Rollout and Adoption</t>
        </is>
      </c>
      <c r="B44" s="22" t="inlineStr">
        <is>
          <t>Program management and Steering Committee coordination</t>
        </is>
      </c>
      <c r="C44" s="22" t="inlineStr">
        <is>
          <t>Track progress against milestones</t>
        </is>
      </c>
      <c r="D44" s="22" t="n"/>
      <c r="E44" s="22" t="n"/>
      <c r="F44" s="22" t="inlineStr">
        <is>
          <t>Project Manager</t>
        </is>
      </c>
      <c r="G44" s="22" t="inlineStr">
        <is>
          <t>Adobe</t>
        </is>
      </c>
      <c r="H44" s="22" t="inlineStr">
        <is>
          <t>Project Manager</t>
        </is>
      </c>
      <c r="I44" s="22" t="inlineStr">
        <is>
          <t>21–32</t>
        </is>
      </c>
    </row>
    <row r="45">
      <c r="A45" s="22" t="inlineStr">
        <is>
          <t>Scaled Rollout and Adoption</t>
        </is>
      </c>
      <c r="B45" s="22" t="inlineStr">
        <is>
          <t>Program management and Steering Committee coordination</t>
        </is>
      </c>
      <c r="C45" s="22" t="inlineStr">
        <is>
          <t>Facilitate phase-gate review sessions</t>
        </is>
      </c>
      <c r="D45" s="22" t="n"/>
      <c r="E45" s="22" t="n"/>
      <c r="F45" s="22" t="inlineStr">
        <is>
          <t>Project Manager</t>
        </is>
      </c>
      <c r="G45" s="22" t="inlineStr">
        <is>
          <t>Adobe</t>
        </is>
      </c>
      <c r="H45" s="22" t="inlineStr">
        <is>
          <t>Project Manager</t>
        </is>
      </c>
      <c r="I45" s="22" t="inlineStr">
        <is>
          <t>21–32</t>
        </is>
      </c>
    </row>
    <row r="46">
      <c r="A46" s="22" t="inlineStr">
        <is>
          <t>Scaled Rollout and Adoption</t>
        </is>
      </c>
      <c r="B46" s="22" t="inlineStr">
        <is>
          <t>Program management and Steering Committee coordination</t>
        </is>
      </c>
      <c r="C46" s="22" t="inlineStr">
        <is>
          <t>Update Governance Toolkit documents</t>
        </is>
      </c>
      <c r="D46" s="22" t="inlineStr">
        <is>
          <t>Governance Toolkit + Monthly Summary Reports</t>
        </is>
      </c>
      <c r="E46" s="22" t="inlineStr">
        <is>
          <t>Kickoff, bi-weekly stand-ups, monthly reports, phase gate reviews.</t>
        </is>
      </c>
      <c r="F46" s="22" t="inlineStr">
        <is>
          <t>Project Manager</t>
        </is>
      </c>
      <c r="G46" s="22" t="inlineStr">
        <is>
          <t>Adobe</t>
        </is>
      </c>
      <c r="H46" s="22" t="inlineStr">
        <is>
          <t>Project Manager</t>
        </is>
      </c>
      <c r="I46" s="22" t="inlineStr">
        <is>
          <t>21–32</t>
        </is>
      </c>
    </row>
    <row r="47">
      <c r="A47" s="22" t="inlineStr">
        <is>
          <t>Scaled Rollout and Adoption</t>
        </is>
      </c>
      <c r="B47" s="22" t="inlineStr">
        <is>
          <t>Facilitating and supporting deliverables</t>
        </is>
      </c>
      <c r="C47" s="22" t="inlineStr">
        <is>
          <t>Collect adoption and engagement metrics</t>
        </is>
      </c>
      <c r="D47" s="22" t="n"/>
      <c r="E47" s="22" t="n"/>
      <c r="F47" s="22" t="inlineStr">
        <is>
          <t>CX Partner - Change Management SME</t>
        </is>
      </c>
      <c r="G47" s="22" t="inlineStr">
        <is>
          <t>Adobe</t>
        </is>
      </c>
      <c r="H47" s="22" t="inlineStr">
        <is>
          <t>CX Partner</t>
        </is>
      </c>
      <c r="I47" s="22" t="inlineStr">
        <is>
          <t>21–32</t>
        </is>
      </c>
    </row>
    <row r="48">
      <c r="A48" s="22" t="inlineStr">
        <is>
          <t>Scaled Rollout and Adoption</t>
        </is>
      </c>
      <c r="B48" s="22" t="inlineStr">
        <is>
          <t>Facilitating and supporting deliverables</t>
        </is>
      </c>
      <c r="C48" s="22" t="inlineStr">
        <is>
          <t>Populate dashboard with KPIs</t>
        </is>
      </c>
      <c r="D48" s="22" t="n"/>
      <c r="E48" s="22" t="n"/>
      <c r="F48" s="22" t="inlineStr">
        <is>
          <t>CX Partner - Change Management SME</t>
        </is>
      </c>
      <c r="G48" s="22" t="inlineStr">
        <is>
          <t>Adobe</t>
        </is>
      </c>
      <c r="H48" s="22" t="inlineStr">
        <is>
          <t>CX Partner</t>
        </is>
      </c>
      <c r="I48" s="22" t="inlineStr">
        <is>
          <t>21–32</t>
        </is>
      </c>
    </row>
    <row r="49">
      <c r="A49" s="22" t="inlineStr">
        <is>
          <t>Scaled Rollout and Adoption</t>
        </is>
      </c>
      <c r="B49" s="22" t="inlineStr">
        <is>
          <t>Facilitating and supporting deliverables</t>
        </is>
      </c>
      <c r="C49" s="22" t="inlineStr">
        <is>
          <t>Review metrics with CX Partner and PM</t>
        </is>
      </c>
      <c r="D49" s="22" t="n"/>
      <c r="E49" s="22" t="n"/>
      <c r="F49" s="22" t="inlineStr">
        <is>
          <t>CX Partner - Change Management SME</t>
        </is>
      </c>
      <c r="G49" s="22" t="inlineStr">
        <is>
          <t>Adobe</t>
        </is>
      </c>
      <c r="H49" s="22" t="inlineStr">
        <is>
          <t>CX Partner</t>
        </is>
      </c>
      <c r="I49" s="22" t="inlineStr">
        <is>
          <t>21–32</t>
        </is>
      </c>
    </row>
    <row r="50">
      <c r="A50" s="22" t="inlineStr">
        <is>
          <t>Scaled Rollout and Adoption</t>
        </is>
      </c>
      <c r="B50" s="22" t="inlineStr">
        <is>
          <t>Facilitating and supporting deliverables</t>
        </is>
      </c>
      <c r="C50" s="22" t="inlineStr">
        <is>
          <t>Recommend improvements for lagging metrics</t>
        </is>
      </c>
      <c r="D50" s="22" t="n"/>
      <c r="E50" s="22" t="n"/>
      <c r="F50" s="22" t="inlineStr">
        <is>
          <t>CX Partner - Change Management SME</t>
        </is>
      </c>
      <c r="G50" s="22" t="inlineStr">
        <is>
          <t>Adobe</t>
        </is>
      </c>
      <c r="H50" s="22" t="inlineStr">
        <is>
          <t>CX Partner</t>
        </is>
      </c>
      <c r="I50" s="22" t="inlineStr">
        <is>
          <t>21–32</t>
        </is>
      </c>
    </row>
    <row r="51">
      <c r="A51" s="22" t="inlineStr">
        <is>
          <t>Scaled Rollout and Adoption</t>
        </is>
      </c>
      <c r="B51" s="22" t="inlineStr">
        <is>
          <t>Facilitating and supporting deliverables</t>
        </is>
      </c>
      <c r="C51" s="22" t="inlineStr">
        <is>
          <t>Share monthly change-management insights</t>
        </is>
      </c>
      <c r="D51" s="22" t="inlineStr">
        <is>
          <t>Change Management Dashboard</t>
        </is>
      </c>
      <c r="E51" s="22" t="inlineStr">
        <is>
          <t>Track adoption metrics, stakeholder engagement, and training completion.</t>
        </is>
      </c>
      <c r="F51" s="22" t="inlineStr">
        <is>
          <t>CX Partner - Change Management SME</t>
        </is>
      </c>
      <c r="G51" s="22" t="inlineStr">
        <is>
          <t>Adobe</t>
        </is>
      </c>
      <c r="H51" s="22" t="inlineStr">
        <is>
          <t>CX Partner</t>
        </is>
      </c>
      <c r="I51" s="22" t="inlineStr">
        <is>
          <t>21–32</t>
        </is>
      </c>
    </row>
    <row r="52">
      <c r="A52" s="22" t="inlineStr">
        <is>
          <t>Scaled Rollout and Adoption</t>
        </is>
      </c>
      <c r="B52" s="22" t="inlineStr">
        <is>
          <t>Change Readiness Assessment</t>
        </is>
      </c>
      <c r="C52" s="22" t="inlineStr">
        <is>
          <t>Draft readiness survey and baseline questions</t>
        </is>
      </c>
      <c r="D52" s="22" t="n"/>
      <c r="E52" s="22" t="n"/>
      <c r="F52" s="22" t="inlineStr">
        <is>
          <t>CX Partner - Change Management SME</t>
        </is>
      </c>
      <c r="G52" s="22" t="inlineStr">
        <is>
          <t>Adobe</t>
        </is>
      </c>
      <c r="H52" s="22" t="inlineStr">
        <is>
          <t>CX Partner</t>
        </is>
      </c>
      <c r="I52" s="22" t="inlineStr">
        <is>
          <t>21–24</t>
        </is>
      </c>
    </row>
    <row r="53">
      <c r="A53" s="22" t="inlineStr">
        <is>
          <t>Scaled Rollout and Adoption</t>
        </is>
      </c>
      <c r="B53" s="22" t="inlineStr">
        <is>
          <t>Change Readiness Assessment</t>
        </is>
      </c>
      <c r="C53" s="22" t="inlineStr">
        <is>
          <t>Conduct assessment sessions</t>
        </is>
      </c>
      <c r="D53" s="22" t="n"/>
      <c r="E53" s="22" t="n"/>
      <c r="F53" s="22" t="inlineStr">
        <is>
          <t>CX Partner - Change Management SME</t>
        </is>
      </c>
      <c r="G53" s="22" t="inlineStr">
        <is>
          <t>Adobe</t>
        </is>
      </c>
      <c r="H53" s="22" t="inlineStr">
        <is>
          <t>CX Partner</t>
        </is>
      </c>
      <c r="I53" s="22" t="inlineStr">
        <is>
          <t>21–24</t>
        </is>
      </c>
    </row>
    <row r="54">
      <c r="A54" s="22" t="inlineStr">
        <is>
          <t>Scaled Rollout and Adoption</t>
        </is>
      </c>
      <c r="B54" s="22" t="inlineStr">
        <is>
          <t>Change Readiness Assessment</t>
        </is>
      </c>
      <c r="C54" s="22" t="inlineStr">
        <is>
          <t>Analyze cultural and operational preparedness</t>
        </is>
      </c>
      <c r="D54" s="22" t="n"/>
      <c r="E54" s="22" t="n"/>
      <c r="F54" s="22" t="inlineStr">
        <is>
          <t>CX Partner - Change Management SME</t>
        </is>
      </c>
      <c r="G54" s="22" t="inlineStr">
        <is>
          <t>Adobe</t>
        </is>
      </c>
      <c r="H54" s="22" t="inlineStr">
        <is>
          <t>CX Partner</t>
        </is>
      </c>
      <c r="I54" s="22" t="inlineStr">
        <is>
          <t>21–24</t>
        </is>
      </c>
    </row>
    <row r="55">
      <c r="A55" s="22" t="inlineStr">
        <is>
          <t>Scaled Rollout and Adoption</t>
        </is>
      </c>
      <c r="B55" s="22" t="inlineStr">
        <is>
          <t>Change Readiness Assessment</t>
        </is>
      </c>
      <c r="C55" s="22" t="inlineStr">
        <is>
          <t>Summarize results in Readiness Index</t>
        </is>
      </c>
      <c r="D55" s="22" t="n"/>
      <c r="E55" s="22" t="n"/>
      <c r="F55" s="22" t="inlineStr">
        <is>
          <t>CX Partner - Change Management SME</t>
        </is>
      </c>
      <c r="G55" s="22" t="inlineStr">
        <is>
          <t>Adobe</t>
        </is>
      </c>
      <c r="H55" s="22" t="inlineStr">
        <is>
          <t>CX Partner</t>
        </is>
      </c>
      <c r="I55" s="22" t="inlineStr">
        <is>
          <t>21–24</t>
        </is>
      </c>
    </row>
    <row r="56">
      <c r="A56" s="22" t="inlineStr">
        <is>
          <t>Scaled Rollout and Adoption</t>
        </is>
      </c>
      <c r="B56" s="22" t="inlineStr">
        <is>
          <t>Change Readiness Assessment</t>
        </is>
      </c>
      <c r="C56" s="22" t="inlineStr">
        <is>
          <t>Present findings to leadership</t>
        </is>
      </c>
      <c r="D56" s="22" t="inlineStr">
        <is>
          <t>Readiness Survey, Baseline Adoption Index</t>
        </is>
      </c>
      <c r="E56" s="22" t="inlineStr">
        <is>
          <t>Assess cultural, technical, and operational readiness prior to implementation.</t>
        </is>
      </c>
      <c r="F56" s="22" t="inlineStr">
        <is>
          <t>CX Partner - Change Management SME</t>
        </is>
      </c>
      <c r="G56" s="22" t="inlineStr">
        <is>
          <t>Adobe</t>
        </is>
      </c>
      <c r="H56" s="22" t="inlineStr">
        <is>
          <t>CX Partner</t>
        </is>
      </c>
      <c r="I56" s="22" t="inlineStr">
        <is>
          <t>21–24</t>
        </is>
      </c>
    </row>
    <row r="57">
      <c r="A57" s="22" t="inlineStr">
        <is>
          <t>Scaled Rollout and Adoption</t>
        </is>
      </c>
      <c r="B57" s="22" t="inlineStr">
        <is>
          <t>FDE led Implementation + Architecture + Governance</t>
        </is>
      </c>
      <c r="C57" s="22" t="inlineStr">
        <is>
          <t>Define system-of-systems architecture</t>
        </is>
      </c>
      <c r="D57" s="22" t="n"/>
      <c r="E57" s="22" t="n"/>
      <c r="F57" s="22" t="inlineStr">
        <is>
          <t>Senior Solutions Engineer</t>
        </is>
      </c>
      <c r="G57" s="22" t="inlineStr">
        <is>
          <t>Knapsack</t>
        </is>
      </c>
      <c r="H57" s="22" t="inlineStr">
        <is>
          <t>Engineer</t>
        </is>
      </c>
      <c r="I57" s="22" t="inlineStr">
        <is>
          <t>21–24</t>
        </is>
      </c>
    </row>
    <row r="58">
      <c r="A58" s="22" t="inlineStr">
        <is>
          <t>Scaled Rollout and Adoption</t>
        </is>
      </c>
      <c r="B58" s="22" t="inlineStr">
        <is>
          <t>FDE led Implementation + Architecture + Governance</t>
        </is>
      </c>
      <c r="C58" s="22" t="inlineStr">
        <is>
          <t>Document governance model and accessibility plan</t>
        </is>
      </c>
      <c r="D58" s="22" t="n"/>
      <c r="E58" s="22" t="n"/>
      <c r="F58" s="22" t="inlineStr">
        <is>
          <t>Senior Solutions Engineer</t>
        </is>
      </c>
      <c r="G58" s="22" t="inlineStr">
        <is>
          <t>Knapsack</t>
        </is>
      </c>
      <c r="H58" s="22" t="inlineStr">
        <is>
          <t>Engineer</t>
        </is>
      </c>
      <c r="I58" s="22" t="inlineStr">
        <is>
          <t>21–24</t>
        </is>
      </c>
    </row>
    <row r="59">
      <c r="A59" s="22" t="inlineStr">
        <is>
          <t>Scaled Rollout and Adoption</t>
        </is>
      </c>
      <c r="B59" s="22" t="inlineStr">
        <is>
          <t>FDE led Implementation + Architecture + Governance</t>
        </is>
      </c>
      <c r="C59" s="22" t="inlineStr">
        <is>
          <t>Review architecture with engineering leads</t>
        </is>
      </c>
      <c r="D59" s="22" t="n"/>
      <c r="E59" s="22" t="n"/>
      <c r="F59" s="22" t="inlineStr">
        <is>
          <t>Senior Solutions Engineer</t>
        </is>
      </c>
      <c r="G59" s="22" t="inlineStr">
        <is>
          <t>Knapsack</t>
        </is>
      </c>
      <c r="H59" s="22" t="inlineStr">
        <is>
          <t>Engineer</t>
        </is>
      </c>
      <c r="I59" s="22" t="inlineStr">
        <is>
          <t>21–24</t>
        </is>
      </c>
    </row>
    <row r="60">
      <c r="A60" s="22" t="inlineStr">
        <is>
          <t>Scaled Rollout and Adoption</t>
        </is>
      </c>
      <c r="B60" s="22" t="inlineStr">
        <is>
          <t>FDE led Implementation + Architecture + Governance</t>
        </is>
      </c>
      <c r="C60" s="22" t="inlineStr">
        <is>
          <t>Finalize and publish architecture document</t>
        </is>
      </c>
      <c r="D60" s="22" t="inlineStr">
        <is>
          <t>System of Systems Architecture Document</t>
        </is>
      </c>
      <c r="E60" s="22" t="inlineStr">
        <is>
          <t>Define architecture, component contribution model, accessibility, governance framework.</t>
        </is>
      </c>
      <c r="F60" s="22" t="inlineStr">
        <is>
          <t>Senior Solutions Engineer</t>
        </is>
      </c>
      <c r="G60" s="22" t="inlineStr">
        <is>
          <t>Knapsack</t>
        </is>
      </c>
      <c r="H60" s="22" t="inlineStr">
        <is>
          <t>Engineer</t>
        </is>
      </c>
      <c r="I60" s="22" t="inlineStr">
        <is>
          <t>21–24</t>
        </is>
      </c>
    </row>
    <row r="61">
      <c r="A61" s="22" t="inlineStr">
        <is>
          <t>Scaled Rollout and Adoption</t>
        </is>
      </c>
      <c r="B61" s="22" t="inlineStr">
        <is>
          <t>Stakeholder Interviews/Workshops</t>
        </is>
      </c>
      <c r="C61" s="22" t="inlineStr">
        <is>
          <t>Schedule interviews across departments</t>
        </is>
      </c>
      <c r="D61" s="22" t="n"/>
      <c r="E61" s="22" t="n"/>
      <c r="F61" s="22" t="inlineStr">
        <is>
          <t>Senior Solutions Engineer</t>
        </is>
      </c>
      <c r="G61" s="22" t="inlineStr">
        <is>
          <t>Knapsack</t>
        </is>
      </c>
      <c r="H61" s="22" t="inlineStr">
        <is>
          <t>Engineer</t>
        </is>
      </c>
      <c r="I61" s="22" t="inlineStr">
        <is>
          <t>21–24</t>
        </is>
      </c>
    </row>
    <row r="62">
      <c r="A62" s="22" t="inlineStr">
        <is>
          <t>Scaled Rollout and Adoption</t>
        </is>
      </c>
      <c r="B62" s="22" t="inlineStr">
        <is>
          <t>Stakeholder Interviews/Workshops</t>
        </is>
      </c>
      <c r="C62" s="22" t="inlineStr">
        <is>
          <t>Capture key challenges and opportunities</t>
        </is>
      </c>
      <c r="D62" s="22" t="n"/>
      <c r="E62" s="22" t="n"/>
      <c r="F62" s="22" t="inlineStr">
        <is>
          <t>Senior Solutions Engineer</t>
        </is>
      </c>
      <c r="G62" s="22" t="inlineStr">
        <is>
          <t>Knapsack</t>
        </is>
      </c>
      <c r="H62" s="22" t="inlineStr">
        <is>
          <t>Engineer</t>
        </is>
      </c>
      <c r="I62" s="22" t="inlineStr">
        <is>
          <t>21–24</t>
        </is>
      </c>
    </row>
    <row r="63">
      <c r="A63" s="22" t="inlineStr">
        <is>
          <t>Scaled Rollout and Adoption</t>
        </is>
      </c>
      <c r="B63" s="22" t="inlineStr">
        <is>
          <t>Stakeholder Interviews/Workshops</t>
        </is>
      </c>
      <c r="C63" s="22" t="inlineStr">
        <is>
          <t>Consolidate findings into themes</t>
        </is>
      </c>
      <c r="D63" s="22" t="n"/>
      <c r="E63" s="22" t="n"/>
      <c r="F63" s="22" t="inlineStr">
        <is>
          <t>Senior Solutions Engineer</t>
        </is>
      </c>
      <c r="G63" s="22" t="inlineStr">
        <is>
          <t>Knapsack</t>
        </is>
      </c>
      <c r="H63" s="22" t="inlineStr">
        <is>
          <t>Engineer</t>
        </is>
      </c>
      <c r="I63" s="22" t="inlineStr">
        <is>
          <t>21–24</t>
        </is>
      </c>
    </row>
    <row r="64">
      <c r="A64" s="22" t="inlineStr">
        <is>
          <t>Scaled Rollout and Adoption</t>
        </is>
      </c>
      <c r="B64" s="22" t="inlineStr">
        <is>
          <t>Stakeholder Interviews/Workshops</t>
        </is>
      </c>
      <c r="C64" s="22" t="inlineStr">
        <is>
          <t>Draft recommendations report</t>
        </is>
      </c>
      <c r="D64" s="22" t="n"/>
      <c r="E64" s="22" t="n"/>
      <c r="F64" s="22" t="inlineStr">
        <is>
          <t>Senior Solutions Engineer</t>
        </is>
      </c>
      <c r="G64" s="22" t="inlineStr">
        <is>
          <t>Knapsack</t>
        </is>
      </c>
      <c r="H64" s="22" t="inlineStr">
        <is>
          <t>Engineer</t>
        </is>
      </c>
      <c r="I64" s="22" t="inlineStr">
        <is>
          <t>21–24</t>
        </is>
      </c>
    </row>
    <row r="65">
      <c r="A65" s="22" t="inlineStr">
        <is>
          <t>Scaled Rollout and Adoption</t>
        </is>
      </c>
      <c r="B65" s="22" t="inlineStr">
        <is>
          <t>Stakeholder Interviews/Workshops</t>
        </is>
      </c>
      <c r="C65" s="22" t="inlineStr">
        <is>
          <t>Present Strategic Readout</t>
        </is>
      </c>
      <c r="D65" s="22" t="inlineStr">
        <is>
          <t>Strategic Readout and Recommendations</t>
        </is>
      </c>
      <c r="E65" s="22" t="inlineStr">
        <is>
          <t>Collect stakeholder inputs and align roadmap.</t>
        </is>
      </c>
      <c r="F65" s="22" t="inlineStr">
        <is>
          <t>Senior Solutions Engineer</t>
        </is>
      </c>
      <c r="G65" s="22" t="inlineStr">
        <is>
          <t>Knapsack</t>
        </is>
      </c>
      <c r="H65" s="22" t="inlineStr">
        <is>
          <t>Engineer</t>
        </is>
      </c>
      <c r="I65" s="22" t="inlineStr">
        <is>
          <t>21–24</t>
        </is>
      </c>
    </row>
    <row r="66">
      <c r="A66" s="22" t="inlineStr">
        <is>
          <t>Scaled Rollout and Adoption</t>
        </is>
      </c>
      <c r="B66" s="22" t="inlineStr">
        <is>
          <t>Pilot Enablement &amp; Feedback Loop</t>
        </is>
      </c>
      <c r="C66" s="22" t="inlineStr">
        <is>
          <t>Identify pilot groups and roles</t>
        </is>
      </c>
      <c r="D66" s="22" t="n"/>
      <c r="E66" s="22" t="n"/>
      <c r="F66" s="22" t="inlineStr">
        <is>
          <t>CX Partner - Change Management SME</t>
        </is>
      </c>
      <c r="G66" s="22" t="inlineStr">
        <is>
          <t>Adobe</t>
        </is>
      </c>
      <c r="H66" s="22" t="inlineStr">
        <is>
          <t>CX Partner</t>
        </is>
      </c>
      <c r="I66" s="22" t="inlineStr">
        <is>
          <t>23–26</t>
        </is>
      </c>
    </row>
    <row r="67">
      <c r="A67" s="22" t="inlineStr">
        <is>
          <t>Scaled Rollout and Adoption</t>
        </is>
      </c>
      <c r="B67" s="22" t="inlineStr">
        <is>
          <t>Pilot Enablement &amp; Feedback Loop</t>
        </is>
      </c>
      <c r="C67" s="22" t="inlineStr">
        <is>
          <t>Conduct onboarding sessions</t>
        </is>
      </c>
      <c r="D67" s="22" t="n"/>
      <c r="E67" s="22" t="n"/>
      <c r="F67" s="22" t="inlineStr">
        <is>
          <t>CX Partner - Change Management SME</t>
        </is>
      </c>
      <c r="G67" s="22" t="inlineStr">
        <is>
          <t>Adobe</t>
        </is>
      </c>
      <c r="H67" s="22" t="inlineStr">
        <is>
          <t>CX Partner</t>
        </is>
      </c>
      <c r="I67" s="22" t="inlineStr">
        <is>
          <t>23–26</t>
        </is>
      </c>
    </row>
    <row r="68">
      <c r="A68" s="22" t="inlineStr">
        <is>
          <t>Scaled Rollout and Adoption</t>
        </is>
      </c>
      <c r="B68" s="22" t="inlineStr">
        <is>
          <t>Pilot Enablement &amp; Feedback Loop</t>
        </is>
      </c>
      <c r="C68" s="22" t="inlineStr">
        <is>
          <t>Gather qualitative feedback</t>
        </is>
      </c>
      <c r="D68" s="22" t="n"/>
      <c r="E68" s="22" t="n"/>
      <c r="F68" s="22" t="inlineStr">
        <is>
          <t>CX Partner - Change Management SME</t>
        </is>
      </c>
      <c r="G68" s="22" t="inlineStr">
        <is>
          <t>Adobe</t>
        </is>
      </c>
      <c r="H68" s="22" t="inlineStr">
        <is>
          <t>CX Partner</t>
        </is>
      </c>
      <c r="I68" s="22" t="inlineStr">
        <is>
          <t>23–26</t>
        </is>
      </c>
    </row>
    <row r="69">
      <c r="A69" s="22" t="inlineStr">
        <is>
          <t>Scaled Rollout and Adoption</t>
        </is>
      </c>
      <c r="B69" s="22" t="inlineStr">
        <is>
          <t>Pilot Enablement &amp; Feedback Loop</t>
        </is>
      </c>
      <c r="C69" s="22" t="inlineStr">
        <is>
          <t>Build sentiment dashboard</t>
        </is>
      </c>
      <c r="D69" s="22" t="n"/>
      <c r="E69" s="22" t="n"/>
      <c r="F69" s="22" t="inlineStr">
        <is>
          <t>CX Partner - Change Management SME</t>
        </is>
      </c>
      <c r="G69" s="22" t="inlineStr">
        <is>
          <t>Adobe</t>
        </is>
      </c>
      <c r="H69" s="22" t="inlineStr">
        <is>
          <t>CX Partner</t>
        </is>
      </c>
      <c r="I69" s="22" t="inlineStr">
        <is>
          <t>23–26</t>
        </is>
      </c>
    </row>
    <row r="70">
      <c r="A70" s="22" t="inlineStr">
        <is>
          <t>Scaled Rollout and Adoption</t>
        </is>
      </c>
      <c r="B70" s="22" t="inlineStr">
        <is>
          <t>Pilot Enablement &amp; Feedback Loop</t>
        </is>
      </c>
      <c r="C70" s="22" t="inlineStr">
        <is>
          <t>Review results and refine approach</t>
        </is>
      </c>
      <c r="D70" s="22" t="inlineStr">
        <is>
          <t>Pilot Feedback Summary, Sentiment Dashboard</t>
        </is>
      </c>
      <c r="E70" s="22" t="inlineStr">
        <is>
          <t>Gather early adopter feedback and adjust onboarding approach.</t>
        </is>
      </c>
      <c r="F70" s="22" t="inlineStr">
        <is>
          <t>CX Partner - Change Management SME</t>
        </is>
      </c>
      <c r="G70" s="22" t="inlineStr">
        <is>
          <t>Adobe</t>
        </is>
      </c>
      <c r="H70" s="22" t="inlineStr">
        <is>
          <t>CX Partner</t>
        </is>
      </c>
      <c r="I70" s="22" t="inlineStr">
        <is>
          <t>23–26</t>
        </is>
      </c>
    </row>
    <row r="71">
      <c r="A71" s="22" t="inlineStr">
        <is>
          <t>Scaled Rollout and Adoption</t>
        </is>
      </c>
      <c r="B71" s="22" t="inlineStr">
        <is>
          <t>Role-Based Training Enablement</t>
        </is>
      </c>
      <c r="C71" s="22" t="inlineStr">
        <is>
          <t>Segment audience (UX, Eng, Partners)</t>
        </is>
      </c>
      <c r="D71" s="22" t="n"/>
      <c r="E71" s="22" t="n"/>
      <c r="F71" s="22" t="inlineStr">
        <is>
          <t>CX Partner - Change Management SME</t>
        </is>
      </c>
      <c r="G71" s="22" t="inlineStr">
        <is>
          <t>Adobe</t>
        </is>
      </c>
      <c r="H71" s="22" t="inlineStr">
        <is>
          <t>CX Partner</t>
        </is>
      </c>
      <c r="I71" s="22" t="inlineStr">
        <is>
          <t>25–28</t>
        </is>
      </c>
    </row>
    <row r="72">
      <c r="A72" s="22" t="inlineStr">
        <is>
          <t>Scaled Rollout and Adoption</t>
        </is>
      </c>
      <c r="B72" s="22" t="inlineStr">
        <is>
          <t>Role-Based Training Enablement</t>
        </is>
      </c>
      <c r="C72" s="22" t="inlineStr">
        <is>
          <t>Develop persona-specific materials</t>
        </is>
      </c>
      <c r="D72" s="22" t="n"/>
      <c r="E72" s="22" t="n"/>
      <c r="F72" s="22" t="inlineStr">
        <is>
          <t>CX Partner - Change Management SME</t>
        </is>
      </c>
      <c r="G72" s="22" t="inlineStr">
        <is>
          <t>Adobe</t>
        </is>
      </c>
      <c r="H72" s="22" t="inlineStr">
        <is>
          <t>CX Partner</t>
        </is>
      </c>
      <c r="I72" s="22" t="inlineStr">
        <is>
          <t>25–28</t>
        </is>
      </c>
    </row>
    <row r="73">
      <c r="A73" s="22" t="inlineStr">
        <is>
          <t>Scaled Rollout and Adoption</t>
        </is>
      </c>
      <c r="B73" s="22" t="inlineStr">
        <is>
          <t>Role-Based Training Enablement</t>
        </is>
      </c>
      <c r="C73" s="22" t="inlineStr">
        <is>
          <t>Host training sessions</t>
        </is>
      </c>
      <c r="D73" s="22" t="n"/>
      <c r="E73" s="22" t="n"/>
      <c r="F73" s="22" t="inlineStr">
        <is>
          <t>CX Partner - Change Management SME</t>
        </is>
      </c>
      <c r="G73" s="22" t="inlineStr">
        <is>
          <t>Adobe</t>
        </is>
      </c>
      <c r="H73" s="22" t="inlineStr">
        <is>
          <t>CX Partner</t>
        </is>
      </c>
      <c r="I73" s="22" t="inlineStr">
        <is>
          <t>25–28</t>
        </is>
      </c>
    </row>
    <row r="74">
      <c r="A74" s="22" t="inlineStr">
        <is>
          <t>Scaled Rollout and Adoption</t>
        </is>
      </c>
      <c r="B74" s="22" t="inlineStr">
        <is>
          <t>Role-Based Training Enablement</t>
        </is>
      </c>
      <c r="C74" s="22" t="inlineStr">
        <is>
          <t>Assess comprehension via surveys</t>
        </is>
      </c>
      <c r="D74" s="22" t="n"/>
      <c r="E74" s="22" t="n"/>
      <c r="F74" s="22" t="inlineStr">
        <is>
          <t>CX Partner - Change Management SME</t>
        </is>
      </c>
      <c r="G74" s="22" t="inlineStr">
        <is>
          <t>Adobe</t>
        </is>
      </c>
      <c r="H74" s="22" t="inlineStr">
        <is>
          <t>CX Partner</t>
        </is>
      </c>
      <c r="I74" s="22" t="inlineStr">
        <is>
          <t>25–28</t>
        </is>
      </c>
    </row>
    <row r="75">
      <c r="A75" s="22" t="inlineStr">
        <is>
          <t>Scaled Rollout and Adoption</t>
        </is>
      </c>
      <c r="B75" s="22" t="inlineStr">
        <is>
          <t>Role-Based Training Enablement</t>
        </is>
      </c>
      <c r="C75" s="22" t="inlineStr">
        <is>
          <t>Update modules as needed</t>
        </is>
      </c>
      <c r="D75" s="22" t="inlineStr">
        <is>
          <t>Persona-Based Training Modules (UX, Eng, Partner)</t>
        </is>
      </c>
      <c r="E75" s="22" t="inlineStr">
        <is>
          <t>Deliver tailored enablement by persona to improve comprehension and adoption.</t>
        </is>
      </c>
      <c r="F75" s="22" t="inlineStr">
        <is>
          <t>CX Partner - Change Management SME</t>
        </is>
      </c>
      <c r="G75" s="22" t="inlineStr">
        <is>
          <t>Adobe</t>
        </is>
      </c>
      <c r="H75" s="22" t="inlineStr">
        <is>
          <t>CX Partner</t>
        </is>
      </c>
      <c r="I75" s="22" t="inlineStr">
        <is>
          <t>25–28</t>
        </is>
      </c>
    </row>
    <row r="76">
      <c r="A76" s="22" t="inlineStr">
        <is>
          <t>Scaled Rollout and Adoption</t>
        </is>
      </c>
      <c r="B76" s="22" t="inlineStr">
        <is>
          <t>SME support for Deployment/DevOps</t>
        </is>
      </c>
      <c r="C76" s="22" t="inlineStr">
        <is>
          <t>Review CI/CD pipelines for readiness</t>
        </is>
      </c>
      <c r="D76" s="22" t="n"/>
      <c r="E76" s="22" t="n"/>
      <c r="F76" s="22" t="inlineStr">
        <is>
          <t>Subject Matter Expert</t>
        </is>
      </c>
      <c r="G76" s="22" t="inlineStr">
        <is>
          <t>Knapsack</t>
        </is>
      </c>
      <c r="H76" s="22" t="inlineStr">
        <is>
          <t>SME</t>
        </is>
      </c>
      <c r="I76" s="22" t="inlineStr">
        <is>
          <t>21–26</t>
        </is>
      </c>
    </row>
    <row r="77">
      <c r="A77" s="22" t="inlineStr">
        <is>
          <t>Scaled Rollout and Adoption</t>
        </is>
      </c>
      <c r="B77" s="22" t="inlineStr">
        <is>
          <t>SME support for Deployment/DevOps</t>
        </is>
      </c>
      <c r="C77" s="22" t="inlineStr">
        <is>
          <t>Validate automation scripts</t>
        </is>
      </c>
      <c r="D77" s="22" t="n"/>
      <c r="E77" s="22" t="n"/>
      <c r="F77" s="22" t="inlineStr">
        <is>
          <t>Subject Matter Expert</t>
        </is>
      </c>
      <c r="G77" s="22" t="inlineStr">
        <is>
          <t>Knapsack</t>
        </is>
      </c>
      <c r="H77" s="22" t="inlineStr">
        <is>
          <t>SME</t>
        </is>
      </c>
      <c r="I77" s="22" t="inlineStr">
        <is>
          <t>21–26</t>
        </is>
      </c>
    </row>
    <row r="78">
      <c r="A78" s="22" t="inlineStr">
        <is>
          <t>Scaled Rollout and Adoption</t>
        </is>
      </c>
      <c r="B78" s="22" t="inlineStr">
        <is>
          <t>SME support for Deployment/DevOps</t>
        </is>
      </c>
      <c r="C78" s="22" t="inlineStr">
        <is>
          <t>Confirm test coverage completeness</t>
        </is>
      </c>
      <c r="D78" s="22" t="n"/>
      <c r="E78" s="22" t="n"/>
      <c r="F78" s="22" t="inlineStr">
        <is>
          <t>Subject Matter Expert</t>
        </is>
      </c>
      <c r="G78" s="22" t="inlineStr">
        <is>
          <t>Knapsack</t>
        </is>
      </c>
      <c r="H78" s="22" t="inlineStr">
        <is>
          <t>SME</t>
        </is>
      </c>
      <c r="I78" s="22" t="inlineStr">
        <is>
          <t>21–26</t>
        </is>
      </c>
    </row>
    <row r="79">
      <c r="A79" s="22" t="inlineStr">
        <is>
          <t>Scaled Rollout and Adoption</t>
        </is>
      </c>
      <c r="B79" s="22" t="inlineStr">
        <is>
          <t>SME support for Deployment/DevOps</t>
        </is>
      </c>
      <c r="C79" s="22" t="inlineStr">
        <is>
          <t>Document readiness report</t>
        </is>
      </c>
      <c r="D79" s="22" t="inlineStr">
        <is>
          <t>DevOps Readiness</t>
        </is>
      </c>
      <c r="E79" s="22" t="inlineStr">
        <is>
          <t>Validate CI/CD, cloud authoring, and deployment automation readiness.</t>
        </is>
      </c>
      <c r="F79" s="22" t="inlineStr">
        <is>
          <t>Subject Matter Expert</t>
        </is>
      </c>
      <c r="G79" s="22" t="inlineStr">
        <is>
          <t>Knapsack</t>
        </is>
      </c>
      <c r="H79" s="22" t="inlineStr">
        <is>
          <t>SME</t>
        </is>
      </c>
      <c r="I79" s="22" t="inlineStr">
        <is>
          <t>21–26</t>
        </is>
      </c>
    </row>
    <row r="80">
      <c r="A80" s="22" t="inlineStr">
        <is>
          <t>Scaled Rollout and Adoption</t>
        </is>
      </c>
      <c r="B80" s="22" t="inlineStr">
        <is>
          <t>Cloud authoring setup and testing</t>
        </is>
      </c>
      <c r="C80" s="22" t="inlineStr">
        <is>
          <t>Configure cloud authoring environment</t>
        </is>
      </c>
      <c r="D80" s="22" t="n"/>
      <c r="E80" s="22" t="n"/>
      <c r="F80" s="22" t="inlineStr">
        <is>
          <t>Senior Solutions Engineer</t>
        </is>
      </c>
      <c r="G80" s="22" t="inlineStr">
        <is>
          <t>Knapsack</t>
        </is>
      </c>
      <c r="H80" s="22" t="inlineStr">
        <is>
          <t>Engineer</t>
        </is>
      </c>
      <c r="I80" s="22" t="inlineStr">
        <is>
          <t>25–28</t>
        </is>
      </c>
    </row>
    <row r="81">
      <c r="A81" s="22" t="inlineStr">
        <is>
          <t>Scaled Rollout and Adoption</t>
        </is>
      </c>
      <c r="B81" s="22" t="inlineStr">
        <is>
          <t>Cloud authoring setup and testing</t>
        </is>
      </c>
      <c r="C81" s="22" t="inlineStr">
        <is>
          <t>Migrate initial content set</t>
        </is>
      </c>
      <c r="D81" s="22" t="n"/>
      <c r="E81" s="22" t="n"/>
      <c r="F81" s="22" t="inlineStr">
        <is>
          <t>Senior Solutions Engineer</t>
        </is>
      </c>
      <c r="G81" s="22" t="inlineStr">
        <is>
          <t>Knapsack</t>
        </is>
      </c>
      <c r="H81" s="22" t="inlineStr">
        <is>
          <t>Engineer</t>
        </is>
      </c>
      <c r="I81" s="22" t="inlineStr">
        <is>
          <t>25–28</t>
        </is>
      </c>
    </row>
    <row r="82">
      <c r="A82" s="22" t="inlineStr">
        <is>
          <t>Scaled Rollout and Adoption</t>
        </is>
      </c>
      <c r="B82" s="22" t="inlineStr">
        <is>
          <t>Cloud authoring setup and testing</t>
        </is>
      </c>
      <c r="C82" s="22" t="inlineStr">
        <is>
          <t>Validate performance and permissions</t>
        </is>
      </c>
      <c r="D82" s="22" t="n"/>
      <c r="E82" s="22" t="n"/>
      <c r="F82" s="22" t="inlineStr">
        <is>
          <t>Senior Solutions Engineer</t>
        </is>
      </c>
      <c r="G82" s="22" t="inlineStr">
        <is>
          <t>Knapsack</t>
        </is>
      </c>
      <c r="H82" s="22" t="inlineStr">
        <is>
          <t>Engineer</t>
        </is>
      </c>
      <c r="I82" s="22" t="inlineStr">
        <is>
          <t>25–28</t>
        </is>
      </c>
    </row>
    <row r="83">
      <c r="A83" s="22" t="inlineStr">
        <is>
          <t>Scaled Rollout and Adoption</t>
        </is>
      </c>
      <c r="B83" s="22" t="inlineStr">
        <is>
          <t>Cloud authoring setup and testing</t>
        </is>
      </c>
      <c r="C83" s="22" t="inlineStr">
        <is>
          <t>Document validation results</t>
        </is>
      </c>
      <c r="D83" s="22" t="inlineStr">
        <is>
          <t>Cloud Authoring Validation</t>
        </is>
      </c>
      <c r="E83" s="22" t="inlineStr">
        <is>
          <t>Setup and validate authoring in cloud environments.</t>
        </is>
      </c>
      <c r="F83" s="22" t="inlineStr">
        <is>
          <t>Senior Solutions Engineer</t>
        </is>
      </c>
      <c r="G83" s="22" t="inlineStr">
        <is>
          <t>Knapsack</t>
        </is>
      </c>
      <c r="H83" s="22" t="inlineStr">
        <is>
          <t>Engineer</t>
        </is>
      </c>
      <c r="I83" s="22" t="inlineStr">
        <is>
          <t>25–28</t>
        </is>
      </c>
    </row>
    <row r="84">
      <c r="A84" s="22" t="inlineStr">
        <is>
          <t>Scaled Rollout and Adoption</t>
        </is>
      </c>
      <c r="B84" s="22" t="inlineStr">
        <is>
          <t>SSO setup and testing</t>
        </is>
      </c>
      <c r="C84" s="22" t="inlineStr">
        <is>
          <t>Integrate with Adobe’s identity provider</t>
        </is>
      </c>
      <c r="D84" s="22" t="n"/>
      <c r="E84" s="22" t="n"/>
      <c r="F84" s="22" t="inlineStr">
        <is>
          <t>Subject Matter Expert</t>
        </is>
      </c>
      <c r="G84" s="22" t="inlineStr">
        <is>
          <t>Knapsack</t>
        </is>
      </c>
      <c r="H84" s="22" t="inlineStr">
        <is>
          <t>SME</t>
        </is>
      </c>
      <c r="I84" s="22" t="inlineStr">
        <is>
          <t>25–28</t>
        </is>
      </c>
    </row>
    <row r="85">
      <c r="A85" s="22" t="inlineStr">
        <is>
          <t>Scaled Rollout and Adoption</t>
        </is>
      </c>
      <c r="B85" s="22" t="inlineStr">
        <is>
          <t>SSO setup and testing</t>
        </is>
      </c>
      <c r="C85" s="22" t="inlineStr">
        <is>
          <t>Test authentication flow and failover</t>
        </is>
      </c>
      <c r="D85" s="22" t="n"/>
      <c r="E85" s="22" t="n"/>
      <c r="F85" s="22" t="inlineStr">
        <is>
          <t>Subject Matter Expert</t>
        </is>
      </c>
      <c r="G85" s="22" t="inlineStr">
        <is>
          <t>Knapsack</t>
        </is>
      </c>
      <c r="H85" s="22" t="inlineStr">
        <is>
          <t>SME</t>
        </is>
      </c>
      <c r="I85" s="22" t="inlineStr">
        <is>
          <t>25–28</t>
        </is>
      </c>
    </row>
    <row r="86">
      <c r="A86" s="22" t="inlineStr">
        <is>
          <t>Scaled Rollout and Adoption</t>
        </is>
      </c>
      <c r="B86" s="22" t="inlineStr">
        <is>
          <t>SSO setup and testing</t>
        </is>
      </c>
      <c r="C86" s="22" t="inlineStr">
        <is>
          <t>Validate group mapping</t>
        </is>
      </c>
      <c r="D86" s="22" t="n"/>
      <c r="E86" s="22" t="n"/>
      <c r="F86" s="22" t="inlineStr">
        <is>
          <t>Subject Matter Expert</t>
        </is>
      </c>
      <c r="G86" s="22" t="inlineStr">
        <is>
          <t>Knapsack</t>
        </is>
      </c>
      <c r="H86" s="22" t="inlineStr">
        <is>
          <t>SME</t>
        </is>
      </c>
      <c r="I86" s="22" t="inlineStr">
        <is>
          <t>25–28</t>
        </is>
      </c>
    </row>
    <row r="87">
      <c r="A87" s="22" t="inlineStr">
        <is>
          <t>Scaled Rollout and Adoption</t>
        </is>
      </c>
      <c r="B87" s="22" t="inlineStr">
        <is>
          <t>SSO setup and testing</t>
        </is>
      </c>
      <c r="C87" s="22" t="inlineStr">
        <is>
          <t>Document SSO integration results</t>
        </is>
      </c>
      <c r="D87" s="22" t="inlineStr">
        <is>
          <t>SSO Integration Checklist</t>
        </is>
      </c>
      <c r="E87" s="22" t="inlineStr">
        <is>
          <t>Configure and test single sign-on with enterprise identity provider.</t>
        </is>
      </c>
      <c r="F87" s="22" t="inlineStr">
        <is>
          <t>Subject Matter Expert</t>
        </is>
      </c>
      <c r="G87" s="22" t="inlineStr">
        <is>
          <t>Knapsack</t>
        </is>
      </c>
      <c r="H87" s="22" t="inlineStr">
        <is>
          <t>SME</t>
        </is>
      </c>
      <c r="I87" s="22" t="inlineStr">
        <is>
          <t>25–28</t>
        </is>
      </c>
    </row>
    <row r="88">
      <c r="A88" s="22" t="inlineStr">
        <is>
          <t>Scaled Rollout and Adoption</t>
        </is>
      </c>
      <c r="B88" s="22" t="inlineStr">
        <is>
          <t>Training - Eng / UX / Partners</t>
        </is>
      </c>
      <c r="C88" s="22" t="inlineStr">
        <is>
          <t>Develop unified curriculum</t>
        </is>
      </c>
      <c r="D88" s="22" t="n"/>
      <c r="E88" s="22" t="n"/>
      <c r="F88" s="22" t="inlineStr">
        <is>
          <t>Senior Solutions Engineer</t>
        </is>
      </c>
      <c r="G88" s="22" t="inlineStr">
        <is>
          <t>Adobe</t>
        </is>
      </c>
      <c r="H88" s="22" t="inlineStr">
        <is>
          <t>Engineer</t>
        </is>
      </c>
      <c r="I88" s="22" t="inlineStr">
        <is>
          <t>29–32</t>
        </is>
      </c>
    </row>
    <row r="89">
      <c r="A89" s="22" t="inlineStr">
        <is>
          <t>Scaled Rollout and Adoption</t>
        </is>
      </c>
      <c r="B89" s="22" t="inlineStr">
        <is>
          <t>Training - Eng / UX / Partners</t>
        </is>
      </c>
      <c r="C89" s="22" t="inlineStr">
        <is>
          <t>Schedule and deliver training</t>
        </is>
      </c>
      <c r="D89" s="22" t="n"/>
      <c r="E89" s="22" t="n"/>
      <c r="F89" s="22" t="inlineStr">
        <is>
          <t>Senior Solutions Engineer</t>
        </is>
      </c>
      <c r="G89" s="22" t="inlineStr">
        <is>
          <t>Adobe</t>
        </is>
      </c>
      <c r="H89" s="22" t="inlineStr">
        <is>
          <t>Engineer</t>
        </is>
      </c>
      <c r="I89" s="22" t="inlineStr">
        <is>
          <t>29–32</t>
        </is>
      </c>
    </row>
    <row r="90">
      <c r="A90" s="22" t="inlineStr">
        <is>
          <t>Scaled Rollout and Adoption</t>
        </is>
      </c>
      <c r="B90" s="22" t="inlineStr">
        <is>
          <t>Training - Eng / UX / Partners</t>
        </is>
      </c>
      <c r="C90" s="22" t="inlineStr">
        <is>
          <t>Track attendance and feedback</t>
        </is>
      </c>
      <c r="D90" s="22" t="n"/>
      <c r="E90" s="22" t="n"/>
      <c r="F90" s="22" t="inlineStr">
        <is>
          <t>Senior Solutions Engineer</t>
        </is>
      </c>
      <c r="G90" s="22" t="inlineStr">
        <is>
          <t>Adobe</t>
        </is>
      </c>
      <c r="H90" s="22" t="inlineStr">
        <is>
          <t>Engineer</t>
        </is>
      </c>
      <c r="I90" s="22" t="inlineStr">
        <is>
          <t>29–32</t>
        </is>
      </c>
    </row>
    <row r="91">
      <c r="A91" s="22" t="inlineStr">
        <is>
          <t>Scaled Rollout and Adoption</t>
        </is>
      </c>
      <c r="B91" s="22" t="inlineStr">
        <is>
          <t>Training - Eng / UX / Partners</t>
        </is>
      </c>
      <c r="C91" s="22" t="inlineStr">
        <is>
          <t>Refine enablement materials</t>
        </is>
      </c>
      <c r="D91" s="22" t="inlineStr">
        <is>
          <t>Unified Enablement Curriculum</t>
        </is>
      </c>
      <c r="E91" s="22" t="inlineStr">
        <is>
          <t>Integrated training for engineering, UX, and partner audiences.</t>
        </is>
      </c>
      <c r="F91" s="22" t="inlineStr">
        <is>
          <t>Senior Solutions Engineer</t>
        </is>
      </c>
      <c r="G91" s="22" t="inlineStr">
        <is>
          <t>Adobe</t>
        </is>
      </c>
      <c r="H91" s="22" t="inlineStr">
        <is>
          <t>Engineer</t>
        </is>
      </c>
      <c r="I91" s="22" t="inlineStr">
        <is>
          <t>29–32</t>
        </is>
      </c>
    </row>
    <row r="92">
      <c r="A92" s="22" t="inlineStr">
        <is>
          <t>Scaled Rollout and Adoption</t>
        </is>
      </c>
      <c r="B92" s="22" t="inlineStr">
        <is>
          <t>Workflow Diagrams</t>
        </is>
      </c>
      <c r="C92" s="22" t="inlineStr">
        <is>
          <t>Document self-service and contribution workflows</t>
        </is>
      </c>
      <c r="D92" s="22" t="n"/>
      <c r="E92" s="22" t="n"/>
      <c r="F92" s="22" t="inlineStr">
        <is>
          <t>Senior Solutions Engineer</t>
        </is>
      </c>
      <c r="G92" s="22" t="inlineStr">
        <is>
          <t>Knapsack</t>
        </is>
      </c>
      <c r="H92" s="22" t="inlineStr">
        <is>
          <t>Engineer</t>
        </is>
      </c>
      <c r="I92" s="22" t="inlineStr">
        <is>
          <t>21–24</t>
        </is>
      </c>
    </row>
    <row r="93">
      <c r="A93" s="22" t="inlineStr">
        <is>
          <t>Scaled Rollout and Adoption</t>
        </is>
      </c>
      <c r="B93" s="22" t="inlineStr">
        <is>
          <t>Workflow Diagrams</t>
        </is>
      </c>
      <c r="C93" s="22" t="inlineStr">
        <is>
          <t>Create FigJam diagrams</t>
        </is>
      </c>
      <c r="D93" s="22" t="n"/>
      <c r="E93" s="22" t="n"/>
      <c r="F93" s="22" t="inlineStr">
        <is>
          <t>Senior Solutions Engineer</t>
        </is>
      </c>
      <c r="G93" s="22" t="inlineStr">
        <is>
          <t>Knapsack</t>
        </is>
      </c>
      <c r="H93" s="22" t="inlineStr">
        <is>
          <t>Engineer</t>
        </is>
      </c>
      <c r="I93" s="22" t="inlineStr">
        <is>
          <t>21–24</t>
        </is>
      </c>
    </row>
    <row r="94">
      <c r="A94" s="22" t="inlineStr">
        <is>
          <t>Scaled Rollout and Adoption</t>
        </is>
      </c>
      <c r="B94" s="22" t="inlineStr">
        <is>
          <t>Workflow Diagrams</t>
        </is>
      </c>
      <c r="C94" s="22" t="inlineStr">
        <is>
          <t>Review with design ops and engineering</t>
        </is>
      </c>
      <c r="D94" s="22" t="n"/>
      <c r="E94" s="22" t="n"/>
      <c r="F94" s="22" t="inlineStr">
        <is>
          <t>Senior Solutions Engineer</t>
        </is>
      </c>
      <c r="G94" s="22" t="inlineStr">
        <is>
          <t>Knapsack</t>
        </is>
      </c>
      <c r="H94" s="22" t="inlineStr">
        <is>
          <t>Engineer</t>
        </is>
      </c>
      <c r="I94" s="22" t="inlineStr">
        <is>
          <t>21–24</t>
        </is>
      </c>
    </row>
    <row r="95">
      <c r="A95" s="22" t="inlineStr">
        <is>
          <t>Scaled Rollout and Adoption</t>
        </is>
      </c>
      <c r="B95" s="22" t="inlineStr">
        <is>
          <t>Workflow Diagrams</t>
        </is>
      </c>
      <c r="C95" s="22" t="inlineStr">
        <is>
          <t>Publish workflow package</t>
        </is>
      </c>
      <c r="D95" s="22" t="inlineStr">
        <is>
          <t>Workflow Documentation (FigJam, Token Studio, Contribution Workflows)</t>
        </is>
      </c>
      <c r="E95" s="22" t="inlineStr">
        <is>
          <t>Map self-service contribution and implementation workflows.</t>
        </is>
      </c>
      <c r="F95" s="22" t="inlineStr">
        <is>
          <t>Senior Solutions Engineer</t>
        </is>
      </c>
      <c r="G95" s="22" t="inlineStr">
        <is>
          <t>Knapsack</t>
        </is>
      </c>
      <c r="H95" s="22" t="inlineStr">
        <is>
          <t>Engineer</t>
        </is>
      </c>
      <c r="I95" s="22" t="inlineStr">
        <is>
          <t>21–24</t>
        </is>
      </c>
    </row>
    <row r="96">
      <c r="A96" s="22" t="inlineStr">
        <is>
          <t>Scaled Rollout and Adoption</t>
        </is>
      </c>
      <c r="B96" s="22" t="inlineStr">
        <is>
          <t>Content planning and integration</t>
        </is>
      </c>
      <c r="C96" s="22" t="inlineStr">
        <is>
          <t>Map documentation inventory</t>
        </is>
      </c>
      <c r="D96" s="22" t="n"/>
      <c r="E96" s="22" t="n"/>
      <c r="F96" s="22" t="inlineStr">
        <is>
          <t>Senior Solutions Engineer</t>
        </is>
      </c>
      <c r="G96" s="22" t="inlineStr">
        <is>
          <t>Knapsack</t>
        </is>
      </c>
      <c r="H96" s="22" t="inlineStr">
        <is>
          <t>Engineer</t>
        </is>
      </c>
      <c r="I96" s="22" t="inlineStr">
        <is>
          <t>25–28</t>
        </is>
      </c>
    </row>
    <row r="97">
      <c r="A97" s="22" t="inlineStr">
        <is>
          <t>Scaled Rollout and Adoption</t>
        </is>
      </c>
      <c r="B97" s="22" t="inlineStr">
        <is>
          <t>Content planning and integration</t>
        </is>
      </c>
      <c r="C97" s="22" t="inlineStr">
        <is>
          <t>Create cross-platform implementation guides</t>
        </is>
      </c>
      <c r="D97" s="22" t="n"/>
      <c r="E97" s="22" t="n"/>
      <c r="F97" s="22" t="inlineStr">
        <is>
          <t>Senior Solutions Engineer</t>
        </is>
      </c>
      <c r="G97" s="22" t="inlineStr">
        <is>
          <t>Knapsack</t>
        </is>
      </c>
      <c r="H97" s="22" t="inlineStr">
        <is>
          <t>Engineer</t>
        </is>
      </c>
      <c r="I97" s="22" t="inlineStr">
        <is>
          <t>25–28</t>
        </is>
      </c>
    </row>
    <row r="98">
      <c r="A98" s="22" t="inlineStr">
        <is>
          <t>Scaled Rollout and Adoption</t>
        </is>
      </c>
      <c r="B98" s="22" t="inlineStr">
        <is>
          <t>Content planning and integration</t>
        </is>
      </c>
      <c r="C98" s="22" t="inlineStr">
        <is>
          <t>Validate completeness and consistency</t>
        </is>
      </c>
      <c r="D98" s="22" t="n"/>
      <c r="E98" s="22" t="n"/>
      <c r="F98" s="22" t="inlineStr">
        <is>
          <t>Senior Solutions Engineer</t>
        </is>
      </c>
      <c r="G98" s="22" t="inlineStr">
        <is>
          <t>Knapsack</t>
        </is>
      </c>
      <c r="H98" s="22" t="inlineStr">
        <is>
          <t>Engineer</t>
        </is>
      </c>
      <c r="I98" s="22" t="inlineStr">
        <is>
          <t>25–28</t>
        </is>
      </c>
    </row>
    <row r="99">
      <c r="A99" s="22" t="inlineStr">
        <is>
          <t>Scaled Rollout and Adoption</t>
        </is>
      </c>
      <c r="B99" s="22" t="inlineStr">
        <is>
          <t>Content planning and integration</t>
        </is>
      </c>
      <c r="C99" s="22" t="inlineStr">
        <is>
          <t>Publish documentation set</t>
        </is>
      </c>
      <c r="D99" s="22" t="inlineStr">
        <is>
          <t>Multi-platform Implementation Guides</t>
        </is>
      </c>
      <c r="E99" s="22" t="inlineStr">
        <is>
          <t>Documentation for web, React, iOS, Android implementations.</t>
        </is>
      </c>
      <c r="F99" s="22" t="inlineStr">
        <is>
          <t>Senior Solutions Engineer</t>
        </is>
      </c>
      <c r="G99" s="22" t="inlineStr">
        <is>
          <t>Knapsack</t>
        </is>
      </c>
      <c r="H99" s="22" t="inlineStr">
        <is>
          <t>Engineer</t>
        </is>
      </c>
      <c r="I99" s="22" t="inlineStr">
        <is>
          <t>25–28</t>
        </is>
      </c>
    </row>
    <row r="100">
      <c r="A100" s="22" t="inlineStr">
        <is>
          <t>Scaled Rollout and Adoption</t>
        </is>
      </c>
      <c r="B100" s="22" t="inlineStr">
        <is>
          <t>Advanced Training - Partners + Contribution</t>
        </is>
      </c>
      <c r="C100" s="22" t="inlineStr">
        <is>
          <t>Identify advanced partner cohort</t>
        </is>
      </c>
      <c r="D100" s="22" t="n"/>
      <c r="E100" s="22" t="n"/>
      <c r="F100" s="22" t="inlineStr">
        <is>
          <t>Senior Solutions Engineer</t>
        </is>
      </c>
      <c r="G100" s="22" t="inlineStr">
        <is>
          <t>Adobe</t>
        </is>
      </c>
      <c r="H100" s="22" t="inlineStr">
        <is>
          <t>Engineer</t>
        </is>
      </c>
      <c r="I100" s="22" t="inlineStr">
        <is>
          <t>29–32</t>
        </is>
      </c>
    </row>
    <row r="101">
      <c r="A101" s="22" t="inlineStr">
        <is>
          <t>Scaled Rollout and Adoption</t>
        </is>
      </c>
      <c r="B101" s="22" t="inlineStr">
        <is>
          <t>Advanced Training - Partners + Contribution</t>
        </is>
      </c>
      <c r="C101" s="22" t="inlineStr">
        <is>
          <t>Deliver deep-dive workshops</t>
        </is>
      </c>
      <c r="D101" s="22" t="n"/>
      <c r="E101" s="22" t="n"/>
      <c r="F101" s="22" t="inlineStr">
        <is>
          <t>Senior Solutions Engineer</t>
        </is>
      </c>
      <c r="G101" s="22" t="inlineStr">
        <is>
          <t>Adobe</t>
        </is>
      </c>
      <c r="H101" s="22" t="inlineStr">
        <is>
          <t>Engineer</t>
        </is>
      </c>
      <c r="I101" s="22" t="inlineStr">
        <is>
          <t>29–32</t>
        </is>
      </c>
    </row>
    <row r="102">
      <c r="A102" s="22" t="inlineStr">
        <is>
          <t>Scaled Rollout and Adoption</t>
        </is>
      </c>
      <c r="B102" s="22" t="inlineStr">
        <is>
          <t>Advanced Training - Partners + Contribution</t>
        </is>
      </c>
      <c r="C102" s="22" t="inlineStr">
        <is>
          <t>Assess capability maturity</t>
        </is>
      </c>
      <c r="D102" s="22" t="n"/>
      <c r="E102" s="22" t="n"/>
      <c r="F102" s="22" t="inlineStr">
        <is>
          <t>Senior Solutions Engineer</t>
        </is>
      </c>
      <c r="G102" s="22" t="inlineStr">
        <is>
          <t>Adobe</t>
        </is>
      </c>
      <c r="H102" s="22" t="inlineStr">
        <is>
          <t>Engineer</t>
        </is>
      </c>
      <c r="I102" s="22" t="inlineStr">
        <is>
          <t>29–32</t>
        </is>
      </c>
    </row>
    <row r="103">
      <c r="A103" s="22" t="inlineStr">
        <is>
          <t>Scaled Rollout and Adoption</t>
        </is>
      </c>
      <c r="B103" s="22" t="inlineStr">
        <is>
          <t>Advanced Training - Partners + Contribution</t>
        </is>
      </c>
      <c r="C103" s="22" t="inlineStr">
        <is>
          <t>Recognize high-performing contributors</t>
        </is>
      </c>
      <c r="D103" s="22" t="inlineStr">
        <is>
          <t>Advanced Enablement Program</t>
        </is>
      </c>
      <c r="E103" s="22" t="inlineStr">
        <is>
          <t>Deep-dive enablement for partner contributions.</t>
        </is>
      </c>
      <c r="F103" s="22" t="inlineStr">
        <is>
          <t>Senior Solutions Engineer</t>
        </is>
      </c>
      <c r="G103" s="22" t="inlineStr">
        <is>
          <t>Adobe</t>
        </is>
      </c>
      <c r="H103" s="22" t="inlineStr">
        <is>
          <t>Engineer</t>
        </is>
      </c>
      <c r="I103" s="22" t="inlineStr">
        <is>
          <t>29–32</t>
        </is>
      </c>
    </row>
    <row r="104">
      <c r="A104" s="22" t="inlineStr">
        <is>
          <t>Scaled Rollout and Adoption</t>
        </is>
      </c>
      <c r="B104" s="22" t="inlineStr">
        <is>
          <t>Phase Gate Strategic Recommendations + Documentation</t>
        </is>
      </c>
      <c r="C104" s="22" t="inlineStr">
        <is>
          <t>Review milestone progress</t>
        </is>
      </c>
      <c r="D104" s="22" t="n"/>
      <c r="E104" s="22" t="n"/>
      <c r="F104" s="22" t="inlineStr">
        <is>
          <t>Senior Solutions Engineer</t>
        </is>
      </c>
      <c r="G104" s="22" t="inlineStr">
        <is>
          <t>Knapsack</t>
        </is>
      </c>
      <c r="H104" s="22" t="inlineStr">
        <is>
          <t>Engineer</t>
        </is>
      </c>
      <c r="I104" s="22" t="inlineStr">
        <is>
          <t>21–32</t>
        </is>
      </c>
    </row>
    <row r="105">
      <c r="A105" s="22" t="inlineStr">
        <is>
          <t>Scaled Rollout and Adoption</t>
        </is>
      </c>
      <c r="B105" s="22" t="inlineStr">
        <is>
          <t>Phase Gate Strategic Recommendations + Documentation</t>
        </is>
      </c>
      <c r="C105" s="22" t="inlineStr">
        <is>
          <t>Conduct readiness evaluation</t>
        </is>
      </c>
      <c r="D105" s="22" t="n"/>
      <c r="E105" s="22" t="n"/>
      <c r="F105" s="22" t="inlineStr">
        <is>
          <t>Senior Solutions Engineer</t>
        </is>
      </c>
      <c r="G105" s="22" t="inlineStr">
        <is>
          <t>Knapsack</t>
        </is>
      </c>
      <c r="H105" s="22" t="inlineStr">
        <is>
          <t>Engineer</t>
        </is>
      </c>
      <c r="I105" s="22" t="inlineStr">
        <is>
          <t>21–32</t>
        </is>
      </c>
    </row>
    <row r="106">
      <c r="A106" s="22" t="inlineStr">
        <is>
          <t>Scaled Rollout and Adoption</t>
        </is>
      </c>
      <c r="B106" s="22" t="inlineStr">
        <is>
          <t>Phase Gate Strategic Recommendations + Documentation</t>
        </is>
      </c>
      <c r="C106" s="22" t="inlineStr">
        <is>
          <t>Document lessons learned</t>
        </is>
      </c>
      <c r="D106" s="22" t="n"/>
      <c r="E106" s="22" t="n"/>
      <c r="F106" s="22" t="inlineStr">
        <is>
          <t>Senior Solutions Engineer</t>
        </is>
      </c>
      <c r="G106" s="22" t="inlineStr">
        <is>
          <t>Knapsack</t>
        </is>
      </c>
      <c r="H106" s="22" t="inlineStr">
        <is>
          <t>Engineer</t>
        </is>
      </c>
      <c r="I106" s="22" t="inlineStr">
        <is>
          <t>21–32</t>
        </is>
      </c>
    </row>
    <row r="107">
      <c r="A107" s="22" t="inlineStr">
        <is>
          <t>Scaled Rollout and Adoption</t>
        </is>
      </c>
      <c r="B107" s="22" t="inlineStr">
        <is>
          <t>Phase Gate Strategic Recommendations + Documentation</t>
        </is>
      </c>
      <c r="C107" s="22" t="inlineStr">
        <is>
          <t>Prepare scale-up recommendations</t>
        </is>
      </c>
      <c r="D107" s="22" t="inlineStr">
        <is>
          <t>Scaled Rollout Readiness Review</t>
        </is>
      </c>
      <c r="E107" s="22" t="inlineStr">
        <is>
          <t>Formal phase gate review and recommendations.</t>
        </is>
      </c>
      <c r="F107" s="22" t="inlineStr">
        <is>
          <t>Senior Solutions Engineer</t>
        </is>
      </c>
      <c r="G107" s="22" t="inlineStr">
        <is>
          <t>Knapsack</t>
        </is>
      </c>
      <c r="H107" s="22" t="inlineStr">
        <is>
          <t>Engineer</t>
        </is>
      </c>
      <c r="I107" s="22" t="inlineStr">
        <is>
          <t>21–32</t>
        </is>
      </c>
    </row>
    <row r="108">
      <c r="A108" s="22" t="inlineStr">
        <is>
          <t>Scaled Rollout and Adoption</t>
        </is>
      </c>
      <c r="B108" s="22" t="inlineStr">
        <is>
          <t>Pre-Cutover Readiness Review</t>
        </is>
      </c>
      <c r="C108" s="22" t="inlineStr">
        <is>
          <t>Verify technical and operational prerequisites</t>
        </is>
      </c>
      <c r="D108" s="22" t="n"/>
      <c r="E108" s="22" t="n"/>
      <c r="F108" s="22" t="inlineStr">
        <is>
          <t>Senior Solutions Engineer</t>
        </is>
      </c>
      <c r="G108" s="22" t="inlineStr">
        <is>
          <t>Knapsack</t>
        </is>
      </c>
      <c r="H108" s="22" t="inlineStr">
        <is>
          <t>Engineer</t>
        </is>
      </c>
      <c r="I108" s="22" t="inlineStr">
        <is>
          <t>25–28</t>
        </is>
      </c>
    </row>
    <row r="109">
      <c r="A109" s="22" t="inlineStr">
        <is>
          <t>Scaled Rollout and Adoption</t>
        </is>
      </c>
      <c r="B109" s="22" t="inlineStr">
        <is>
          <t>Pre-Cutover Readiness Review</t>
        </is>
      </c>
      <c r="C109" s="22" t="inlineStr">
        <is>
          <t>Conduct dry-run deployment</t>
        </is>
      </c>
      <c r="D109" s="22" t="n"/>
      <c r="E109" s="22" t="n"/>
      <c r="F109" s="22" t="inlineStr">
        <is>
          <t>Senior Solutions Engineer</t>
        </is>
      </c>
      <c r="G109" s="22" t="inlineStr">
        <is>
          <t>Knapsack</t>
        </is>
      </c>
      <c r="H109" s="22" t="inlineStr">
        <is>
          <t>Engineer</t>
        </is>
      </c>
      <c r="I109" s="22" t="inlineStr">
        <is>
          <t>25–28</t>
        </is>
      </c>
    </row>
    <row r="110">
      <c r="A110" s="22" t="inlineStr">
        <is>
          <t>Scaled Rollout and Adoption</t>
        </is>
      </c>
      <c r="B110" s="22" t="inlineStr">
        <is>
          <t>Pre-Cutover Readiness Review</t>
        </is>
      </c>
      <c r="C110" s="22" t="inlineStr">
        <is>
          <t>Validate SSO and environment stability</t>
        </is>
      </c>
      <c r="D110" s="22" t="n"/>
      <c r="E110" s="22" t="n"/>
      <c r="F110" s="22" t="inlineStr">
        <is>
          <t>Senior Solutions Engineer</t>
        </is>
      </c>
      <c r="G110" s="22" t="inlineStr">
        <is>
          <t>Knapsack</t>
        </is>
      </c>
      <c r="H110" s="22" t="inlineStr">
        <is>
          <t>Engineer</t>
        </is>
      </c>
      <c r="I110" s="22" t="inlineStr">
        <is>
          <t>25–28</t>
        </is>
      </c>
    </row>
    <row r="111">
      <c r="A111" s="22" t="inlineStr">
        <is>
          <t>Scaled Rollout and Adoption</t>
        </is>
      </c>
      <c r="B111" s="22" t="inlineStr">
        <is>
          <t>Pre-Cutover Readiness Review</t>
        </is>
      </c>
      <c r="C111" s="22" t="inlineStr">
        <is>
          <t>Approve readiness sign-off</t>
        </is>
      </c>
      <c r="D111" s="22" t="inlineStr">
        <is>
          <t>Cutover Readiness Checklist, Technical Validation Sign-off, Risk Mitigation Plan</t>
        </is>
      </c>
      <c r="E111" s="22" t="inlineStr">
        <is>
          <t>Validate all technical, operational, and training prerequisites; confirm SSO, component rendering, deployment readiness before final rollout.</t>
        </is>
      </c>
      <c r="F111" s="22" t="inlineStr">
        <is>
          <t>Senior Solutions Engineer</t>
        </is>
      </c>
      <c r="G111" s="22" t="inlineStr">
        <is>
          <t>Knapsack</t>
        </is>
      </c>
      <c r="H111" s="22" t="inlineStr">
        <is>
          <t>Engineer</t>
        </is>
      </c>
      <c r="I111" s="22" t="inlineStr">
        <is>
          <t>25–28</t>
        </is>
      </c>
    </row>
    <row r="112">
      <c r="A112" s="22" t="inlineStr">
        <is>
          <t>Scaled Rollout and Adoption</t>
        </is>
      </c>
      <c r="B112" s="22" t="inlineStr">
        <is>
          <t>Data &amp; Configuration Freeze</t>
        </is>
      </c>
      <c r="C112" s="22" t="inlineStr">
        <is>
          <t>Lock repositories and configuration files</t>
        </is>
      </c>
      <c r="D112" s="22" t="n"/>
      <c r="E112" s="22" t="n"/>
      <c r="F112" s="22" t="inlineStr">
        <is>
          <t>Senior Solutions Engineer</t>
        </is>
      </c>
      <c r="G112" s="22" t="inlineStr">
        <is>
          <t>Knapsack</t>
        </is>
      </c>
      <c r="H112" s="22" t="inlineStr">
        <is>
          <t>Engineer</t>
        </is>
      </c>
      <c r="I112" s="22" t="inlineStr">
        <is>
          <t>25–28</t>
        </is>
      </c>
    </row>
    <row r="113">
      <c r="A113" s="22" t="inlineStr">
        <is>
          <t>Scaled Rollout and Adoption</t>
        </is>
      </c>
      <c r="B113" s="22" t="inlineStr">
        <is>
          <t>Data &amp; Configuration Freeze</t>
        </is>
      </c>
      <c r="C113" s="22" t="inlineStr">
        <is>
          <t>Capture environment snapshot</t>
        </is>
      </c>
      <c r="D113" s="22" t="n"/>
      <c r="E113" s="22" t="n"/>
      <c r="F113" s="22" t="inlineStr">
        <is>
          <t>Senior Solutions Engineer</t>
        </is>
      </c>
      <c r="G113" s="22" t="inlineStr">
        <is>
          <t>Knapsack</t>
        </is>
      </c>
      <c r="H113" s="22" t="inlineStr">
        <is>
          <t>Engineer</t>
        </is>
      </c>
      <c r="I113" s="22" t="inlineStr">
        <is>
          <t>25–28</t>
        </is>
      </c>
    </row>
    <row r="114">
      <c r="A114" s="22" t="inlineStr">
        <is>
          <t>Scaled Rollout and Adoption</t>
        </is>
      </c>
      <c r="B114" s="22" t="inlineStr">
        <is>
          <t>Data &amp; Configuration Freeze</t>
        </is>
      </c>
      <c r="C114" s="22" t="inlineStr">
        <is>
          <t>Validate rollback plan</t>
        </is>
      </c>
      <c r="D114" s="22" t="n"/>
      <c r="E114" s="22" t="n"/>
      <c r="F114" s="22" t="inlineStr">
        <is>
          <t>Senior Solutions Engineer</t>
        </is>
      </c>
      <c r="G114" s="22" t="inlineStr">
        <is>
          <t>Knapsack</t>
        </is>
      </c>
      <c r="H114" s="22" t="inlineStr">
        <is>
          <t>Engineer</t>
        </is>
      </c>
      <c r="I114" s="22" t="inlineStr">
        <is>
          <t>25–28</t>
        </is>
      </c>
    </row>
    <row r="115">
      <c r="A115" s="22" t="inlineStr">
        <is>
          <t>Scaled Rollout and Adoption</t>
        </is>
      </c>
      <c r="B115" s="22" t="inlineStr">
        <is>
          <t>Data &amp; Configuration Freeze</t>
        </is>
      </c>
      <c r="C115" s="22" t="inlineStr">
        <is>
          <t>Communicate freeze timeline</t>
        </is>
      </c>
      <c r="D115" s="22" t="inlineStr">
        <is>
          <t>Configuration Freeze Log, Environment Snapshot</t>
        </is>
      </c>
      <c r="E115" s="22" t="inlineStr">
        <is>
          <t>Lock configuration and repositories; capture environment snapshot for rollback if needed before go-live.</t>
        </is>
      </c>
      <c r="F115" s="22" t="inlineStr">
        <is>
          <t>Senior Solutions Engineer</t>
        </is>
      </c>
      <c r="G115" s="22" t="inlineStr">
        <is>
          <t>Knapsack</t>
        </is>
      </c>
      <c r="H115" s="22" t="inlineStr">
        <is>
          <t>Engineer</t>
        </is>
      </c>
      <c r="I115" s="22" t="inlineStr">
        <is>
          <t>25–28</t>
        </is>
      </c>
    </row>
    <row r="116">
      <c r="A116" s="22" t="inlineStr">
        <is>
          <t>Scaled Rollout and Adoption</t>
        </is>
      </c>
      <c r="B116" s="22" t="inlineStr">
        <is>
          <t>Final UAT &amp; Stakeholder Acceptance</t>
        </is>
      </c>
      <c r="C116" s="22" t="inlineStr">
        <is>
          <t>Develop UAT scripts</t>
        </is>
      </c>
      <c r="D116" s="22" t="n"/>
      <c r="E116" s="22" t="n"/>
      <c r="F116" s="22" t="inlineStr">
        <is>
          <t>Senior Solutions Engineer</t>
        </is>
      </c>
      <c r="G116" s="22" t="inlineStr">
        <is>
          <t>Knapsack</t>
        </is>
      </c>
      <c r="H116" s="22" t="inlineStr">
        <is>
          <t>Engineer</t>
        </is>
      </c>
      <c r="I116" s="22" t="inlineStr">
        <is>
          <t>25–28</t>
        </is>
      </c>
    </row>
    <row r="117">
      <c r="A117" s="22" t="inlineStr">
        <is>
          <t>Scaled Rollout and Adoption</t>
        </is>
      </c>
      <c r="B117" s="22" t="inlineStr">
        <is>
          <t>Final UAT &amp; Stakeholder Acceptance</t>
        </is>
      </c>
      <c r="C117" s="22" t="inlineStr">
        <is>
          <t>Facilitate sessions with pilot users</t>
        </is>
      </c>
      <c r="D117" s="22" t="n"/>
      <c r="E117" s="22" t="n"/>
      <c r="F117" s="22" t="inlineStr">
        <is>
          <t>Senior Solutions Engineer</t>
        </is>
      </c>
      <c r="G117" s="22" t="inlineStr">
        <is>
          <t>Knapsack</t>
        </is>
      </c>
      <c r="H117" s="22" t="inlineStr">
        <is>
          <t>Engineer</t>
        </is>
      </c>
      <c r="I117" s="22" t="inlineStr">
        <is>
          <t>25–28</t>
        </is>
      </c>
    </row>
    <row r="118">
      <c r="A118" s="22" t="inlineStr">
        <is>
          <t>Scaled Rollout and Adoption</t>
        </is>
      </c>
      <c r="B118" s="22" t="inlineStr">
        <is>
          <t>Final UAT &amp; Stakeholder Acceptance</t>
        </is>
      </c>
      <c r="C118" s="22" t="inlineStr">
        <is>
          <t>Log and triage issues</t>
        </is>
      </c>
      <c r="D118" s="22" t="n"/>
      <c r="E118" s="22" t="n"/>
      <c r="F118" s="22" t="inlineStr">
        <is>
          <t>Senior Solutions Engineer</t>
        </is>
      </c>
      <c r="G118" s="22" t="inlineStr">
        <is>
          <t>Knapsack</t>
        </is>
      </c>
      <c r="H118" s="22" t="inlineStr">
        <is>
          <t>Engineer</t>
        </is>
      </c>
      <c r="I118" s="22" t="inlineStr">
        <is>
          <t>25–28</t>
        </is>
      </c>
    </row>
    <row r="119">
      <c r="A119" s="22" t="inlineStr">
        <is>
          <t>Scaled Rollout and Adoption</t>
        </is>
      </c>
      <c r="B119" s="22" t="inlineStr">
        <is>
          <t>Final UAT &amp; Stakeholder Acceptance</t>
        </is>
      </c>
      <c r="C119" s="22" t="inlineStr">
        <is>
          <t>Capture sign-off from business owners</t>
        </is>
      </c>
      <c r="D119" s="22" t="inlineStr">
        <is>
          <t>UAT Sign-off Report, Known Issues Log</t>
        </is>
      </c>
      <c r="E119" s="22" t="inlineStr">
        <is>
          <t>Conduct final user acceptance testing with pilot teams; log and triage known issues before launch.</t>
        </is>
      </c>
      <c r="F119" s="22" t="inlineStr">
        <is>
          <t>Senior Solutions Engineer</t>
        </is>
      </c>
      <c r="G119" s="22" t="inlineStr">
        <is>
          <t>Knapsack</t>
        </is>
      </c>
      <c r="H119" s="22" t="inlineStr">
        <is>
          <t>Engineer</t>
        </is>
      </c>
      <c r="I119" s="22" t="inlineStr">
        <is>
          <t>25–28</t>
        </is>
      </c>
    </row>
    <row r="120">
      <c r="A120" s="22" t="inlineStr">
        <is>
          <t>Scaled Rollout and Adoption</t>
        </is>
      </c>
      <c r="B120" s="22" t="inlineStr">
        <is>
          <t>Change Impact Analysis</t>
        </is>
      </c>
      <c r="C120" s="22" t="inlineStr">
        <is>
          <t>Identify impacted teams</t>
        </is>
      </c>
      <c r="D120" s="22" t="n"/>
      <c r="E120" s="22" t="n"/>
      <c r="F120" s="22" t="inlineStr">
        <is>
          <t>CX Partner - Change Management SME</t>
        </is>
      </c>
      <c r="G120" s="22" t="inlineStr">
        <is>
          <t>Knapsack</t>
        </is>
      </c>
      <c r="H120" s="22" t="inlineStr">
        <is>
          <t>CX Partner</t>
        </is>
      </c>
      <c r="I120" s="22" t="inlineStr">
        <is>
          <t>21–24</t>
        </is>
      </c>
    </row>
    <row r="121">
      <c r="A121" s="22" t="inlineStr">
        <is>
          <t>Scaled Rollout and Adoption</t>
        </is>
      </c>
      <c r="B121" s="22" t="inlineStr">
        <is>
          <t>Change Impact Analysis</t>
        </is>
      </c>
      <c r="C121" s="22" t="inlineStr">
        <is>
          <t>Conduct stakeholder interviews</t>
        </is>
      </c>
      <c r="D121" s="22" t="n"/>
      <c r="E121" s="22" t="n"/>
      <c r="F121" s="22" t="inlineStr">
        <is>
          <t>CX Partner - Change Management SME</t>
        </is>
      </c>
      <c r="G121" s="22" t="inlineStr">
        <is>
          <t>Knapsack</t>
        </is>
      </c>
      <c r="H121" s="22" t="inlineStr">
        <is>
          <t>CX Partner</t>
        </is>
      </c>
      <c r="I121" s="22" t="inlineStr">
        <is>
          <t>21–24</t>
        </is>
      </c>
    </row>
    <row r="122">
      <c r="A122" s="22" t="inlineStr">
        <is>
          <t>Scaled Rollout and Adoption</t>
        </is>
      </c>
      <c r="B122" s="22" t="inlineStr">
        <is>
          <t>Change Impact Analysis</t>
        </is>
      </c>
      <c r="C122" s="22" t="inlineStr">
        <is>
          <t>Document change action plans</t>
        </is>
      </c>
      <c r="D122" s="22" t="n"/>
      <c r="E122" s="22" t="n"/>
      <c r="F122" s="22" t="inlineStr">
        <is>
          <t>CX Partner - Change Management SME</t>
        </is>
      </c>
      <c r="G122" s="22" t="inlineStr">
        <is>
          <t>Knapsack</t>
        </is>
      </c>
      <c r="H122" s="22" t="inlineStr">
        <is>
          <t>CX Partner</t>
        </is>
      </c>
      <c r="I122" s="22" t="inlineStr">
        <is>
          <t>21–24</t>
        </is>
      </c>
    </row>
    <row r="123">
      <c r="A123" s="22" t="inlineStr">
        <is>
          <t>Scaled Rollout and Adoption</t>
        </is>
      </c>
      <c r="B123" s="22" t="inlineStr">
        <is>
          <t>Change Impact Analysis</t>
        </is>
      </c>
      <c r="C123" s="22" t="inlineStr">
        <is>
          <t>Share mitigation strategies</t>
        </is>
      </c>
      <c r="D123" s="22" t="inlineStr">
        <is>
          <t>Change Impact Log, Stakeholder Action Plan</t>
        </is>
      </c>
      <c r="E123" s="22" t="inlineStr">
        <is>
          <t>Evaluate and manage business unit impacts during scale-up.</t>
        </is>
      </c>
      <c r="F123" s="22" t="inlineStr">
        <is>
          <t>CX Partner - Change Management SME</t>
        </is>
      </c>
      <c r="G123" s="22" t="inlineStr">
        <is>
          <t>Knapsack</t>
        </is>
      </c>
      <c r="H123" s="22" t="inlineStr">
        <is>
          <t>CX Partner</t>
        </is>
      </c>
      <c r="I123" s="22" t="inlineStr">
        <is>
          <t>21–24</t>
        </is>
      </c>
    </row>
    <row r="124">
      <c r="A124" s="22" t="inlineStr">
        <is>
          <t>Scaled Rollout and Adoption</t>
        </is>
      </c>
      <c r="B124" s="22" t="inlineStr">
        <is>
          <t>Adoption Acceleration Campaign</t>
        </is>
      </c>
      <c r="C124" s="22" t="inlineStr">
        <is>
          <t>Develop success-story series</t>
        </is>
      </c>
      <c r="D124" s="22" t="n"/>
      <c r="E124" s="22" t="n"/>
      <c r="F124" s="22" t="inlineStr">
        <is>
          <t>CX Partner - Change Management SME</t>
        </is>
      </c>
      <c r="G124" s="22" t="inlineStr">
        <is>
          <t>Adobe</t>
        </is>
      </c>
      <c r="H124" s="22" t="inlineStr">
        <is>
          <t>CX Partner</t>
        </is>
      </c>
      <c r="I124" s="22" t="inlineStr">
        <is>
          <t>29–32</t>
        </is>
      </c>
    </row>
    <row r="125">
      <c r="A125" s="22" t="inlineStr">
        <is>
          <t>Scaled Rollout and Adoption</t>
        </is>
      </c>
      <c r="B125" s="22" t="inlineStr">
        <is>
          <t>Adoption Acceleration Campaign</t>
        </is>
      </c>
      <c r="C125" s="22" t="inlineStr">
        <is>
          <t>Publish awareness materials</t>
        </is>
      </c>
      <c r="D125" s="22" t="n"/>
      <c r="E125" s="22" t="n"/>
      <c r="F125" s="22" t="inlineStr">
        <is>
          <t>CX Partner - Change Management SME</t>
        </is>
      </c>
      <c r="G125" s="22" t="inlineStr">
        <is>
          <t>Adobe</t>
        </is>
      </c>
      <c r="H125" s="22" t="inlineStr">
        <is>
          <t>CX Partner</t>
        </is>
      </c>
      <c r="I125" s="22" t="inlineStr">
        <is>
          <t>29–32</t>
        </is>
      </c>
    </row>
    <row r="126">
      <c r="A126" s="22" t="inlineStr">
        <is>
          <t>Scaled Rollout and Adoption</t>
        </is>
      </c>
      <c r="B126" s="22" t="inlineStr">
        <is>
          <t>Adoption Acceleration Campaign</t>
        </is>
      </c>
      <c r="C126" s="22" t="inlineStr">
        <is>
          <t>Monitor engagement analytics</t>
        </is>
      </c>
      <c r="D126" s="22" t="n"/>
      <c r="E126" s="22" t="n"/>
      <c r="F126" s="22" t="inlineStr">
        <is>
          <t>CX Partner - Change Management SME</t>
        </is>
      </c>
      <c r="G126" s="22" t="inlineStr">
        <is>
          <t>Adobe</t>
        </is>
      </c>
      <c r="H126" s="22" t="inlineStr">
        <is>
          <t>CX Partner</t>
        </is>
      </c>
      <c r="I126" s="22" t="inlineStr">
        <is>
          <t>29–32</t>
        </is>
      </c>
    </row>
    <row r="127">
      <c r="A127" s="22" t="inlineStr">
        <is>
          <t>Scaled Rollout and Adoption</t>
        </is>
      </c>
      <c r="B127" s="22" t="inlineStr">
        <is>
          <t>Adoption Acceleration Campaign</t>
        </is>
      </c>
      <c r="C127" s="22" t="inlineStr">
        <is>
          <t>Share outcomes in adoption dashboard</t>
        </is>
      </c>
      <c r="D127" s="22" t="inlineStr">
        <is>
          <t>Awareness Campaign, Success Story Series</t>
        </is>
      </c>
      <c r="E127" s="22" t="inlineStr">
        <is>
          <t>Promote awareness and highlight early success stories to drive adoption.</t>
        </is>
      </c>
      <c r="F127" s="22" t="inlineStr">
        <is>
          <t>CX Partner - Change Management SME</t>
        </is>
      </c>
      <c r="G127" s="22" t="inlineStr">
        <is>
          <t>Adobe</t>
        </is>
      </c>
      <c r="H127" s="22" t="inlineStr">
        <is>
          <t>CX Partner</t>
        </is>
      </c>
      <c r="I127" s="22" t="inlineStr">
        <is>
          <t>29–32</t>
        </is>
      </c>
    </row>
    <row r="128">
      <c r="A128" s="22" t="inlineStr">
        <is>
          <t>Scaled Rollout and Adoption</t>
        </is>
      </c>
      <c r="B128" s="22" t="inlineStr">
        <is>
          <t>Partner Enablement &amp; Recognition</t>
        </is>
      </c>
      <c r="C128" s="22" t="inlineStr">
        <is>
          <t>Define contribution metrics</t>
        </is>
      </c>
      <c r="D128" s="22" t="n"/>
      <c r="E128" s="22" t="n"/>
      <c r="F128" s="22" t="inlineStr">
        <is>
          <t>CX Partner - Change Management SME</t>
        </is>
      </c>
      <c r="G128" s="22" t="inlineStr">
        <is>
          <t>Adobe</t>
        </is>
      </c>
      <c r="H128" s="22" t="inlineStr">
        <is>
          <t>CX Partner</t>
        </is>
      </c>
      <c r="I128" s="22" t="inlineStr">
        <is>
          <t>29–32</t>
        </is>
      </c>
    </row>
    <row r="129">
      <c r="A129" s="22" t="inlineStr">
        <is>
          <t>Scaled Rollout and Adoption</t>
        </is>
      </c>
      <c r="B129" s="22" t="inlineStr">
        <is>
          <t>Partner Enablement &amp; Recognition</t>
        </is>
      </c>
      <c r="C129" s="22" t="inlineStr">
        <is>
          <t>Build leaderboard dashboard</t>
        </is>
      </c>
      <c r="D129" s="22" t="n"/>
      <c r="E129" s="22" t="n"/>
      <c r="F129" s="22" t="inlineStr">
        <is>
          <t>CX Partner - Change Management SME</t>
        </is>
      </c>
      <c r="G129" s="22" t="inlineStr">
        <is>
          <t>Adobe</t>
        </is>
      </c>
      <c r="H129" s="22" t="inlineStr">
        <is>
          <t>CX Partner</t>
        </is>
      </c>
      <c r="I129" s="22" t="inlineStr">
        <is>
          <t>29–32</t>
        </is>
      </c>
    </row>
    <row r="130">
      <c r="A130" s="22" t="inlineStr">
        <is>
          <t>Scaled Rollout and Adoption</t>
        </is>
      </c>
      <c r="B130" s="22" t="inlineStr">
        <is>
          <t>Partner Enablement &amp; Recognition</t>
        </is>
      </c>
      <c r="C130" s="22" t="inlineStr">
        <is>
          <t>Communicate recognition framework</t>
        </is>
      </c>
      <c r="D130" s="22" t="n"/>
      <c r="E130" s="22" t="n"/>
      <c r="F130" s="22" t="inlineStr">
        <is>
          <t>CX Partner - Change Management SME</t>
        </is>
      </c>
      <c r="G130" s="22" t="inlineStr">
        <is>
          <t>Adobe</t>
        </is>
      </c>
      <c r="H130" s="22" t="inlineStr">
        <is>
          <t>CX Partner</t>
        </is>
      </c>
      <c r="I130" s="22" t="inlineStr">
        <is>
          <t>29–32</t>
        </is>
      </c>
    </row>
    <row r="131">
      <c r="A131" s="22" t="inlineStr">
        <is>
          <t>Scaled Rollout and Adoption</t>
        </is>
      </c>
      <c r="B131" s="22" t="inlineStr">
        <is>
          <t>Partner Enablement &amp; Recognition</t>
        </is>
      </c>
      <c r="C131" s="22" t="inlineStr">
        <is>
          <t>Host partner recognition event</t>
        </is>
      </c>
      <c r="D131" s="22" t="inlineStr">
        <is>
          <t>Partner Contribution Leaderboard, Recognition Plan</t>
        </is>
      </c>
      <c r="E131" s="22" t="inlineStr">
        <is>
          <t>Drive engagement through recognition and contribution metrics.</t>
        </is>
      </c>
      <c r="F131" s="22" t="inlineStr">
        <is>
          <t>CX Partner - Change Management SME</t>
        </is>
      </c>
      <c r="G131" s="22" t="inlineStr">
        <is>
          <t>Adobe</t>
        </is>
      </c>
      <c r="H131" s="22" t="inlineStr">
        <is>
          <t>CX Partner</t>
        </is>
      </c>
      <c r="I131" s="22" t="inlineStr">
        <is>
          <t>29–32</t>
        </is>
      </c>
    </row>
    <row r="132">
      <c r="A132" s="22" t="inlineStr">
        <is>
          <t>Optimization and Continued Support</t>
        </is>
      </c>
      <c r="B132" s="22" t="inlineStr">
        <is>
          <t>Transition support</t>
        </is>
      </c>
      <c r="C132" s="22" t="inlineStr">
        <is>
          <t>Conduct lessons-learned session</t>
        </is>
      </c>
      <c r="D132" s="22" t="n"/>
      <c r="E132" s="22" t="n"/>
      <c r="F132" s="22" t="inlineStr">
        <is>
          <t>Senior Solutions Engineer</t>
        </is>
      </c>
      <c r="G132" s="22" t="inlineStr">
        <is>
          <t>Knapsack</t>
        </is>
      </c>
      <c r="H132" s="22" t="inlineStr">
        <is>
          <t>Engineer</t>
        </is>
      </c>
      <c r="I132" s="22" t="inlineStr">
        <is>
          <t>33+</t>
        </is>
      </c>
    </row>
    <row r="133">
      <c r="A133" s="22" t="inlineStr">
        <is>
          <t>Optimization and Continued Support</t>
        </is>
      </c>
      <c r="B133" s="22" t="inlineStr">
        <is>
          <t>Transition support</t>
        </is>
      </c>
      <c r="C133" s="22" t="inlineStr">
        <is>
          <t>Update improvement backlog</t>
        </is>
      </c>
      <c r="D133" s="22" t="n"/>
      <c r="E133" s="22" t="n"/>
      <c r="F133" s="22" t="inlineStr">
        <is>
          <t>Senior Solutions Engineer</t>
        </is>
      </c>
      <c r="G133" s="22" t="inlineStr">
        <is>
          <t>Knapsack</t>
        </is>
      </c>
      <c r="H133" s="22" t="inlineStr">
        <is>
          <t>Engineer</t>
        </is>
      </c>
      <c r="I133" s="22" t="inlineStr">
        <is>
          <t>33+</t>
        </is>
      </c>
    </row>
    <row r="134">
      <c r="A134" s="22" t="inlineStr">
        <is>
          <t>Optimization and Continued Support</t>
        </is>
      </c>
      <c r="B134" s="22" t="inlineStr">
        <is>
          <t>Transition support</t>
        </is>
      </c>
      <c r="C134" s="22" t="inlineStr">
        <is>
          <t>Create continuous improvement plan</t>
        </is>
      </c>
      <c r="D134" s="22" t="n"/>
      <c r="E134" s="22" t="n"/>
      <c r="F134" s="22" t="inlineStr">
        <is>
          <t>Senior Solutions Engineer</t>
        </is>
      </c>
      <c r="G134" s="22" t="inlineStr">
        <is>
          <t>Knapsack</t>
        </is>
      </c>
      <c r="H134" s="22" t="inlineStr">
        <is>
          <t>Engineer</t>
        </is>
      </c>
      <c r="I134" s="22" t="inlineStr">
        <is>
          <t>33+</t>
        </is>
      </c>
    </row>
    <row r="135">
      <c r="A135" s="22" t="inlineStr">
        <is>
          <t>Optimization and Continued Support</t>
        </is>
      </c>
      <c r="B135" s="22" t="inlineStr">
        <is>
          <t>Transition support</t>
        </is>
      </c>
      <c r="C135" s="22" t="inlineStr">
        <is>
          <t>Share analytics summary</t>
        </is>
      </c>
      <c r="D135" s="22" t="inlineStr">
        <is>
          <t>Continuous Improvement Plan</t>
        </is>
      </c>
      <c r="E135" s="22" t="inlineStr">
        <is>
          <t>Continuous improvement plan with analytics and recommendations.</t>
        </is>
      </c>
      <c r="F135" s="22" t="inlineStr">
        <is>
          <t>Senior Solutions Engineer</t>
        </is>
      </c>
      <c r="G135" s="22" t="inlineStr">
        <is>
          <t>Knapsack</t>
        </is>
      </c>
      <c r="H135" s="22" t="inlineStr">
        <is>
          <t>Engineer</t>
        </is>
      </c>
      <c r="I135" s="22" t="inlineStr">
        <is>
          <t>33+</t>
        </is>
      </c>
    </row>
    <row r="136">
      <c r="A136" s="22" t="inlineStr">
        <is>
          <t>Optimization and Continued Support</t>
        </is>
      </c>
      <c r="B136" s="22" t="inlineStr">
        <is>
          <t>Cutover Execution</t>
        </is>
      </c>
      <c r="C136" s="22" t="inlineStr">
        <is>
          <t>Perform production deployment</t>
        </is>
      </c>
      <c r="D136" s="22" t="n"/>
      <c r="E136" s="22" t="n"/>
      <c r="F136" s="22" t="inlineStr">
        <is>
          <t>Senior Solutions Engineer</t>
        </is>
      </c>
      <c r="G136" s="22" t="inlineStr">
        <is>
          <t>Knapsack</t>
        </is>
      </c>
      <c r="H136" s="22" t="inlineStr">
        <is>
          <t>Engineer</t>
        </is>
      </c>
      <c r="I136" s="22" t="inlineStr">
        <is>
          <t>33+</t>
        </is>
      </c>
    </row>
    <row r="137">
      <c r="A137" s="22" t="inlineStr">
        <is>
          <t>Optimization and Continued Support</t>
        </is>
      </c>
      <c r="B137" s="22" t="inlineStr">
        <is>
          <t>Cutover Execution</t>
        </is>
      </c>
      <c r="C137" s="22" t="inlineStr">
        <is>
          <t>Validate access and permissions</t>
        </is>
      </c>
      <c r="D137" s="22" t="n"/>
      <c r="E137" s="22" t="n"/>
      <c r="F137" s="22" t="inlineStr">
        <is>
          <t>Senior Solutions Engineer</t>
        </is>
      </c>
      <c r="G137" s="22" t="inlineStr">
        <is>
          <t>Knapsack</t>
        </is>
      </c>
      <c r="H137" s="22" t="inlineStr">
        <is>
          <t>Engineer</t>
        </is>
      </c>
      <c r="I137" s="22" t="inlineStr">
        <is>
          <t>33+</t>
        </is>
      </c>
    </row>
    <row r="138">
      <c r="A138" s="22" t="inlineStr">
        <is>
          <t>Optimization and Continued Support</t>
        </is>
      </c>
      <c r="B138" s="22" t="inlineStr">
        <is>
          <t>Cutover Execution</t>
        </is>
      </c>
      <c r="C138" s="22" t="inlineStr">
        <is>
          <t>Monitor service health dashboard</t>
        </is>
      </c>
      <c r="D138" s="22" t="n"/>
      <c r="E138" s="22" t="n"/>
      <c r="F138" s="22" t="inlineStr">
        <is>
          <t>Senior Solutions Engineer</t>
        </is>
      </c>
      <c r="G138" s="22" t="inlineStr">
        <is>
          <t>Knapsack</t>
        </is>
      </c>
      <c r="H138" s="22" t="inlineStr">
        <is>
          <t>Engineer</t>
        </is>
      </c>
      <c r="I138" s="22" t="inlineStr">
        <is>
          <t>33+</t>
        </is>
      </c>
    </row>
    <row r="139">
      <c r="A139" s="22" t="inlineStr">
        <is>
          <t>Optimization and Continued Support</t>
        </is>
      </c>
      <c r="B139" s="22" t="inlineStr">
        <is>
          <t>Cutover Execution</t>
        </is>
      </c>
      <c r="C139" s="22" t="inlineStr">
        <is>
          <t>Confirm deployment sign-off</t>
        </is>
      </c>
      <c r="D139" s="22" t="inlineStr">
        <is>
          <t>Deployment Completion Report, Access Validation, Service Health Dashboard</t>
        </is>
      </c>
      <c r="E139" s="22" t="inlineStr">
        <is>
          <t>Execute production deployment; validate access controls, deployment integrity, and service health.</t>
        </is>
      </c>
      <c r="F139" s="22" t="inlineStr">
        <is>
          <t>Senior Solutions Engineer</t>
        </is>
      </c>
      <c r="G139" s="22" t="inlineStr">
        <is>
          <t>Knapsack</t>
        </is>
      </c>
      <c r="H139" s="22" t="inlineStr">
        <is>
          <t>Engineer</t>
        </is>
      </c>
      <c r="I139" s="22" t="inlineStr">
        <is>
          <t>33+</t>
        </is>
      </c>
    </row>
    <row r="140">
      <c r="A140" s="22" t="inlineStr">
        <is>
          <t>Optimization and Continued Support</t>
        </is>
      </c>
      <c r="B140" s="22" t="inlineStr">
        <is>
          <t>Go-Live Communication Launch</t>
        </is>
      </c>
      <c r="C140" s="22" t="inlineStr">
        <is>
          <t>Draft go-live announcement and FAQ</t>
        </is>
      </c>
      <c r="D140" s="22" t="n"/>
      <c r="E140" s="22" t="n"/>
      <c r="F140" s="22" t="inlineStr">
        <is>
          <t>Project Manager</t>
        </is>
      </c>
      <c r="G140" s="22" t="inlineStr">
        <is>
          <t>Adobe</t>
        </is>
      </c>
      <c r="H140" s="22" t="inlineStr">
        <is>
          <t>Project Manager</t>
        </is>
      </c>
      <c r="I140" s="22" t="inlineStr">
        <is>
          <t>33+</t>
        </is>
      </c>
    </row>
    <row r="141">
      <c r="A141" s="22" t="inlineStr">
        <is>
          <t>Optimization and Continued Support</t>
        </is>
      </c>
      <c r="B141" s="22" t="inlineStr">
        <is>
          <t>Go-Live Communication Launch</t>
        </is>
      </c>
      <c r="C141" s="22" t="inlineStr">
        <is>
          <t>Coordinate internal distribution</t>
        </is>
      </c>
      <c r="D141" s="22" t="n"/>
      <c r="E141" s="22" t="n"/>
      <c r="F141" s="22" t="inlineStr">
        <is>
          <t>Project Manager</t>
        </is>
      </c>
      <c r="G141" s="22" t="inlineStr">
        <is>
          <t>Adobe</t>
        </is>
      </c>
      <c r="H141" s="22" t="inlineStr">
        <is>
          <t>Project Manager</t>
        </is>
      </c>
      <c r="I141" s="22" t="inlineStr">
        <is>
          <t>33+</t>
        </is>
      </c>
    </row>
    <row r="142">
      <c r="A142" s="22" t="inlineStr">
        <is>
          <t>Optimization and Continued Support</t>
        </is>
      </c>
      <c r="B142" s="22" t="inlineStr">
        <is>
          <t>Go-Live Communication Launch</t>
        </is>
      </c>
      <c r="C142" s="22" t="inlineStr">
        <is>
          <t>Activate support channels</t>
        </is>
      </c>
      <c r="D142" s="22" t="n"/>
      <c r="E142" s="22" t="n"/>
      <c r="F142" s="22" t="inlineStr">
        <is>
          <t>Project Manager</t>
        </is>
      </c>
      <c r="G142" s="22" t="inlineStr">
        <is>
          <t>Adobe</t>
        </is>
      </c>
      <c r="H142" s="22" t="inlineStr">
        <is>
          <t>Project Manager</t>
        </is>
      </c>
      <c r="I142" s="22" t="inlineStr">
        <is>
          <t>33+</t>
        </is>
      </c>
    </row>
    <row r="143">
      <c r="A143" s="22" t="inlineStr">
        <is>
          <t>Optimization and Continued Support</t>
        </is>
      </c>
      <c r="B143" s="22" t="inlineStr">
        <is>
          <t>Go-Live Communication Launch</t>
        </is>
      </c>
      <c r="C143" s="22" t="inlineStr">
        <is>
          <t>Collect user questions for knowledge base</t>
        </is>
      </c>
      <c r="D143" s="22" t="inlineStr">
        <is>
          <t>Internal Announcement, Go-Live FAQ, Support Channels</t>
        </is>
      </c>
      <c r="E143" s="22" t="inlineStr">
        <is>
          <t>Announce official go-live to stakeholders; provide communication templates and support channels.</t>
        </is>
      </c>
      <c r="F143" s="22" t="inlineStr">
        <is>
          <t>Project Manager</t>
        </is>
      </c>
      <c r="G143" s="22" t="inlineStr">
        <is>
          <t>Adobe</t>
        </is>
      </c>
      <c r="H143" s="22" t="inlineStr">
        <is>
          <t>Project Manager</t>
        </is>
      </c>
      <c r="I143" s="22" t="inlineStr">
        <is>
          <t>33+</t>
        </is>
      </c>
    </row>
    <row r="144">
      <c r="A144" s="22" t="inlineStr">
        <is>
          <t>Optimization and Continued Support</t>
        </is>
      </c>
      <c r="B144" s="22" t="inlineStr">
        <is>
          <t>Hypercare Phase (Post-Go-Live Support)</t>
        </is>
      </c>
      <c r="C144" s="22" t="inlineStr">
        <is>
          <t>Provide high-touch post-launch support</t>
        </is>
      </c>
      <c r="D144" s="22" t="n"/>
      <c r="E144" s="22" t="n"/>
      <c r="F144" s="22" t="inlineStr">
        <is>
          <t>Senior Solutions Engineer</t>
        </is>
      </c>
      <c r="G144" s="22" t="inlineStr">
        <is>
          <t>Knapsack</t>
        </is>
      </c>
      <c r="H144" s="22" t="inlineStr">
        <is>
          <t>Engineer</t>
        </is>
      </c>
      <c r="I144" s="22" t="inlineStr">
        <is>
          <t>33+</t>
        </is>
      </c>
    </row>
    <row r="145">
      <c r="A145" s="22" t="inlineStr">
        <is>
          <t>Optimization and Continued Support</t>
        </is>
      </c>
      <c r="B145" s="22" t="inlineStr">
        <is>
          <t>Hypercare Phase (Post-Go-Live Support)</t>
        </is>
      </c>
      <c r="C145" s="22" t="inlineStr">
        <is>
          <t>Monitor tickets and SLAs</t>
        </is>
      </c>
      <c r="D145" s="22" t="n"/>
      <c r="E145" s="22" t="n"/>
      <c r="F145" s="22" t="inlineStr">
        <is>
          <t>Senior Solutions Engineer</t>
        </is>
      </c>
      <c r="G145" s="22" t="inlineStr">
        <is>
          <t>Knapsack</t>
        </is>
      </c>
      <c r="H145" s="22" t="inlineStr">
        <is>
          <t>Engineer</t>
        </is>
      </c>
      <c r="I145" s="22" t="inlineStr">
        <is>
          <t>33+</t>
        </is>
      </c>
    </row>
    <row r="146">
      <c r="A146" s="22" t="inlineStr">
        <is>
          <t>Optimization and Continued Support</t>
        </is>
      </c>
      <c r="B146" s="22" t="inlineStr">
        <is>
          <t>Hypercare Phase (Post-Go-Live Support)</t>
        </is>
      </c>
      <c r="C146" s="22" t="inlineStr">
        <is>
          <t>Resolve critical issues</t>
        </is>
      </c>
      <c r="D146" s="22" t="n"/>
      <c r="E146" s="22" t="n"/>
      <c r="F146" s="22" t="inlineStr">
        <is>
          <t>Senior Solutions Engineer</t>
        </is>
      </c>
      <c r="G146" s="22" t="inlineStr">
        <is>
          <t>Knapsack</t>
        </is>
      </c>
      <c r="H146" s="22" t="inlineStr">
        <is>
          <t>Engineer</t>
        </is>
      </c>
      <c r="I146" s="22" t="inlineStr">
        <is>
          <t>33+</t>
        </is>
      </c>
    </row>
    <row r="147">
      <c r="A147" s="22" t="inlineStr">
        <is>
          <t>Optimization and Continued Support</t>
        </is>
      </c>
      <c r="B147" s="22" t="inlineStr">
        <is>
          <t>Hypercare Phase (Post-Go-Live Support)</t>
        </is>
      </c>
      <c r="C147" s="22" t="inlineStr">
        <is>
          <t>Deliver weekly hypercare reports</t>
        </is>
      </c>
      <c r="D147" s="22" t="inlineStr">
        <is>
          <t>Hypercare Status Reports, Issue Resolution Tracker</t>
        </is>
      </c>
      <c r="E147" s="22" t="inlineStr">
        <is>
          <t>Provide high-touch support for 30–90 days post go-live, track SLAs, and stabilize the system.</t>
        </is>
      </c>
      <c r="F147" s="22" t="inlineStr">
        <is>
          <t>Senior Solutions Engineer</t>
        </is>
      </c>
      <c r="G147" s="22" t="inlineStr">
        <is>
          <t>Knapsack</t>
        </is>
      </c>
      <c r="H147" s="22" t="inlineStr">
        <is>
          <t>Engineer</t>
        </is>
      </c>
      <c r="I147" s="22" t="inlineStr">
        <is>
          <t>33+</t>
        </is>
      </c>
    </row>
    <row r="148">
      <c r="A148" s="22" t="inlineStr">
        <is>
          <t>Optimization and Continued Support</t>
        </is>
      </c>
      <c r="B148" s="22" t="inlineStr">
        <is>
          <t>Post-Implementation Review</t>
        </is>
      </c>
      <c r="C148" s="22" t="inlineStr">
        <is>
          <t>Analyze KPIs and satisfaction metrics</t>
        </is>
      </c>
      <c r="D148" s="22" t="n"/>
      <c r="E148" s="22" t="n"/>
      <c r="F148" s="22" t="inlineStr">
        <is>
          <t>Project Manager</t>
        </is>
      </c>
      <c r="G148" s="22" t="inlineStr">
        <is>
          <t>Adobe</t>
        </is>
      </c>
      <c r="H148" s="22" t="inlineStr">
        <is>
          <t>Project Manager</t>
        </is>
      </c>
      <c r="I148" s="22" t="inlineStr">
        <is>
          <t>33+</t>
        </is>
      </c>
    </row>
    <row r="149">
      <c r="A149" s="22" t="inlineStr">
        <is>
          <t>Optimization and Continued Support</t>
        </is>
      </c>
      <c r="B149" s="22" t="inlineStr">
        <is>
          <t>Post-Implementation Review</t>
        </is>
      </c>
      <c r="C149" s="22" t="inlineStr">
        <is>
          <t>Conduct stakeholder debrief</t>
        </is>
      </c>
      <c r="D149" s="22" t="n"/>
      <c r="E149" s="22" t="n"/>
      <c r="F149" s="22" t="inlineStr">
        <is>
          <t>Project Manager</t>
        </is>
      </c>
      <c r="G149" s="22" t="inlineStr">
        <is>
          <t>Adobe</t>
        </is>
      </c>
      <c r="H149" s="22" t="inlineStr">
        <is>
          <t>Project Manager</t>
        </is>
      </c>
      <c r="I149" s="22" t="inlineStr">
        <is>
          <t>33+</t>
        </is>
      </c>
    </row>
    <row r="150">
      <c r="A150" s="22" t="inlineStr">
        <is>
          <t>Optimization and Continued Support</t>
        </is>
      </c>
      <c r="B150" s="22" t="inlineStr">
        <is>
          <t>Post-Implementation Review</t>
        </is>
      </c>
      <c r="C150" s="22" t="inlineStr">
        <is>
          <t>Document lessons learned</t>
        </is>
      </c>
      <c r="D150" s="22" t="n"/>
      <c r="E150" s="22" t="n"/>
      <c r="F150" s="22" t="inlineStr">
        <is>
          <t>Project Manager</t>
        </is>
      </c>
      <c r="G150" s="22" t="inlineStr">
        <is>
          <t>Adobe</t>
        </is>
      </c>
      <c r="H150" s="22" t="inlineStr">
        <is>
          <t>Project Manager</t>
        </is>
      </c>
      <c r="I150" s="22" t="inlineStr">
        <is>
          <t>33+</t>
        </is>
      </c>
    </row>
    <row r="151">
      <c r="A151" s="22" t="inlineStr">
        <is>
          <t>Optimization and Continued Support</t>
        </is>
      </c>
      <c r="B151" s="22" t="inlineStr">
        <is>
          <t>Post-Implementation Review</t>
        </is>
      </c>
      <c r="C151" s="22" t="inlineStr">
        <is>
          <t>Prepare optimization backlog</t>
        </is>
      </c>
      <c r="D151" s="22" t="inlineStr">
        <is>
          <t>Lessons Learned Summary, KPI Report, Optimization Backlog</t>
        </is>
      </c>
      <c r="E151" s="22" t="inlineStr">
        <is>
          <t>Evaluate performance, adoption, and partner satisfaction to inform optimization roadmap.</t>
        </is>
      </c>
      <c r="F151" s="22" t="inlineStr">
        <is>
          <t>Project Manager</t>
        </is>
      </c>
      <c r="G151" s="22" t="inlineStr">
        <is>
          <t>Adobe</t>
        </is>
      </c>
      <c r="H151" s="22" t="inlineStr">
        <is>
          <t>Project Manager</t>
        </is>
      </c>
      <c r="I151" s="22" t="inlineStr">
        <is>
          <t>33+</t>
        </is>
      </c>
    </row>
    <row r="152">
      <c r="A152" s="22" t="inlineStr">
        <is>
          <t>Optimization and Continued Support</t>
        </is>
      </c>
      <c r="B152" s="22" t="inlineStr">
        <is>
          <t>Transition to Steady-State Operations</t>
        </is>
      </c>
      <c r="C152" s="22" t="inlineStr">
        <is>
          <t>Facilitate knowledge transfer sessions</t>
        </is>
      </c>
      <c r="D152" s="22" t="n"/>
      <c r="E152" s="22" t="n"/>
      <c r="F152" s="22" t="inlineStr">
        <is>
          <t>Design System Lead</t>
        </is>
      </c>
      <c r="G152" s="22" t="inlineStr">
        <is>
          <t>Adobe</t>
        </is>
      </c>
      <c r="H152" s="22" t="inlineStr">
        <is>
          <t>Design Lead</t>
        </is>
      </c>
      <c r="I152" s="22" t="inlineStr">
        <is>
          <t>33+</t>
        </is>
      </c>
    </row>
    <row r="153">
      <c r="A153" s="22" t="inlineStr">
        <is>
          <t>Optimization and Continued Support</t>
        </is>
      </c>
      <c r="B153" s="22" t="inlineStr">
        <is>
          <t>Transition to Steady-State Operations</t>
        </is>
      </c>
      <c r="C153" s="22" t="inlineStr">
        <is>
          <t>Deliver ownership matrix</t>
        </is>
      </c>
      <c r="D153" s="22" t="n"/>
      <c r="E153" s="22" t="n"/>
      <c r="F153" s="22" t="inlineStr">
        <is>
          <t>Design System Lead</t>
        </is>
      </c>
      <c r="G153" s="22" t="inlineStr">
        <is>
          <t>Adobe</t>
        </is>
      </c>
      <c r="H153" s="22" t="inlineStr">
        <is>
          <t>Design Lead</t>
        </is>
      </c>
      <c r="I153" s="22" t="inlineStr">
        <is>
          <t>33+</t>
        </is>
      </c>
    </row>
    <row r="154">
      <c r="A154" s="22" t="inlineStr">
        <is>
          <t>Optimization and Continued Support</t>
        </is>
      </c>
      <c r="B154" s="22" t="inlineStr">
        <is>
          <t>Transition to Steady-State Operations</t>
        </is>
      </c>
      <c r="C154" s="22" t="inlineStr">
        <is>
          <t>Confirm governance cadence</t>
        </is>
      </c>
      <c r="D154" s="22" t="n"/>
      <c r="E154" s="22" t="n"/>
      <c r="F154" s="22" t="inlineStr">
        <is>
          <t>Design System Lead</t>
        </is>
      </c>
      <c r="G154" s="22" t="inlineStr">
        <is>
          <t>Adobe</t>
        </is>
      </c>
      <c r="H154" s="22" t="inlineStr">
        <is>
          <t>Design Lead</t>
        </is>
      </c>
      <c r="I154" s="22" t="inlineStr">
        <is>
          <t>33+</t>
        </is>
      </c>
    </row>
    <row r="155">
      <c r="A155" s="22" t="inlineStr">
        <is>
          <t>Optimization and Continued Support</t>
        </is>
      </c>
      <c r="B155" s="22" t="inlineStr">
        <is>
          <t>Transition to Steady-State Operations</t>
        </is>
      </c>
      <c r="C155" s="22" t="inlineStr">
        <is>
          <t>Transition documentation to internal owners</t>
        </is>
      </c>
      <c r="D155" s="22" t="inlineStr">
        <is>
          <t>Knowledge Transfer Documentation, Ownership Matrix, Future Roadmap</t>
        </is>
      </c>
      <c r="E155" s="22" t="inlineStr">
        <is>
          <t>Transition ownership to internal design ops and engineering teams; confirm governance cadence.</t>
        </is>
      </c>
      <c r="F155" s="22" t="inlineStr">
        <is>
          <t>Design System Lead</t>
        </is>
      </c>
      <c r="G155" s="22" t="inlineStr">
        <is>
          <t>Adobe</t>
        </is>
      </c>
      <c r="H155" s="22" t="inlineStr">
        <is>
          <t>Design Lead</t>
        </is>
      </c>
      <c r="I155" s="22" t="inlineStr">
        <is>
          <t>33+</t>
        </is>
      </c>
    </row>
    <row r="156">
      <c r="A156" s="22" t="inlineStr">
        <is>
          <t>Optimization and Continued Support</t>
        </is>
      </c>
      <c r="B156" s="22" t="inlineStr">
        <is>
          <t>Continuous Improvement Framework</t>
        </is>
      </c>
      <c r="C156" s="22" t="inlineStr">
        <is>
          <t>Develop sentiment tracking dashboards</t>
        </is>
      </c>
      <c r="D156" s="22" t="n"/>
      <c r="E156" s="22" t="n"/>
      <c r="F156" s="22" t="inlineStr">
        <is>
          <t>CX Partner - Change Management SME</t>
        </is>
      </c>
      <c r="G156" s="22" t="inlineStr">
        <is>
          <t>Adobe</t>
        </is>
      </c>
      <c r="H156" s="22" t="inlineStr">
        <is>
          <t>CX Partner</t>
        </is>
      </c>
      <c r="I156" s="22" t="inlineStr">
        <is>
          <t>33+</t>
        </is>
      </c>
    </row>
    <row r="157">
      <c r="A157" s="22" t="inlineStr">
        <is>
          <t>Optimization and Continued Support</t>
        </is>
      </c>
      <c r="B157" s="22" t="inlineStr">
        <is>
          <t>Continuous Improvement Framework</t>
        </is>
      </c>
      <c r="C157" s="22" t="inlineStr">
        <is>
          <t>Monitor adoption trends</t>
        </is>
      </c>
      <c r="D157" s="22" t="n"/>
      <c r="E157" s="22" t="n"/>
      <c r="F157" s="22" t="inlineStr">
        <is>
          <t>CX Partner - Change Management SME</t>
        </is>
      </c>
      <c r="G157" s="22" t="inlineStr">
        <is>
          <t>Adobe</t>
        </is>
      </c>
      <c r="H157" s="22" t="inlineStr">
        <is>
          <t>CX Partner</t>
        </is>
      </c>
      <c r="I157" s="22" t="inlineStr">
        <is>
          <t>33+</t>
        </is>
      </c>
    </row>
    <row r="158">
      <c r="A158" s="22" t="inlineStr">
        <is>
          <t>Optimization and Continued Support</t>
        </is>
      </c>
      <c r="B158" s="22" t="inlineStr">
        <is>
          <t>Continuous Improvement Framework</t>
        </is>
      </c>
      <c r="C158" s="22" t="inlineStr">
        <is>
          <t>Recommend process improvements</t>
        </is>
      </c>
      <c r="D158" s="22" t="n"/>
      <c r="E158" s="22" t="n"/>
      <c r="F158" s="22" t="inlineStr">
        <is>
          <t>CX Partner - Change Management SME</t>
        </is>
      </c>
      <c r="G158" s="22" t="inlineStr">
        <is>
          <t>Adobe</t>
        </is>
      </c>
      <c r="H158" s="22" t="inlineStr">
        <is>
          <t>CX Partner</t>
        </is>
      </c>
      <c r="I158" s="22" t="inlineStr">
        <is>
          <t>33+</t>
        </is>
      </c>
    </row>
    <row r="159">
      <c r="A159" s="22" t="inlineStr">
        <is>
          <t>Optimization and Continued Support</t>
        </is>
      </c>
      <c r="B159" s="22" t="inlineStr">
        <is>
          <t>Continuous Improvement Framework</t>
        </is>
      </c>
      <c r="C159" s="22" t="inlineStr">
        <is>
          <t>Report quarterly metrics</t>
        </is>
      </c>
      <c r="D159" s="22" t="inlineStr">
        <is>
          <t>Adoption Dashboards, Sentiment Trend Reports</t>
        </is>
      </c>
      <c r="E159" s="22" t="inlineStr">
        <is>
          <t>Maintain engagement and track long-term adoption trends.</t>
        </is>
      </c>
      <c r="F159" s="22" t="inlineStr">
        <is>
          <t>CX Partner - Change Management SME</t>
        </is>
      </c>
      <c r="G159" s="22" t="inlineStr">
        <is>
          <t>Adobe</t>
        </is>
      </c>
      <c r="H159" s="22" t="inlineStr">
        <is>
          <t>CX Partner</t>
        </is>
      </c>
      <c r="I159" s="22" t="inlineStr">
        <is>
          <t>33+</t>
        </is>
      </c>
    </row>
    <row r="160">
      <c r="A160" s="22" t="inlineStr">
        <is>
          <t>Optimization and Continued Support</t>
        </is>
      </c>
      <c r="B160" s="22" t="inlineStr">
        <is>
          <t>Strategic Partnership Review</t>
        </is>
      </c>
      <c r="C160" s="22" t="inlineStr">
        <is>
          <t>Conduct quarterly business reviews</t>
        </is>
      </c>
      <c r="D160" s="22" t="n"/>
      <c r="E160" s="22" t="n"/>
      <c r="F160" s="22" t="inlineStr">
        <is>
          <t>CX Partner - Change Management SME</t>
        </is>
      </c>
      <c r="G160" s="22" t="inlineStr">
        <is>
          <t>Knapsack</t>
        </is>
      </c>
      <c r="H160" s="22" t="inlineStr">
        <is>
          <t>CX Partner</t>
        </is>
      </c>
      <c r="I160" s="22" t="inlineStr">
        <is>
          <t>33+</t>
        </is>
      </c>
    </row>
    <row r="161">
      <c r="A161" s="22" t="inlineStr">
        <is>
          <t>Optimization and Continued Support</t>
        </is>
      </c>
      <c r="B161" s="22" t="inlineStr">
        <is>
          <t>Strategic Partnership Review</t>
        </is>
      </c>
      <c r="C161" s="22" t="inlineStr">
        <is>
          <t>Analyze partnership performance</t>
        </is>
      </c>
      <c r="D161" s="22" t="n"/>
      <c r="E161" s="22" t="n"/>
      <c r="F161" s="22" t="inlineStr">
        <is>
          <t>CX Partner - Change Management SME</t>
        </is>
      </c>
      <c r="G161" s="22" t="inlineStr">
        <is>
          <t>Knapsack</t>
        </is>
      </c>
      <c r="H161" s="22" t="inlineStr">
        <is>
          <t>CX Partner</t>
        </is>
      </c>
      <c r="I161" s="22" t="inlineStr">
        <is>
          <t>33+</t>
        </is>
      </c>
    </row>
    <row r="162">
      <c r="A162" s="22" t="inlineStr">
        <is>
          <t>Optimization and Continued Support</t>
        </is>
      </c>
      <c r="B162" s="22" t="inlineStr">
        <is>
          <t>Strategic Partnership Review</t>
        </is>
      </c>
      <c r="C162" s="22" t="inlineStr">
        <is>
          <t>Identify collaboration opportunities</t>
        </is>
      </c>
      <c r="D162" s="22" t="n"/>
      <c r="E162" s="22" t="n"/>
      <c r="F162" s="22" t="inlineStr">
        <is>
          <t>CX Partner - Change Management SME</t>
        </is>
      </c>
      <c r="G162" s="22" t="inlineStr">
        <is>
          <t>Knapsack</t>
        </is>
      </c>
      <c r="H162" s="22" t="inlineStr">
        <is>
          <t>CX Partner</t>
        </is>
      </c>
      <c r="I162" s="22" t="inlineStr">
        <is>
          <t>33+</t>
        </is>
      </c>
    </row>
    <row r="163">
      <c r="A163" s="22" t="inlineStr">
        <is>
          <t>Optimization and Continued Support</t>
        </is>
      </c>
      <c r="B163" s="22" t="inlineStr">
        <is>
          <t>Strategic Partnership Review</t>
        </is>
      </c>
      <c r="C163" s="22" t="inlineStr">
        <is>
          <t>Update partnership roadmap</t>
        </is>
      </c>
      <c r="D163" s="22" t="inlineStr">
        <is>
          <t>Quarterly Business Review Deck</t>
        </is>
      </c>
      <c r="E163" s="22" t="inlineStr">
        <is>
          <t>Evaluate ongoing partnership alignment and strategic direction.</t>
        </is>
      </c>
      <c r="F163" s="22" t="inlineStr">
        <is>
          <t>CX Partner - Change Management SME</t>
        </is>
      </c>
      <c r="G163" s="22" t="inlineStr">
        <is>
          <t>Knapsack</t>
        </is>
      </c>
      <c r="H163" s="22" t="inlineStr">
        <is>
          <t>CX Partner</t>
        </is>
      </c>
      <c r="I163" s="22" t="inlineStr">
        <is>
          <t>33+</t>
        </is>
      </c>
    </row>
    <row r="164">
      <c r="A164" s="22" t="inlineStr">
        <is>
          <t>Optimization and Continued Support</t>
        </is>
      </c>
      <c r="B164" s="22" t="inlineStr">
        <is>
          <t>Case Study Development</t>
        </is>
      </c>
      <c r="C164" s="22" t="inlineStr">
        <is>
          <t>Collect success metrics and outcomes</t>
        </is>
      </c>
      <c r="D164" s="22" t="n"/>
      <c r="E164" s="22" t="n"/>
      <c r="F164" s="22" t="inlineStr">
        <is>
          <t>CX Partner - Change Management SME</t>
        </is>
      </c>
      <c r="G164" s="22" t="inlineStr">
        <is>
          <t>Adobe</t>
        </is>
      </c>
      <c r="H164" s="22" t="inlineStr">
        <is>
          <t>CX Partner</t>
        </is>
      </c>
      <c r="I164" s="22" t="inlineStr">
        <is>
          <t>33+</t>
        </is>
      </c>
    </row>
    <row r="165">
      <c r="A165" s="22" t="inlineStr">
        <is>
          <t>Optimization and Continued Support</t>
        </is>
      </c>
      <c r="B165" s="22" t="inlineStr">
        <is>
          <t>Case Study Development</t>
        </is>
      </c>
      <c r="C165" s="22" t="inlineStr">
        <is>
          <t>Draft internal case study</t>
        </is>
      </c>
      <c r="D165" s="22" t="n"/>
      <c r="E165" s="22" t="n"/>
      <c r="F165" s="22" t="inlineStr">
        <is>
          <t>CX Partner - Change Management SME</t>
        </is>
      </c>
      <c r="G165" s="22" t="inlineStr">
        <is>
          <t>Adobe</t>
        </is>
      </c>
      <c r="H165" s="22" t="inlineStr">
        <is>
          <t>CX Partner</t>
        </is>
      </c>
      <c r="I165" s="22" t="inlineStr">
        <is>
          <t>33+</t>
        </is>
      </c>
    </row>
    <row r="166">
      <c r="A166" s="22" t="inlineStr">
        <is>
          <t>Optimization and Continued Support</t>
        </is>
      </c>
      <c r="B166" s="22" t="inlineStr">
        <is>
          <t>Case Study Development</t>
        </is>
      </c>
      <c r="C166" s="22" t="inlineStr">
        <is>
          <t>Obtain approvals for publishing</t>
        </is>
      </c>
      <c r="D166" s="22" t="n"/>
      <c r="E166" s="22" t="n"/>
      <c r="F166" s="22" t="inlineStr">
        <is>
          <t>CX Partner - Change Management SME</t>
        </is>
      </c>
      <c r="G166" s="22" t="inlineStr">
        <is>
          <t>Adobe</t>
        </is>
      </c>
      <c r="H166" s="22" t="inlineStr">
        <is>
          <t>CX Partner</t>
        </is>
      </c>
      <c r="I166" s="22" t="inlineStr">
        <is>
          <t>33+</t>
        </is>
      </c>
    </row>
    <row r="167" s="74">
      <c r="A167" s="22" t="inlineStr">
        <is>
          <t>Optimization and Continued Support</t>
        </is>
      </c>
      <c r="B167" s="22" t="inlineStr">
        <is>
          <t>Case Study Development</t>
        </is>
      </c>
      <c r="C167" s="22" t="inlineStr">
        <is>
          <t>Archive case study in program library</t>
        </is>
      </c>
      <c r="D167" s="22" t="inlineStr">
        <is>
          <t>Internal Case Study + Success Metrics</t>
        </is>
      </c>
      <c r="E167" s="22" t="inlineStr">
        <is>
          <t>Document program success and outcomes for future scaling.</t>
        </is>
      </c>
      <c r="F167" s="22" t="inlineStr">
        <is>
          <t>CX Partner - Change Management SME</t>
        </is>
      </c>
      <c r="G167" s="22" t="inlineStr">
        <is>
          <t>Adobe</t>
        </is>
      </c>
      <c r="H167" s="22" t="inlineStr">
        <is>
          <t>CX Partner</t>
        </is>
      </c>
      <c r="I167" s="22" t="inlineStr">
        <is>
          <t>33+</t>
        </is>
      </c>
    </row>
    <row r="168" s="74">
      <c r="A168" s="22" t="inlineStr">
        <is>
          <t>Implementation + Onboarding</t>
        </is>
      </c>
      <c r="B168" s="22" t="inlineStr">
        <is>
          <t>Design System Charter &amp; Reference Architecture</t>
        </is>
      </c>
      <c r="C168" s="22" t="inlineStr">
        <is>
          <t>Define design system scope, tiering (core vs product), and success metrics (JTBD + KPIs)</t>
        </is>
      </c>
      <c r="D168" s="22" t="n"/>
      <c r="E168" s="22" t="n"/>
      <c r="F168" s="22" t="inlineStr">
        <is>
          <t>Knapsack - Program/Delivery PM</t>
        </is>
      </c>
      <c r="G168" s="22" t="inlineStr">
        <is>
          <t>Knapsack</t>
        </is>
      </c>
      <c r="H168" s="22" t="inlineStr">
        <is>
          <t>Project Manager</t>
        </is>
      </c>
      <c r="I168" s="22" t="inlineStr">
        <is>
          <t>2–3</t>
        </is>
      </c>
    </row>
    <row r="169" s="74">
      <c r="A169" s="22" t="inlineStr">
        <is>
          <t>Implementation + Onboarding</t>
        </is>
      </c>
      <c r="B169" s="22" t="inlineStr">
        <is>
          <t>Design System Charter &amp; Reference Architecture</t>
        </is>
      </c>
      <c r="C169" s="22" t="inlineStr">
        <is>
          <t>Align stakeholders on governance model (decision rights, contribution, release ownership)</t>
        </is>
      </c>
      <c r="D169" s="22" t="n"/>
      <c r="E169" s="22" t="n"/>
      <c r="F169" s="22" t="inlineStr">
        <is>
          <t>Knapsack - Program/Delivery PM</t>
        </is>
      </c>
      <c r="G169" s="22" t="inlineStr">
        <is>
          <t>Knapsack</t>
        </is>
      </c>
      <c r="H169" s="22" t="inlineStr">
        <is>
          <t>Project Manager</t>
        </is>
      </c>
      <c r="I169" s="22" t="inlineStr">
        <is>
          <t>2–3</t>
        </is>
      </c>
    </row>
    <row r="170" s="74">
      <c r="A170" s="22" t="inlineStr">
        <is>
          <t>Implementation + Onboarding</t>
        </is>
      </c>
      <c r="B170" s="22" t="inlineStr">
        <is>
          <t>Design System Charter &amp; Reference Architecture</t>
        </is>
      </c>
      <c r="C170" s="22" t="inlineStr">
        <is>
          <t>Draft reference architecture (tokens → packages → docs → integrations) and data flows</t>
        </is>
      </c>
      <c r="D170" s="22" t="n"/>
      <c r="E170" s="22" t="n"/>
      <c r="F170" s="22" t="inlineStr">
        <is>
          <t>Knapsack - Design System / Platform SME</t>
        </is>
      </c>
      <c r="G170" s="22" t="inlineStr">
        <is>
          <t>Knapsack</t>
        </is>
      </c>
      <c r="H170" s="22" t="inlineStr">
        <is>
          <t>SME</t>
        </is>
      </c>
      <c r="I170" s="22" t="inlineStr">
        <is>
          <t>2–3</t>
        </is>
      </c>
    </row>
    <row r="171" s="74">
      <c r="A171" s="22" t="inlineStr">
        <is>
          <t>Implementation + Onboarding</t>
        </is>
      </c>
      <c r="B171" s="22" t="inlineStr">
        <is>
          <t>Design System Charter &amp; Reference Architecture</t>
        </is>
      </c>
      <c r="C171" s="22" t="inlineStr">
        <is>
          <t>Define adoption measurement plan (usage, drift, quality, velocity) and instrumentation points</t>
        </is>
      </c>
      <c r="D171" s="22" t="n"/>
      <c r="E171" s="22" t="n"/>
      <c r="F171" s="22" t="inlineStr">
        <is>
          <t>Knapsack - Design System / Platform SME</t>
        </is>
      </c>
      <c r="G171" s="22" t="inlineStr">
        <is>
          <t>Knapsack</t>
        </is>
      </c>
      <c r="H171" s="22" t="inlineStr">
        <is>
          <t>SME</t>
        </is>
      </c>
      <c r="I171" s="22" t="inlineStr">
        <is>
          <t>2–3</t>
        </is>
      </c>
    </row>
    <row r="172" s="74">
      <c r="A172" s="22" t="inlineStr">
        <is>
          <t>Implementation + Onboarding</t>
        </is>
      </c>
      <c r="B172" s="22" t="inlineStr">
        <is>
          <t>Design System Charter &amp; Reference Architecture</t>
        </is>
      </c>
      <c r="C172" s="22" t="inlineStr">
        <is>
          <t>Finalize charter and publish operating cadence</t>
        </is>
      </c>
      <c r="D172" s="22" t="inlineStr">
        <is>
          <t>Design System Charter + Reference Architecture</t>
        </is>
      </c>
      <c r="E172" s="22" t="inlineStr">
        <is>
          <t>Charter, KPIs, governance, and reference architecture diagram for the design↔code system.</t>
        </is>
      </c>
      <c r="F172" s="22" t="inlineStr">
        <is>
          <t>Knapsack - Program/Delivery PM</t>
        </is>
      </c>
      <c r="G172" s="22" t="inlineStr">
        <is>
          <t>Knapsack</t>
        </is>
      </c>
      <c r="H172" s="22" t="inlineStr">
        <is>
          <t>Project Manager</t>
        </is>
      </c>
      <c r="I172" s="22" t="inlineStr">
        <is>
          <t>2–3</t>
        </is>
      </c>
    </row>
    <row r="173" s="74">
      <c r="A173" s="22" t="inlineStr">
        <is>
          <t>Implementation + Onboarding</t>
        </is>
      </c>
      <c r="B173" s="22" t="inlineStr">
        <is>
          <t>Foundations &amp; Token Taxonomy</t>
        </is>
      </c>
      <c r="C173" s="22" t="inlineStr">
        <is>
          <t>Audit existing foundations (color/type/spacing/elevation/motion/icons) and define target standards</t>
        </is>
      </c>
      <c r="D173" s="22" t="n"/>
      <c r="E173" s="22" t="n"/>
      <c r="F173" s="22" t="inlineStr">
        <is>
          <t>Knapsack - Design System Lead</t>
        </is>
      </c>
      <c r="G173" s="22" t="inlineStr">
        <is>
          <t>Knapsack</t>
        </is>
      </c>
      <c r="H173" s="22" t="inlineStr">
        <is>
          <t>Design Lead</t>
        </is>
      </c>
      <c r="I173" s="22" t="inlineStr">
        <is>
          <t>3–4</t>
        </is>
      </c>
    </row>
    <row r="174" s="74">
      <c r="A174" s="22" t="inlineStr">
        <is>
          <t>Implementation + Onboarding</t>
        </is>
      </c>
      <c r="B174" s="22" t="inlineStr">
        <is>
          <t>Foundations &amp; Token Taxonomy</t>
        </is>
      </c>
      <c r="C174" s="22" t="inlineStr">
        <is>
          <t>Define token taxonomy (global/semantic/component) and naming conventions</t>
        </is>
      </c>
      <c r="D174" s="22" t="n"/>
      <c r="E174" s="22" t="n"/>
      <c r="F174" s="22" t="inlineStr">
        <is>
          <t>Knapsack - Design System Lead</t>
        </is>
      </c>
      <c r="G174" s="22" t="inlineStr">
        <is>
          <t>Knapsack</t>
        </is>
      </c>
      <c r="H174" s="22" t="inlineStr">
        <is>
          <t>Design Lead</t>
        </is>
      </c>
      <c r="I174" s="22" t="inlineStr">
        <is>
          <t>3–4</t>
        </is>
      </c>
    </row>
    <row r="175" s="74">
      <c r="A175" s="22" t="inlineStr">
        <is>
          <t>Implementation + Onboarding</t>
        </is>
      </c>
      <c r="B175" s="22" t="inlineStr">
        <is>
          <t>Foundations &amp; Token Taxonomy</t>
        </is>
      </c>
      <c r="C175" s="22" t="inlineStr">
        <is>
          <t>Define theming model (brand themes, dark mode, high contrast) and constraints</t>
        </is>
      </c>
      <c r="D175" s="22" t="n"/>
      <c r="E175" s="22" t="n"/>
      <c r="F175" s="22" t="inlineStr">
        <is>
          <t>Knapsack - Design System Lead</t>
        </is>
      </c>
      <c r="G175" s="22" t="inlineStr">
        <is>
          <t>Knapsack</t>
        </is>
      </c>
      <c r="H175" s="22" t="inlineStr">
        <is>
          <t>Design Lead</t>
        </is>
      </c>
      <c r="I175" s="22" t="inlineStr">
        <is>
          <t>3–4</t>
        </is>
      </c>
    </row>
    <row r="176" s="74">
      <c r="A176" s="22" t="inlineStr">
        <is>
          <t>Implementation + Onboarding</t>
        </is>
      </c>
      <c r="B176" s="22" t="inlineStr">
        <is>
          <t>Foundations &amp; Token Taxonomy</t>
        </is>
      </c>
      <c r="C176" s="22" t="inlineStr">
        <is>
          <t>Define content and accessibility guidelines for foundations (contrast, typography, motion)</t>
        </is>
      </c>
      <c r="D176" s="22" t="n"/>
      <c r="E176" s="22" t="n"/>
      <c r="F176" s="22" t="inlineStr">
        <is>
          <t>Knapsack - Design System / Platform SME</t>
        </is>
      </c>
      <c r="G176" s="22" t="inlineStr">
        <is>
          <t>Knapsack</t>
        </is>
      </c>
      <c r="H176" s="22" t="inlineStr">
        <is>
          <t>SME</t>
        </is>
      </c>
      <c r="I176" s="22" t="inlineStr">
        <is>
          <t>3–4</t>
        </is>
      </c>
    </row>
    <row r="177" s="74">
      <c r="A177" s="22" t="inlineStr">
        <is>
          <t>Implementation + Onboarding</t>
        </is>
      </c>
      <c r="B177" s="22" t="inlineStr">
        <is>
          <t>Foundations &amp; Token Taxonomy</t>
        </is>
      </c>
      <c r="C177" s="22" t="inlineStr">
        <is>
          <t>Create token governance rules (who can change what, versioning, approvals)</t>
        </is>
      </c>
      <c r="D177" s="22" t="n"/>
      <c r="E177" s="22" t="n"/>
      <c r="F177" s="22" t="inlineStr">
        <is>
          <t>Knapsack - Program/Delivery PM</t>
        </is>
      </c>
      <c r="G177" s="22" t="inlineStr">
        <is>
          <t>Knapsack</t>
        </is>
      </c>
      <c r="H177" s="22" t="inlineStr">
        <is>
          <t>Project Manager</t>
        </is>
      </c>
      <c r="I177" s="22" t="inlineStr">
        <is>
          <t>3–4</t>
        </is>
      </c>
    </row>
    <row r="178" s="74">
      <c r="A178" s="22" t="inlineStr">
        <is>
          <t>Implementation + Onboarding</t>
        </is>
      </c>
      <c r="B178" s="22" t="inlineStr">
        <is>
          <t>Foundations &amp; Token Taxonomy</t>
        </is>
      </c>
      <c r="C178" s="22" t="inlineStr">
        <is>
          <t>Publish foundations + token spec in design + docs</t>
        </is>
      </c>
      <c r="D178" s="22" t="inlineStr">
        <is>
          <t>Foundations + Token Specification</t>
        </is>
      </c>
      <c r="E178" s="22" t="inlineStr">
        <is>
          <t>Foundations standards and token taxonomy/naming/theming/governance guidance.</t>
        </is>
      </c>
      <c r="F178" s="22" t="inlineStr">
        <is>
          <t>Knapsack - Design System Lead</t>
        </is>
      </c>
      <c r="G178" s="22" t="inlineStr">
        <is>
          <t>Knapsack</t>
        </is>
      </c>
      <c r="H178" s="22" t="inlineStr">
        <is>
          <t>Design Lead</t>
        </is>
      </c>
      <c r="I178" s="22" t="inlineStr">
        <is>
          <t>3–4</t>
        </is>
      </c>
    </row>
    <row r="179" s="74">
      <c r="A179" s="22" t="inlineStr">
        <is>
          <t>Implementation + Onboarding</t>
        </is>
      </c>
      <c r="B179" s="22" t="inlineStr">
        <is>
          <t>Token Pipeline Build &amp; Theming Strategy</t>
        </is>
      </c>
      <c r="C179" s="22" t="inlineStr">
        <is>
          <t>Select/confirm token tooling and define source of truth (design vs repo) rules</t>
        </is>
      </c>
      <c r="D179" s="22" t="n"/>
      <c r="E179" s="22" t="n"/>
      <c r="F179" s="22" t="inlineStr">
        <is>
          <t>Knapsack - Design System / Platform SME</t>
        </is>
      </c>
      <c r="G179" s="22" t="inlineStr">
        <is>
          <t>Knapsack</t>
        </is>
      </c>
      <c r="H179" s="22" t="inlineStr">
        <is>
          <t>SME</t>
        </is>
      </c>
      <c r="I179" s="22" t="inlineStr">
        <is>
          <t>4–6</t>
        </is>
      </c>
    </row>
    <row r="180" s="74">
      <c r="A180" s="22" t="inlineStr">
        <is>
          <t>Implementation + Onboarding</t>
        </is>
      </c>
      <c r="B180" s="22" t="inlineStr">
        <is>
          <t>Token Pipeline Build &amp; Theming Strategy</t>
        </is>
      </c>
      <c r="C180" s="22" t="inlineStr">
        <is>
          <t>Implement token export/build pipeline (validation, transforms, outputs)</t>
        </is>
      </c>
      <c r="D180" s="22" t="n"/>
      <c r="E180" s="22" t="n"/>
      <c r="F180" s="22" t="inlineStr">
        <is>
          <t>Knapsack - Design Systems Engineer</t>
        </is>
      </c>
      <c r="G180" s="22" t="inlineStr">
        <is>
          <t>Knapsack</t>
        </is>
      </c>
      <c r="H180" s="22" t="inlineStr">
        <is>
          <t>Engineer</t>
        </is>
      </c>
      <c r="I180" s="22" t="inlineStr">
        <is>
          <t>4–6</t>
        </is>
      </c>
    </row>
    <row r="181" s="74">
      <c r="A181" s="22" t="inlineStr">
        <is>
          <t>Implementation + Onboarding</t>
        </is>
      </c>
      <c r="B181" s="22" t="inlineStr">
        <is>
          <t>Token Pipeline Build &amp; Theming Strategy</t>
        </is>
      </c>
      <c r="C181" s="22" t="inlineStr">
        <is>
          <t>Generate platform outputs (web JSON/CSS vars; add others if needed) and verify integrity</t>
        </is>
      </c>
      <c r="D181" s="22" t="n"/>
      <c r="E181" s="22" t="n"/>
      <c r="F181" s="22" t="inlineStr">
        <is>
          <t>Knapsack - Design Systems Engineer</t>
        </is>
      </c>
      <c r="G181" s="22" t="inlineStr">
        <is>
          <t>Knapsack</t>
        </is>
      </c>
      <c r="H181" s="22" t="inlineStr">
        <is>
          <t>Engineer</t>
        </is>
      </c>
      <c r="I181" s="22" t="inlineStr">
        <is>
          <t>4–6</t>
        </is>
      </c>
    </row>
    <row r="182" s="74">
      <c r="A182" s="22" t="inlineStr">
        <is>
          <t>Implementation + Onboarding</t>
        </is>
      </c>
      <c r="B182" s="22" t="inlineStr">
        <is>
          <t>Token Pipeline Build &amp; Theming Strategy</t>
        </is>
      </c>
      <c r="C182" s="22" t="inlineStr">
        <is>
          <t>Implement theme packaging and switching strategy (e.g., multiple brands / modes)</t>
        </is>
      </c>
      <c r="D182" s="22" t="n"/>
      <c r="E182" s="22" t="n"/>
      <c r="F182" s="22" t="inlineStr">
        <is>
          <t>Knapsack - Design Systems Engineer</t>
        </is>
      </c>
      <c r="G182" s="22" t="inlineStr">
        <is>
          <t>Knapsack</t>
        </is>
      </c>
      <c r="H182" s="22" t="inlineStr">
        <is>
          <t>Engineer</t>
        </is>
      </c>
      <c r="I182" s="22" t="inlineStr">
        <is>
          <t>4–6</t>
        </is>
      </c>
    </row>
    <row r="183" s="74">
      <c r="A183" s="22" t="inlineStr">
        <is>
          <t>Implementation + Onboarding</t>
        </is>
      </c>
      <c r="B183" s="22" t="inlineStr">
        <is>
          <t>Token Pipeline Build &amp; Theming Strategy</t>
        </is>
      </c>
      <c r="C183" s="22" t="inlineStr">
        <is>
          <t>Set up CI checks for token schema validation and breaking-change detection</t>
        </is>
      </c>
      <c r="D183" s="22" t="n"/>
      <c r="E183" s="22" t="n"/>
      <c r="F183" s="22" t="inlineStr">
        <is>
          <t>Knapsack - Design Systems Engineer</t>
        </is>
      </c>
      <c r="G183" s="22" t="inlineStr">
        <is>
          <t>Knapsack</t>
        </is>
      </c>
      <c r="H183" s="22" t="inlineStr">
        <is>
          <t>Engineer</t>
        </is>
      </c>
      <c r="I183" s="22" t="inlineStr">
        <is>
          <t>4–6</t>
        </is>
      </c>
    </row>
    <row r="184" s="74">
      <c r="A184" s="22" t="inlineStr">
        <is>
          <t>Implementation + Onboarding</t>
        </is>
      </c>
      <c r="B184" s="22" t="inlineStr">
        <is>
          <t>Token Pipeline Build &amp; Theming Strategy</t>
        </is>
      </c>
      <c r="C184" s="22" t="inlineStr">
        <is>
          <t>Document token contribution + release workflow</t>
        </is>
      </c>
      <c r="D184" s="22" t="inlineStr">
        <is>
          <t>Token Pipeline + Theme Artifacts</t>
        </is>
      </c>
      <c r="E184" s="22" t="inlineStr">
        <is>
          <t>Automated token build outputs, theming strategy, CI validation, and contribution workflow.</t>
        </is>
      </c>
      <c r="F184" s="22" t="inlineStr">
        <is>
          <t>Knapsack - Design System / Platform SME</t>
        </is>
      </c>
      <c r="G184" s="22" t="inlineStr">
        <is>
          <t>Knapsack</t>
        </is>
      </c>
      <c r="H184" s="22" t="inlineStr">
        <is>
          <t>SME</t>
        </is>
      </c>
      <c r="I184" s="22" t="inlineStr">
        <is>
          <t>4–6</t>
        </is>
      </c>
    </row>
    <row r="185" s="74">
      <c r="A185" s="22" t="inlineStr">
        <is>
          <t>Implementation + Onboarding</t>
        </is>
      </c>
      <c r="B185" s="22" t="inlineStr">
        <is>
          <t>Component Inventory &amp; Prioritization</t>
        </is>
      </c>
      <c r="C185" s="22" t="inlineStr">
        <is>
          <t>Inventory existing components and map to user journeys / product surfaces</t>
        </is>
      </c>
      <c r="D185" s="22" t="n"/>
      <c r="E185" s="22" t="n"/>
      <c r="F185" s="22" t="inlineStr">
        <is>
          <t>Knapsack - Design System Lead</t>
        </is>
      </c>
      <c r="G185" s="22" t="inlineStr">
        <is>
          <t>Knapsack</t>
        </is>
      </c>
      <c r="H185" s="22" t="inlineStr">
        <is>
          <t>Design Lead</t>
        </is>
      </c>
      <c r="I185" s="22" t="inlineStr">
        <is>
          <t>2–3</t>
        </is>
      </c>
    </row>
    <row r="186" s="74">
      <c r="A186" s="22" t="inlineStr">
        <is>
          <t>Implementation + Onboarding</t>
        </is>
      </c>
      <c r="B186" s="22" t="inlineStr">
        <is>
          <t>Component Inventory &amp; Prioritization</t>
        </is>
      </c>
      <c r="C186" s="22" t="inlineStr">
        <is>
          <t>Define component maturity levels and acceptance criteria (spec completeness, a11y, tests)</t>
        </is>
      </c>
      <c r="D186" s="22" t="n"/>
      <c r="E186" s="22" t="n"/>
      <c r="F186" s="22" t="inlineStr">
        <is>
          <t>Knapsack - Design System / Platform SME</t>
        </is>
      </c>
      <c r="G186" s="22" t="inlineStr">
        <is>
          <t>Knapsack</t>
        </is>
      </c>
      <c r="H186" s="22" t="inlineStr">
        <is>
          <t>SME</t>
        </is>
      </c>
      <c r="I186" s="22" t="inlineStr">
        <is>
          <t>2–3</t>
        </is>
      </c>
    </row>
    <row r="187" s="74">
      <c r="A187" s="22" t="inlineStr">
        <is>
          <t>Implementation + Onboarding</t>
        </is>
      </c>
      <c r="B187" s="22" t="inlineStr">
        <is>
          <t>Component Inventory &amp; Prioritization</t>
        </is>
      </c>
      <c r="C187" s="22" t="inlineStr">
        <is>
          <t>Prioritize MVP component set and create backlog with sequencing</t>
        </is>
      </c>
      <c r="D187" s="22" t="n"/>
      <c r="E187" s="22" t="n"/>
      <c r="F187" s="22" t="inlineStr">
        <is>
          <t>Knapsack - Program/Delivery PM</t>
        </is>
      </c>
      <c r="G187" s="22" t="inlineStr">
        <is>
          <t>Knapsack</t>
        </is>
      </c>
      <c r="H187" s="22" t="inlineStr">
        <is>
          <t>Project Manager</t>
        </is>
      </c>
      <c r="I187" s="22" t="inlineStr">
        <is>
          <t>2–3</t>
        </is>
      </c>
    </row>
    <row r="188" s="74">
      <c r="A188" s="22" t="inlineStr">
        <is>
          <t>Implementation + Onboarding</t>
        </is>
      </c>
      <c r="B188" s="22" t="inlineStr">
        <is>
          <t>Component Inventory &amp; Prioritization</t>
        </is>
      </c>
      <c r="C188" s="22" t="inlineStr">
        <is>
          <t>Define component spec template (anatomy, states, content rules, accessibility, tokens)</t>
        </is>
      </c>
      <c r="D188" s="22" t="n"/>
      <c r="E188" s="22" t="n"/>
      <c r="F188" s="22" t="inlineStr">
        <is>
          <t>Knapsack - Design System Lead</t>
        </is>
      </c>
      <c r="G188" s="22" t="inlineStr">
        <is>
          <t>Knapsack</t>
        </is>
      </c>
      <c r="H188" s="22" t="inlineStr">
        <is>
          <t>Design Lead</t>
        </is>
      </c>
      <c r="I188" s="22" t="inlineStr">
        <is>
          <t>2–3</t>
        </is>
      </c>
    </row>
    <row r="189" s="74">
      <c r="A189" s="22" t="inlineStr">
        <is>
          <t>Implementation + Onboarding</t>
        </is>
      </c>
      <c r="B189" s="22" t="inlineStr">
        <is>
          <t>Component Inventory &amp; Prioritization</t>
        </is>
      </c>
      <c r="C189" s="22" t="inlineStr">
        <is>
          <t>Publish component roadmap and MVP scope</t>
        </is>
      </c>
      <c r="D189" s="22" t="inlineStr">
        <is>
          <t>Component Inventory + MVP Roadmap</t>
        </is>
      </c>
      <c r="E189" s="22" t="inlineStr">
        <is>
          <t>Inventory, prioritization matrix, MVP scope, and backlog sequencing.</t>
        </is>
      </c>
      <c r="F189" s="22" t="inlineStr">
        <is>
          <t>Knapsack - Program/Delivery PM</t>
        </is>
      </c>
      <c r="G189" s="22" t="inlineStr">
        <is>
          <t>Knapsack</t>
        </is>
      </c>
      <c r="H189" s="22" t="inlineStr">
        <is>
          <t>Project Manager</t>
        </is>
      </c>
      <c r="I189" s="22" t="inlineStr">
        <is>
          <t>2–3</t>
        </is>
      </c>
    </row>
    <row r="190" s="74">
      <c r="A190" s="22" t="inlineStr">
        <is>
          <t>Implementation + Onboarding</t>
        </is>
      </c>
      <c r="B190" s="22" t="inlineStr">
        <is>
          <t>Component API Standards &amp; Templates</t>
        </is>
      </c>
      <c r="C190" s="22" t="inlineStr">
        <is>
          <t>Define component API patterns (props, composition, slots, variants) and naming conventions</t>
        </is>
      </c>
      <c r="D190" s="22" t="n"/>
      <c r="E190" s="22" t="n"/>
      <c r="F190" s="22" t="inlineStr">
        <is>
          <t>Knapsack - Design Systems Engineer</t>
        </is>
      </c>
      <c r="G190" s="22" t="inlineStr">
        <is>
          <t>Knapsack</t>
        </is>
      </c>
      <c r="H190" s="22" t="inlineStr">
        <is>
          <t>Engineer</t>
        </is>
      </c>
      <c r="I190" s="22" t="inlineStr">
        <is>
          <t>3–4</t>
        </is>
      </c>
    </row>
    <row r="191" s="74">
      <c r="A191" s="22" t="inlineStr">
        <is>
          <t>Implementation + Onboarding</t>
        </is>
      </c>
      <c r="B191" s="22" t="inlineStr">
        <is>
          <t>Component API Standards &amp; Templates</t>
        </is>
      </c>
      <c r="C191" s="22" t="inlineStr">
        <is>
          <t>Define accessibility patterns per component type (keyboard, focus, ARIA, semantics)</t>
        </is>
      </c>
      <c r="D191" s="22" t="n"/>
      <c r="E191" s="22" t="n"/>
      <c r="F191" s="22" t="inlineStr">
        <is>
          <t>Knapsack - Design System / Platform SME</t>
        </is>
      </c>
      <c r="G191" s="22" t="inlineStr">
        <is>
          <t>Knapsack</t>
        </is>
      </c>
      <c r="H191" s="22" t="inlineStr">
        <is>
          <t>SME</t>
        </is>
      </c>
      <c r="I191" s="22" t="inlineStr">
        <is>
          <t>3–4</t>
        </is>
      </c>
    </row>
    <row r="192" s="74">
      <c r="A192" s="22" t="inlineStr">
        <is>
          <t>Implementation + Onboarding</t>
        </is>
      </c>
      <c r="B192" s="22" t="inlineStr">
        <is>
          <t>Component API Standards &amp; Templates</t>
        </is>
      </c>
      <c r="C192" s="22" t="inlineStr">
        <is>
          <t>Create starter templates for component implementation and tests</t>
        </is>
      </c>
      <c r="D192" s="22" t="n"/>
      <c r="E192" s="22" t="n"/>
      <c r="F192" s="22" t="inlineStr">
        <is>
          <t>Knapsack - Design Systems Engineer</t>
        </is>
      </c>
      <c r="G192" s="22" t="inlineStr">
        <is>
          <t>Knapsack</t>
        </is>
      </c>
      <c r="H192" s="22" t="inlineStr">
        <is>
          <t>Engineer</t>
        </is>
      </c>
      <c r="I192" s="22" t="inlineStr">
        <is>
          <t>3–4</t>
        </is>
      </c>
    </row>
    <row r="193" s="74">
      <c r="A193" s="22" t="inlineStr">
        <is>
          <t>Implementation + Onboarding</t>
        </is>
      </c>
      <c r="B193" s="22" t="inlineStr">
        <is>
          <t>Component API Standards &amp; Templates</t>
        </is>
      </c>
      <c r="C193" s="22" t="inlineStr">
        <is>
          <t>Define contribution workflow (RFC, review gates, required artifacts)</t>
        </is>
      </c>
      <c r="D193" s="22" t="n"/>
      <c r="E193" s="22" t="n"/>
      <c r="F193" s="22" t="inlineStr">
        <is>
          <t>Knapsack - Program/Delivery PM</t>
        </is>
      </c>
      <c r="G193" s="22" t="inlineStr">
        <is>
          <t>Knapsack</t>
        </is>
      </c>
      <c r="H193" s="22" t="inlineStr">
        <is>
          <t>Project Manager</t>
        </is>
      </c>
      <c r="I193" s="22" t="inlineStr">
        <is>
          <t>3–4</t>
        </is>
      </c>
    </row>
    <row r="194" s="74">
      <c r="A194" s="22" t="inlineStr">
        <is>
          <t>Implementation + Onboarding</t>
        </is>
      </c>
      <c r="B194" s="22" t="inlineStr">
        <is>
          <t>Component API Standards &amp; Templates</t>
        </is>
      </c>
      <c r="C194" s="22" t="inlineStr">
        <is>
          <t>Publish standards in docs and align with code owners</t>
        </is>
      </c>
      <c r="D194" s="22" t="inlineStr">
        <is>
          <t>Component Standards + Contribution Model</t>
        </is>
      </c>
      <c r="E194" s="22" t="inlineStr">
        <is>
          <t>Component API standards, a11y patterns, templates, and contribution/review workflow.</t>
        </is>
      </c>
      <c r="F194" s="22" t="inlineStr">
        <is>
          <t>Knapsack - Design Systems Engineer</t>
        </is>
      </c>
      <c r="G194" s="22" t="inlineStr">
        <is>
          <t>Knapsack</t>
        </is>
      </c>
      <c r="H194" s="22" t="inlineStr">
        <is>
          <t>Engineer</t>
        </is>
      </c>
      <c r="I194" s="22" t="inlineStr">
        <is>
          <t>3–4</t>
        </is>
      </c>
    </row>
    <row r="195" s="74">
      <c r="A195" s="22" t="inlineStr">
        <is>
          <t>Implementation + Onboarding</t>
        </is>
      </c>
      <c r="B195" s="22" t="inlineStr">
        <is>
          <t>Code Connect Strategy &amp; Configuration</t>
        </is>
      </c>
      <c r="C195" s="22" t="inlineStr">
        <is>
          <t>Define Code Connect coverage targets and connected-component definition (source of truth)</t>
        </is>
      </c>
      <c r="D195" s="22" t="n"/>
      <c r="E195" s="22" t="n"/>
      <c r="F195" s="22" t="inlineStr">
        <is>
          <t>Knapsack - Design System / Platform SME</t>
        </is>
      </c>
      <c r="G195" s="22" t="inlineStr">
        <is>
          <t>Knapsack</t>
        </is>
      </c>
      <c r="H195" s="22" t="inlineStr">
        <is>
          <t>SME</t>
        </is>
      </c>
      <c r="I195" s="22" t="inlineStr">
        <is>
          <t>2–4</t>
        </is>
      </c>
    </row>
    <row r="196" s="74">
      <c r="A196" s="22" t="inlineStr">
        <is>
          <t>Implementation + Onboarding</t>
        </is>
      </c>
      <c r="B196" s="22" t="inlineStr">
        <is>
          <t>Code Connect Strategy &amp; Configuration</t>
        </is>
      </c>
      <c r="C196" s="22" t="inlineStr">
        <is>
          <t>Set up Code Connect configuration and repo/package references</t>
        </is>
      </c>
      <c r="D196" s="22" t="n"/>
      <c r="E196" s="22" t="n"/>
      <c r="F196" s="22" t="inlineStr">
        <is>
          <t>Knapsack - Design Systems Engineer</t>
        </is>
      </c>
      <c r="G196" s="22" t="inlineStr">
        <is>
          <t>Knapsack</t>
        </is>
      </c>
      <c r="H196" s="22" t="inlineStr">
        <is>
          <t>Engineer</t>
        </is>
      </c>
      <c r="I196" s="22" t="inlineStr">
        <is>
          <t>2–4</t>
        </is>
      </c>
    </row>
    <row r="197" s="74">
      <c r="A197" s="22" t="inlineStr">
        <is>
          <t>Implementation + Onboarding</t>
        </is>
      </c>
      <c r="B197" s="22" t="inlineStr">
        <is>
          <t>Code Connect Strategy &amp; Configuration</t>
        </is>
      </c>
      <c r="C197" s="22" t="inlineStr">
        <is>
          <t>Define mapping conventions (component IDs, variants/states, props) and ownership model</t>
        </is>
      </c>
      <c r="D197" s="22" t="n"/>
      <c r="E197" s="22" t="n"/>
      <c r="F197" s="22" t="inlineStr">
        <is>
          <t>Knapsack - Design System / Platform SME</t>
        </is>
      </c>
      <c r="G197" s="22" t="inlineStr">
        <is>
          <t>Knapsack</t>
        </is>
      </c>
      <c r="H197" s="22" t="inlineStr">
        <is>
          <t>SME</t>
        </is>
      </c>
      <c r="I197" s="22" t="inlineStr">
        <is>
          <t>2–4</t>
        </is>
      </c>
    </row>
    <row r="198" s="74">
      <c r="A198" s="22" t="inlineStr">
        <is>
          <t>Implementation + Onboarding</t>
        </is>
      </c>
      <c r="B198" s="22" t="inlineStr">
        <is>
          <t>Code Connect Strategy &amp; Configuration</t>
        </is>
      </c>
      <c r="C198" s="22" t="inlineStr">
        <is>
          <t>Implement initial mappings for MVP components and verify accuracy</t>
        </is>
      </c>
      <c r="D198" s="22" t="n"/>
      <c r="E198" s="22" t="n"/>
      <c r="F198" s="22" t="inlineStr">
        <is>
          <t>Knapsack - Design Systems Engineer</t>
        </is>
      </c>
      <c r="G198" s="22" t="inlineStr">
        <is>
          <t>Knapsack</t>
        </is>
      </c>
      <c r="H198" s="22" t="inlineStr">
        <is>
          <t>Engineer</t>
        </is>
      </c>
      <c r="I198" s="22" t="inlineStr">
        <is>
          <t>2–4</t>
        </is>
      </c>
    </row>
    <row r="199" s="74">
      <c r="A199" s="22" t="inlineStr">
        <is>
          <t>Implementation + Onboarding</t>
        </is>
      </c>
      <c r="B199" s="22" t="inlineStr">
        <is>
          <t>Code Connect Strategy &amp; Configuration</t>
        </is>
      </c>
      <c r="C199" s="22" t="inlineStr">
        <is>
          <t>Define drift detection + remediation workflow (design↔code mismatch)</t>
        </is>
      </c>
      <c r="D199" s="22" t="n"/>
      <c r="E199" s="22" t="n"/>
      <c r="F199" s="22" t="inlineStr">
        <is>
          <t>Knapsack - Program/Delivery PM</t>
        </is>
      </c>
      <c r="G199" s="22" t="inlineStr">
        <is>
          <t>Knapsack</t>
        </is>
      </c>
      <c r="H199" s="22" t="inlineStr">
        <is>
          <t>Project Manager</t>
        </is>
      </c>
      <c r="I199" s="22" t="inlineStr">
        <is>
          <t>2–4</t>
        </is>
      </c>
    </row>
    <row r="200" s="74">
      <c r="A200" s="22" t="inlineStr">
        <is>
          <t>Implementation + Onboarding</t>
        </is>
      </c>
      <c r="B200" s="22" t="inlineStr">
        <is>
          <t>Code Connect Strategy &amp; Configuration</t>
        </is>
      </c>
      <c r="C200" s="22" t="inlineStr">
        <is>
          <t>Publish Code Connect playbook and governance</t>
        </is>
      </c>
      <c r="D200" s="22" t="inlineStr">
        <is>
          <t>Code Connect Setup + Drift Governance</t>
        </is>
      </c>
      <c r="E200" s="22" t="inlineStr">
        <is>
          <t>Connected component strategy, configuration, mapping conventions, and drift SOP.</t>
        </is>
      </c>
      <c r="F200" s="22" t="inlineStr">
        <is>
          <t>Knapsack - Design System / Platform SME</t>
        </is>
      </c>
      <c r="G200" s="22" t="inlineStr">
        <is>
          <t>Knapsack</t>
        </is>
      </c>
      <c r="H200" s="22" t="inlineStr">
        <is>
          <t>SME</t>
        </is>
      </c>
      <c r="I200" s="22" t="inlineStr">
        <is>
          <t>2–4</t>
        </is>
      </c>
    </row>
    <row r="201" s="74">
      <c r="A201" s="22" t="inlineStr">
        <is>
          <t>Implementation + Onboarding</t>
        </is>
      </c>
      <c r="B201" s="22" t="inlineStr">
        <is>
          <t>Documentation IA &amp; Templates (Design System Docs)</t>
        </is>
      </c>
      <c r="C201" s="22" t="inlineStr">
        <is>
          <t>Define docs information architecture (Foundations, Tokens, Components, Patterns, Content, A11y)</t>
        </is>
      </c>
      <c r="D201" s="22" t="n"/>
      <c r="E201" s="22" t="n"/>
      <c r="F201" s="22" t="inlineStr">
        <is>
          <t>Knapsack - Design System / Platform SME</t>
        </is>
      </c>
      <c r="G201" s="22" t="inlineStr">
        <is>
          <t>Knapsack</t>
        </is>
      </c>
      <c r="H201" s="22" t="inlineStr">
        <is>
          <t>SME</t>
        </is>
      </c>
      <c r="I201" s="22" t="inlineStr">
        <is>
          <t>2–3</t>
        </is>
      </c>
    </row>
    <row r="202" s="74">
      <c r="A202" s="22" t="inlineStr">
        <is>
          <t>Implementation + Onboarding</t>
        </is>
      </c>
      <c r="B202" s="22" t="inlineStr">
        <is>
          <t>Documentation IA &amp; Templates (Design System Docs)</t>
        </is>
      </c>
      <c r="C202" s="22" t="inlineStr">
        <is>
          <t>Create docs templates (component pages, token pages, pattern pages, migration guides)</t>
        </is>
      </c>
      <c r="D202" s="22" t="n"/>
      <c r="E202" s="22" t="n"/>
      <c r="F202" s="22" t="inlineStr">
        <is>
          <t>Knapsack - Design System / Platform SME</t>
        </is>
      </c>
      <c r="G202" s="22" t="inlineStr">
        <is>
          <t>Knapsack</t>
        </is>
      </c>
      <c r="H202" s="22" t="inlineStr">
        <is>
          <t>SME</t>
        </is>
      </c>
      <c r="I202" s="22" t="inlineStr">
        <is>
          <t>2–3</t>
        </is>
      </c>
    </row>
    <row r="203" s="74">
      <c r="A203" s="22" t="inlineStr">
        <is>
          <t>Implementation + Onboarding</t>
        </is>
      </c>
      <c r="B203" s="22" t="inlineStr">
        <is>
          <t>Documentation IA &amp; Templates (Design System Docs)</t>
        </is>
      </c>
      <c r="C203" s="22" t="inlineStr">
        <is>
          <t>Set up docs site scaffold and navigation (or align existing docs site)</t>
        </is>
      </c>
      <c r="D203" s="22" t="n"/>
      <c r="E203" s="22" t="n"/>
      <c r="F203" s="22" t="inlineStr">
        <is>
          <t>Knapsack - Design Systems Engineer</t>
        </is>
      </c>
      <c r="G203" s="22" t="inlineStr">
        <is>
          <t>Knapsack</t>
        </is>
      </c>
      <c r="H203" s="22" t="inlineStr">
        <is>
          <t>Engineer</t>
        </is>
      </c>
      <c r="I203" s="22" t="inlineStr">
        <is>
          <t>2–3</t>
        </is>
      </c>
    </row>
    <row r="204" s="74">
      <c r="A204" s="22" t="inlineStr">
        <is>
          <t>Implementation + Onboarding</t>
        </is>
      </c>
      <c r="B204" s="22" t="inlineStr">
        <is>
          <t>Documentation IA &amp; Templates (Design System Docs)</t>
        </is>
      </c>
      <c r="C204" s="22" t="inlineStr">
        <is>
          <t>Create “Getting Started” guides for designers, engineers, and partners</t>
        </is>
      </c>
      <c r="D204" s="22" t="n"/>
      <c r="E204" s="22" t="n"/>
      <c r="F204" s="22" t="inlineStr">
        <is>
          <t>Knapsack - Design System / Platform SME</t>
        </is>
      </c>
      <c r="G204" s="22" t="inlineStr">
        <is>
          <t>Knapsack</t>
        </is>
      </c>
      <c r="H204" s="22" t="inlineStr">
        <is>
          <t>SME</t>
        </is>
      </c>
      <c r="I204" s="22" t="inlineStr">
        <is>
          <t>2–3</t>
        </is>
      </c>
    </row>
    <row r="205" s="74">
      <c r="A205" s="22" t="inlineStr">
        <is>
          <t>Implementation + Onboarding</t>
        </is>
      </c>
      <c r="B205" s="22" t="inlineStr">
        <is>
          <t>Documentation IA &amp; Templates (Design System Docs)</t>
        </is>
      </c>
      <c r="C205" s="22" t="inlineStr">
        <is>
          <t>Publish initial docs structure and ownership/freshness rules</t>
        </is>
      </c>
      <c r="D205" s="22" t="inlineStr">
        <is>
          <t>Design System Documentation IA + Templates</t>
        </is>
      </c>
      <c r="E205" s="22" t="inlineStr">
        <is>
          <t>Docs structure, page templates, and ownership/freshness model for living documentation.</t>
        </is>
      </c>
      <c r="F205" s="22" t="inlineStr">
        <is>
          <t>Knapsack - Program/Delivery PM</t>
        </is>
      </c>
      <c r="G205" s="22" t="inlineStr">
        <is>
          <t>Knapsack</t>
        </is>
      </c>
      <c r="H205" s="22" t="inlineStr">
        <is>
          <t>Project Manager</t>
        </is>
      </c>
      <c r="I205" s="22" t="inlineStr">
        <is>
          <t>2–3</t>
        </is>
      </c>
    </row>
    <row r="206" s="74">
      <c r="A206" s="22" t="inlineStr">
        <is>
          <t>Implementation + Onboarding</t>
        </is>
      </c>
      <c r="B206" s="22" t="inlineStr">
        <is>
          <t>Quality Gates Setup (A11y, Visual, Performance, Security)</t>
        </is>
      </c>
      <c r="C206" s="22" t="inlineStr">
        <is>
          <t>Define quality gate policy (release criteria for components/tokens/docs)</t>
        </is>
      </c>
      <c r="D206" s="22" t="n"/>
      <c r="E206" s="22" t="n"/>
      <c r="F206" s="22" t="inlineStr">
        <is>
          <t>Knapsack - Design System / Platform SME</t>
        </is>
      </c>
      <c r="G206" s="22" t="inlineStr">
        <is>
          <t>Knapsack</t>
        </is>
      </c>
      <c r="H206" s="22" t="inlineStr">
        <is>
          <t>SME</t>
        </is>
      </c>
      <c r="I206" s="22" t="inlineStr">
        <is>
          <t>3–5</t>
        </is>
      </c>
    </row>
    <row r="207" s="74">
      <c r="A207" s="22" t="inlineStr">
        <is>
          <t>Implementation + Onboarding</t>
        </is>
      </c>
      <c r="B207" s="22" t="inlineStr">
        <is>
          <t>Quality Gates Setup (A11y, Visual, Performance, Security)</t>
        </is>
      </c>
      <c r="C207" s="22" t="inlineStr">
        <is>
          <t>Set up accessibility automation (linting, test utilities, checks) and manual audit process</t>
        </is>
      </c>
      <c r="D207" s="22" t="n"/>
      <c r="E207" s="22" t="n"/>
      <c r="F207" s="22" t="inlineStr">
        <is>
          <t>Knapsack - Design Systems Engineer</t>
        </is>
      </c>
      <c r="G207" s="22" t="inlineStr">
        <is>
          <t>Knapsack</t>
        </is>
      </c>
      <c r="H207" s="22" t="inlineStr">
        <is>
          <t>Engineer</t>
        </is>
      </c>
      <c r="I207" s="22" t="inlineStr">
        <is>
          <t>3–5</t>
        </is>
      </c>
    </row>
    <row r="208" s="74">
      <c r="A208" s="22" t="inlineStr">
        <is>
          <t>Implementation + Onboarding</t>
        </is>
      </c>
      <c r="B208" s="22" t="inlineStr">
        <is>
          <t>Quality Gates Setup (A11y, Visual, Performance, Security)</t>
        </is>
      </c>
      <c r="C208" s="22" t="inlineStr">
        <is>
          <t>Set up visual regression testing and baseline snapshot workflow</t>
        </is>
      </c>
      <c r="D208" s="22" t="n"/>
      <c r="E208" s="22" t="n"/>
      <c r="F208" s="22" t="inlineStr">
        <is>
          <t>Knapsack - Design Systems Engineer</t>
        </is>
      </c>
      <c r="G208" s="22" t="inlineStr">
        <is>
          <t>Knapsack</t>
        </is>
      </c>
      <c r="H208" s="22" t="inlineStr">
        <is>
          <t>Engineer</t>
        </is>
      </c>
      <c r="I208" s="22" t="inlineStr">
        <is>
          <t>3–5</t>
        </is>
      </c>
    </row>
    <row r="209" s="74">
      <c r="A209" s="22" t="inlineStr">
        <is>
          <t>Implementation + Onboarding</t>
        </is>
      </c>
      <c r="B209" s="22" t="inlineStr">
        <is>
          <t>Quality Gates Setup (A11y, Visual, Performance, Security)</t>
        </is>
      </c>
      <c r="C209" s="22" t="inlineStr">
        <is>
          <t>Define performance budgets for components and measurement approach</t>
        </is>
      </c>
      <c r="D209" s="22" t="n"/>
      <c r="E209" s="22" t="n"/>
      <c r="F209" s="22" t="inlineStr">
        <is>
          <t>Knapsack - Design Systems Engineer</t>
        </is>
      </c>
      <c r="G209" s="22" t="inlineStr">
        <is>
          <t>Knapsack</t>
        </is>
      </c>
      <c r="H209" s="22" t="inlineStr">
        <is>
          <t>Engineer</t>
        </is>
      </c>
      <c r="I209" s="22" t="inlineStr">
        <is>
          <t>3–5</t>
        </is>
      </c>
    </row>
    <row r="210" s="74">
      <c r="A210" s="22" t="inlineStr">
        <is>
          <t>Implementation + Onboarding</t>
        </is>
      </c>
      <c r="B210" s="22" t="inlineStr">
        <is>
          <t>Quality Gates Setup (A11y, Visual, Performance, Security)</t>
        </is>
      </c>
      <c r="C210" s="22" t="inlineStr">
        <is>
          <t>Review secure publishing pipeline (dependency policy, provenance/signing if applicable)</t>
        </is>
      </c>
      <c r="D210" s="22" t="n"/>
      <c r="E210" s="22" t="n"/>
      <c r="F210" s="22" t="inlineStr">
        <is>
          <t>Knapsack - Design System / Platform SME</t>
        </is>
      </c>
      <c r="G210" s="22" t="inlineStr">
        <is>
          <t>Knapsack</t>
        </is>
      </c>
      <c r="H210" s="22" t="inlineStr">
        <is>
          <t>SME</t>
        </is>
      </c>
      <c r="I210" s="22" t="inlineStr">
        <is>
          <t>3–5</t>
        </is>
      </c>
    </row>
    <row r="211" s="74">
      <c r="A211" s="22" t="inlineStr">
        <is>
          <t>Implementation + Onboarding</t>
        </is>
      </c>
      <c r="B211" s="22" t="inlineStr">
        <is>
          <t>Quality Gates Setup (A11y, Visual, Performance, Security)</t>
        </is>
      </c>
      <c r="C211" s="22" t="inlineStr">
        <is>
          <t>Publish QA checklist and integrate gates into CI/CD</t>
        </is>
      </c>
      <c r="D211" s="22" t="inlineStr">
        <is>
          <t>Quality Gates + Automation Framework</t>
        </is>
      </c>
      <c r="E211" s="22" t="inlineStr">
        <is>
          <t>Automated quality checks (a11y/visual/perf/security) and release gating policy.</t>
        </is>
      </c>
      <c r="F211" s="22" t="inlineStr">
        <is>
          <t>Knapsack - Design Systems Engineer</t>
        </is>
      </c>
      <c r="G211" s="22" t="inlineStr">
        <is>
          <t>Knapsack</t>
        </is>
      </c>
      <c r="H211" s="22" t="inlineStr">
        <is>
          <t>Engineer</t>
        </is>
      </c>
      <c r="I211" s="22" t="inlineStr">
        <is>
          <t>3–5</t>
        </is>
      </c>
    </row>
    <row r="212" s="74">
      <c r="A212" s="22" t="inlineStr">
        <is>
          <t>Implementation + Onboarding</t>
        </is>
      </c>
      <c r="B212" s="22" t="inlineStr">
        <is>
          <t>Release Engineering &amp; Package Strategy</t>
        </is>
      </c>
      <c r="C212" s="22" t="inlineStr">
        <is>
          <t>Define repo strategy (mono/polyrepo) and package boundaries</t>
        </is>
      </c>
      <c r="D212" s="22" t="n"/>
      <c r="E212" s="22" t="n"/>
      <c r="F212" s="22" t="inlineStr">
        <is>
          <t>Knapsack - Design Systems Engineer</t>
        </is>
      </c>
      <c r="G212" s="22" t="inlineStr">
        <is>
          <t>Knapsack</t>
        </is>
      </c>
      <c r="H212" s="22" t="inlineStr">
        <is>
          <t>Engineer</t>
        </is>
      </c>
      <c r="I212" s="22" t="inlineStr">
        <is>
          <t>3–5</t>
        </is>
      </c>
    </row>
    <row r="213" s="74">
      <c r="A213" s="22" t="inlineStr">
        <is>
          <t>Implementation + Onboarding</t>
        </is>
      </c>
      <c r="B213" s="22" t="inlineStr">
        <is>
          <t>Release Engineering &amp; Package Strategy</t>
        </is>
      </c>
      <c r="C213" s="22" t="inlineStr">
        <is>
          <t>Define semantic versioning, changelog, and release notes standards</t>
        </is>
      </c>
      <c r="D213" s="22" t="n"/>
      <c r="E213" s="22" t="n"/>
      <c r="F213" s="22" t="inlineStr">
        <is>
          <t>Knapsack - Program/Delivery PM</t>
        </is>
      </c>
      <c r="G213" s="22" t="inlineStr">
        <is>
          <t>Knapsack</t>
        </is>
      </c>
      <c r="H213" s="22" t="inlineStr">
        <is>
          <t>Project Manager</t>
        </is>
      </c>
      <c r="I213" s="22" t="inlineStr">
        <is>
          <t>3–5</t>
        </is>
      </c>
    </row>
    <row r="214" s="74">
      <c r="A214" s="22" t="inlineStr">
        <is>
          <t>Implementation + Onboarding</t>
        </is>
      </c>
      <c r="B214" s="22" t="inlineStr">
        <is>
          <t>Release Engineering &amp; Package Strategy</t>
        </is>
      </c>
      <c r="C214" s="22" t="inlineStr">
        <is>
          <t>Implement CI/CD for build/test/publish packages and deploy docs</t>
        </is>
      </c>
      <c r="D214" s="22" t="n"/>
      <c r="E214" s="22" t="n"/>
      <c r="F214" s="22" t="inlineStr">
        <is>
          <t>Knapsack - Design Systems Engineer</t>
        </is>
      </c>
      <c r="G214" s="22" t="inlineStr">
        <is>
          <t>Knapsack</t>
        </is>
      </c>
      <c r="H214" s="22" t="inlineStr">
        <is>
          <t>Engineer</t>
        </is>
      </c>
      <c r="I214" s="22" t="inlineStr">
        <is>
          <t>3–5</t>
        </is>
      </c>
    </row>
    <row r="215" s="74">
      <c r="A215" s="22" t="inlineStr">
        <is>
          <t>Implementation + Onboarding</t>
        </is>
      </c>
      <c r="B215" s="22" t="inlineStr">
        <is>
          <t>Release Engineering &amp; Package Strategy</t>
        </is>
      </c>
      <c r="C215" s="22" t="inlineStr">
        <is>
          <t>Set up compatibility testing (breaking changes, supported versions matrix)</t>
        </is>
      </c>
      <c r="D215" s="22" t="n"/>
      <c r="E215" s="22" t="n"/>
      <c r="F215" s="22" t="inlineStr">
        <is>
          <t>Knapsack - Design Systems Engineer</t>
        </is>
      </c>
      <c r="G215" s="22" t="inlineStr">
        <is>
          <t>Knapsack</t>
        </is>
      </c>
      <c r="H215" s="22" t="inlineStr">
        <is>
          <t>Engineer</t>
        </is>
      </c>
      <c r="I215" s="22" t="inlineStr">
        <is>
          <t>3–5</t>
        </is>
      </c>
    </row>
    <row r="216" s="74">
      <c r="A216" s="22" t="inlineStr">
        <is>
          <t>Implementation + Onboarding</t>
        </is>
      </c>
      <c r="B216" s="22" t="inlineStr">
        <is>
          <t>Release Engineering &amp; Package Strategy</t>
        </is>
      </c>
      <c r="C216" s="22" t="inlineStr">
        <is>
          <t>Define deprecation and migration policy (sunset timelines, migration guides)</t>
        </is>
      </c>
      <c r="D216" s="22" t="n"/>
      <c r="E216" s="22" t="n"/>
      <c r="F216" s="22" t="inlineStr">
        <is>
          <t>Knapsack - Design System / Platform SME</t>
        </is>
      </c>
      <c r="G216" s="22" t="inlineStr">
        <is>
          <t>Knapsack</t>
        </is>
      </c>
      <c r="H216" s="22" t="inlineStr">
        <is>
          <t>SME</t>
        </is>
      </c>
      <c r="I216" s="22" t="inlineStr">
        <is>
          <t>3–5</t>
        </is>
      </c>
    </row>
    <row r="217" s="74">
      <c r="A217" s="22" t="inlineStr">
        <is>
          <t>Implementation + Onboarding</t>
        </is>
      </c>
      <c r="B217" s="22" t="inlineStr">
        <is>
          <t>Release Engineering &amp; Package Strategy</t>
        </is>
      </c>
      <c r="C217" s="22" t="inlineStr">
        <is>
          <t>Publish release playbook and ownership</t>
        </is>
      </c>
      <c r="D217" s="22" t="inlineStr">
        <is>
          <t>Release Playbook + CI/CD Pipelines</t>
        </is>
      </c>
      <c r="E217" s="22" t="inlineStr">
        <is>
          <t>Package strategy, semver/release standards, CI/CD pipelines, and compatibility policy.</t>
        </is>
      </c>
      <c r="F217" s="22" t="inlineStr">
        <is>
          <t>Knapsack - Program/Delivery PM</t>
        </is>
      </c>
      <c r="G217" s="22" t="inlineStr">
        <is>
          <t>Knapsack</t>
        </is>
      </c>
      <c r="H217" s="22" t="inlineStr">
        <is>
          <t>Project Manager</t>
        </is>
      </c>
      <c r="I217" s="22" t="inlineStr">
        <is>
          <t>3–5</t>
        </is>
      </c>
    </row>
    <row r="218" s="74">
      <c r="A218" s="22" t="inlineStr">
        <is>
          <t>Implementation + Onboarding</t>
        </is>
      </c>
      <c r="B218" s="22" t="inlineStr">
        <is>
          <t>AI Contextual Capabilities – Context Model &amp; Knowledge Base</t>
        </is>
      </c>
      <c r="C218" s="22" t="inlineStr">
        <is>
          <t>Define AI JTBD and supported user journeys (recommend, explain, generate safely, lint)</t>
        </is>
      </c>
      <c r="D218" s="22" t="n"/>
      <c r="E218" s="22" t="n"/>
      <c r="F218" s="22" t="inlineStr">
        <is>
          <t>Knapsack - Design System / Platform SME</t>
        </is>
      </c>
      <c r="G218" s="22" t="inlineStr">
        <is>
          <t>Knapsack</t>
        </is>
      </c>
      <c r="H218" s="22" t="inlineStr">
        <is>
          <t>SME</t>
        </is>
      </c>
      <c r="I218" s="22" t="inlineStr">
        <is>
          <t>4–6</t>
        </is>
      </c>
    </row>
    <row r="219" s="74">
      <c r="A219" s="22" t="inlineStr">
        <is>
          <t>Implementation + Onboarding</t>
        </is>
      </c>
      <c r="B219" s="22" t="inlineStr">
        <is>
          <t>AI Contextual Capabilities – Context Model &amp; Knowledge Base</t>
        </is>
      </c>
      <c r="C219" s="22" t="inlineStr">
        <is>
          <t>Define context schema/ontology (product, platform, theme, constraints, persona)</t>
        </is>
      </c>
      <c r="D219" s="22" t="n"/>
      <c r="E219" s="22" t="n"/>
      <c r="F219" s="22" t="inlineStr">
        <is>
          <t>Knapsack - Design System / Platform SME</t>
        </is>
      </c>
      <c r="G219" s="22" t="inlineStr">
        <is>
          <t>Knapsack</t>
        </is>
      </c>
      <c r="H219" s="22" t="inlineStr">
        <is>
          <t>SME</t>
        </is>
      </c>
      <c r="I219" s="22" t="inlineStr">
        <is>
          <t>4–6</t>
        </is>
      </c>
    </row>
    <row r="220" s="74">
      <c r="A220" s="22" t="inlineStr">
        <is>
          <t>Implementation + Onboarding</t>
        </is>
      </c>
      <c r="B220" s="22" t="inlineStr">
        <is>
          <t>AI Contextual Capabilities – Context Model &amp; Knowledge Base</t>
        </is>
      </c>
      <c r="C220" s="22" t="inlineStr">
        <is>
          <t>Curate knowledge sources (docs, tokens, component specs, governance rules) and ownership</t>
        </is>
      </c>
      <c r="D220" s="22" t="n"/>
      <c r="E220" s="22" t="n"/>
      <c r="F220" s="22" t="inlineStr">
        <is>
          <t>Knapsack - Design System / Platform SME</t>
        </is>
      </c>
      <c r="G220" s="22" t="inlineStr">
        <is>
          <t>Knapsack</t>
        </is>
      </c>
      <c r="H220" s="22" t="inlineStr">
        <is>
          <t>SME</t>
        </is>
      </c>
      <c r="I220" s="22" t="inlineStr">
        <is>
          <t>4–6</t>
        </is>
      </c>
    </row>
    <row r="221" s="74">
      <c r="A221" s="22" t="inlineStr">
        <is>
          <t>Implementation + Onboarding</t>
        </is>
      </c>
      <c r="B221" s="22" t="inlineStr">
        <is>
          <t>AI Contextual Capabilities – Context Model &amp; Knowledge Base</t>
        </is>
      </c>
      <c r="C221" s="22" t="inlineStr">
        <is>
          <t>Implement retrieval/indexing approach (metadata/tags + search/index; freshness rules)</t>
        </is>
      </c>
      <c r="D221" s="22" t="n"/>
      <c r="E221" s="22" t="n"/>
      <c r="F221" s="22" t="inlineStr">
        <is>
          <t>Knapsack - Design Systems Engineer</t>
        </is>
      </c>
      <c r="G221" s="22" t="inlineStr">
        <is>
          <t>Knapsack</t>
        </is>
      </c>
      <c r="H221" s="22" t="inlineStr">
        <is>
          <t>Engineer</t>
        </is>
      </c>
      <c r="I221" s="22" t="inlineStr">
        <is>
          <t>4–6</t>
        </is>
      </c>
    </row>
    <row r="222" s="74">
      <c r="A222" s="22" t="inlineStr">
        <is>
          <t>Implementation + Onboarding</t>
        </is>
      </c>
      <c r="B222" s="22" t="inlineStr">
        <is>
          <t>AI Contextual Capabilities – Context Model &amp; Knowledge Base</t>
        </is>
      </c>
      <c r="C222" s="22" t="inlineStr">
        <is>
          <t>Define prompt patterns and response formats tied to system entities (tokens/components/patterns)</t>
        </is>
      </c>
      <c r="D222" s="22" t="n"/>
      <c r="E222" s="22" t="n"/>
      <c r="F222" s="22" t="inlineStr">
        <is>
          <t>Knapsack - Design System / Platform SME</t>
        </is>
      </c>
      <c r="G222" s="22" t="inlineStr">
        <is>
          <t>Knapsack</t>
        </is>
      </c>
      <c r="H222" s="22" t="inlineStr">
        <is>
          <t>SME</t>
        </is>
      </c>
      <c r="I222" s="22" t="inlineStr">
        <is>
          <t>4–6</t>
        </is>
      </c>
    </row>
    <row r="223" s="74">
      <c r="A223" s="22" t="inlineStr">
        <is>
          <t>Implementation + Onboarding</t>
        </is>
      </c>
      <c r="B223" s="22" t="inlineStr">
        <is>
          <t>AI Contextual Capabilities – Context Model &amp; Knowledge Base</t>
        </is>
      </c>
      <c r="C223" s="22" t="inlineStr">
        <is>
          <t>Establish human-in-the-loop review and escalation paths for risky outputs</t>
        </is>
      </c>
      <c r="D223" s="22" t="n"/>
      <c r="E223" s="22" t="n"/>
      <c r="F223" s="22" t="inlineStr">
        <is>
          <t>Knapsack - Program/Delivery PM</t>
        </is>
      </c>
      <c r="G223" s="22" t="inlineStr">
        <is>
          <t>Knapsack</t>
        </is>
      </c>
      <c r="H223" s="22" t="inlineStr">
        <is>
          <t>Project Manager</t>
        </is>
      </c>
      <c r="I223" s="22" t="inlineStr">
        <is>
          <t>4–6</t>
        </is>
      </c>
    </row>
    <row r="224" s="74">
      <c r="A224" s="22" t="inlineStr">
        <is>
          <t>Implementation + Onboarding</t>
        </is>
      </c>
      <c r="B224" s="22" t="inlineStr">
        <is>
          <t>AI Contextual Capabilities – Context Model &amp; Knowledge Base</t>
        </is>
      </c>
      <c r="C224" s="22" t="inlineStr">
        <is>
          <t>Publish AI context design and operations plan</t>
        </is>
      </c>
      <c r="D224" s="22" t="inlineStr">
        <is>
          <t>AI Context Model + Knowledge Base Plan</t>
        </is>
      </c>
      <c r="E224" s="22" t="inlineStr">
        <is>
          <t>Context schema, curated sources, retrieval approach, prompt patterns, and governance plan.</t>
        </is>
      </c>
      <c r="F224" s="22" t="inlineStr">
        <is>
          <t>Knapsack - Design System / Platform SME</t>
        </is>
      </c>
      <c r="G224" s="22" t="inlineStr">
        <is>
          <t>Knapsack</t>
        </is>
      </c>
      <c r="H224" s="22" t="inlineStr">
        <is>
          <t>SME</t>
        </is>
      </c>
      <c r="I224" s="22" t="inlineStr">
        <is>
          <t>4–6</t>
        </is>
      </c>
    </row>
    <row r="225" s="74">
      <c r="A225" s="22" t="inlineStr">
        <is>
          <t>Scaled Rollout and Adoption</t>
        </is>
      </c>
      <c r="B225" s="22" t="inlineStr">
        <is>
          <t>Component Library MVP Build (Core Set)</t>
        </is>
      </c>
      <c r="C225" s="22" t="inlineStr">
        <is>
          <t>Implement MVP component set in code (per roadmap) with tokens wired-in</t>
        </is>
      </c>
      <c r="D225" s="22" t="n"/>
      <c r="E225" s="22" t="n"/>
      <c r="F225" s="22" t="inlineStr">
        <is>
          <t>Knapsack - Design Systems Engineer</t>
        </is>
      </c>
      <c r="G225" s="22" t="inlineStr">
        <is>
          <t>Knapsack</t>
        </is>
      </c>
      <c r="H225" s="22" t="inlineStr">
        <is>
          <t>Engineer</t>
        </is>
      </c>
      <c r="I225" s="22" t="inlineStr">
        <is>
          <t>6–10</t>
        </is>
      </c>
    </row>
    <row r="226" s="74">
      <c r="A226" s="22" t="inlineStr">
        <is>
          <t>Scaled Rollout and Adoption</t>
        </is>
      </c>
      <c r="B226" s="22" t="inlineStr">
        <is>
          <t>Component Library MVP Build (Core Set)</t>
        </is>
      </c>
      <c r="C226" s="22" t="inlineStr">
        <is>
          <t>Create component tests (unit/integration) and a11y coverage per standards</t>
        </is>
      </c>
      <c r="D226" s="22" t="n"/>
      <c r="E226" s="22" t="n"/>
      <c r="F226" s="22" t="inlineStr">
        <is>
          <t>Knapsack - Design Systems Engineer</t>
        </is>
      </c>
      <c r="G226" s="22" t="inlineStr">
        <is>
          <t>Knapsack</t>
        </is>
      </c>
      <c r="H226" s="22" t="inlineStr">
        <is>
          <t>Engineer</t>
        </is>
      </c>
      <c r="I226" s="22" t="inlineStr">
        <is>
          <t>6–10</t>
        </is>
      </c>
    </row>
    <row r="227" s="74">
      <c r="A227" s="22" t="inlineStr">
        <is>
          <t>Scaled Rollout and Adoption</t>
        </is>
      </c>
      <c r="B227" s="22" t="inlineStr">
        <is>
          <t>Component Library MVP Build (Core Set)</t>
        </is>
      </c>
      <c r="C227" s="22" t="inlineStr">
        <is>
          <t>Build usage examples and recipes for each MVP component</t>
        </is>
      </c>
      <c r="D227" s="22" t="n"/>
      <c r="E227" s="22" t="n"/>
      <c r="F227" s="22" t="inlineStr">
        <is>
          <t>Knapsack - Design System / Platform SME</t>
        </is>
      </c>
      <c r="G227" s="22" t="inlineStr">
        <is>
          <t>Knapsack</t>
        </is>
      </c>
      <c r="H227" s="22" t="inlineStr">
        <is>
          <t>SME</t>
        </is>
      </c>
      <c r="I227" s="22" t="inlineStr">
        <is>
          <t>6–10</t>
        </is>
      </c>
    </row>
    <row r="228" s="74">
      <c r="A228" s="22" t="inlineStr">
        <is>
          <t>Scaled Rollout and Adoption</t>
        </is>
      </c>
      <c r="B228" s="22" t="inlineStr">
        <is>
          <t>Component Library MVP Build (Core Set)</t>
        </is>
      </c>
      <c r="C228" s="22" t="inlineStr">
        <is>
          <t>Run design↔code alignment review (spec conformance, states, variants)</t>
        </is>
      </c>
      <c r="D228" s="22" t="n"/>
      <c r="E228" s="22" t="n"/>
      <c r="F228" s="22" t="inlineStr">
        <is>
          <t>Knapsack - Design System Lead</t>
        </is>
      </c>
      <c r="G228" s="22" t="inlineStr">
        <is>
          <t>Knapsack</t>
        </is>
      </c>
      <c r="H228" s="22" t="inlineStr">
        <is>
          <t>Design Lead</t>
        </is>
      </c>
      <c r="I228" s="22" t="inlineStr">
        <is>
          <t>6–10</t>
        </is>
      </c>
    </row>
    <row r="229" s="74">
      <c r="A229" s="22" t="inlineStr">
        <is>
          <t>Scaled Rollout and Adoption</t>
        </is>
      </c>
      <c r="B229" s="22" t="inlineStr">
        <is>
          <t>Component Library MVP Build (Core Set)</t>
        </is>
      </c>
      <c r="C229" s="22" t="inlineStr">
        <is>
          <t>Publish packages and docs for MVP components</t>
        </is>
      </c>
      <c r="D229" s="22" t="n"/>
      <c r="E229" s="22" t="n"/>
      <c r="F229" s="22" t="inlineStr">
        <is>
          <t>Knapsack - Design Systems Engineer</t>
        </is>
      </c>
      <c r="G229" s="22" t="inlineStr">
        <is>
          <t>Knapsack</t>
        </is>
      </c>
      <c r="H229" s="22" t="inlineStr">
        <is>
          <t>Engineer</t>
        </is>
      </c>
      <c r="I229" s="22" t="inlineStr">
        <is>
          <t>6–10</t>
        </is>
      </c>
    </row>
    <row r="230" s="74">
      <c r="A230" s="22" t="inlineStr">
        <is>
          <t>Scaled Rollout and Adoption</t>
        </is>
      </c>
      <c r="B230" s="22" t="inlineStr">
        <is>
          <t>Component Library MVP Build (Core Set)</t>
        </is>
      </c>
      <c r="C230" s="22" t="inlineStr">
        <is>
          <t>Pilot adoption with 1–2 product teams and collect issues</t>
        </is>
      </c>
      <c r="D230" s="22" t="n"/>
      <c r="E230" s="22" t="n"/>
      <c r="F230" s="22" t="inlineStr">
        <is>
          <t>Knapsack - Program/Delivery PM</t>
        </is>
      </c>
      <c r="G230" s="22" t="inlineStr">
        <is>
          <t>Knapsack</t>
        </is>
      </c>
      <c r="H230" s="22" t="inlineStr">
        <is>
          <t>Project Manager</t>
        </is>
      </c>
      <c r="I230" s="22" t="inlineStr">
        <is>
          <t>6–10</t>
        </is>
      </c>
    </row>
    <row r="231" s="74">
      <c r="A231" s="22" t="inlineStr">
        <is>
          <t>Scaled Rollout and Adoption</t>
        </is>
      </c>
      <c r="B231" s="22" t="inlineStr">
        <is>
          <t>Component Library MVP Build (Core Set)</t>
        </is>
      </c>
      <c r="C231" s="22" t="inlineStr">
        <is>
          <t>Refine based on pilot feedback and finalize MVP release</t>
        </is>
      </c>
      <c r="D231" s="22" t="inlineStr">
        <is>
          <t>MVP Component Library Release</t>
        </is>
      </c>
      <c r="E231" s="22" t="inlineStr">
        <is>
          <t>Published component packages + docs + examples for the MVP set, validated by pilot teams.</t>
        </is>
      </c>
      <c r="F231" s="22" t="inlineStr">
        <is>
          <t>Knapsack - Design Systems Engineer</t>
        </is>
      </c>
      <c r="G231" s="22" t="inlineStr">
        <is>
          <t>Knapsack</t>
        </is>
      </c>
      <c r="H231" s="22" t="inlineStr">
        <is>
          <t>Engineer</t>
        </is>
      </c>
      <c r="I231" s="22" t="inlineStr">
        <is>
          <t>6–10</t>
        </is>
      </c>
    </row>
    <row r="232" s="74">
      <c r="A232" s="22" t="inlineStr">
        <is>
          <t>Scaled Rollout and Adoption</t>
        </is>
      </c>
      <c r="B232" s="22" t="inlineStr">
        <is>
          <t>Code Connect Coverage Expansion &amp; Drift Remediation</t>
        </is>
      </c>
      <c r="C232" s="22" t="inlineStr">
        <is>
          <t>Expand Code Connect mappings to additional high-value components</t>
        </is>
      </c>
      <c r="D232" s="22" t="n"/>
      <c r="E232" s="22" t="n"/>
      <c r="F232" s="22" t="inlineStr">
        <is>
          <t>Knapsack - Design Systems Engineer</t>
        </is>
      </c>
      <c r="G232" s="22" t="inlineStr">
        <is>
          <t>Knapsack</t>
        </is>
      </c>
      <c r="H232" s="22" t="inlineStr">
        <is>
          <t>Engineer</t>
        </is>
      </c>
      <c r="I232" s="22" t="inlineStr">
        <is>
          <t>4–6</t>
        </is>
      </c>
    </row>
    <row r="233" s="74">
      <c r="A233" s="22" t="inlineStr">
        <is>
          <t>Scaled Rollout and Adoption</t>
        </is>
      </c>
      <c r="B233" s="22" t="inlineStr">
        <is>
          <t>Code Connect Coverage Expansion &amp; Drift Remediation</t>
        </is>
      </c>
      <c r="C233" s="22" t="inlineStr">
        <is>
          <t>Validate mappings across variants/states and align naming/props</t>
        </is>
      </c>
      <c r="D233" s="22" t="n"/>
      <c r="E233" s="22" t="n"/>
      <c r="F233" s="22" t="inlineStr">
        <is>
          <t>Knapsack - Design Systems Engineer</t>
        </is>
      </c>
      <c r="G233" s="22" t="inlineStr">
        <is>
          <t>Knapsack</t>
        </is>
      </c>
      <c r="H233" s="22" t="inlineStr">
        <is>
          <t>Engineer</t>
        </is>
      </c>
      <c r="I233" s="22" t="inlineStr">
        <is>
          <t>4–6</t>
        </is>
      </c>
    </row>
    <row r="234" s="74">
      <c r="A234" s="22" t="inlineStr">
        <is>
          <t>Scaled Rollout and Adoption</t>
        </is>
      </c>
      <c r="B234" s="22" t="inlineStr">
        <is>
          <t>Code Connect Coverage Expansion &amp; Drift Remediation</t>
        </is>
      </c>
      <c r="C234" s="22" t="inlineStr">
        <is>
          <t>Establish drift reporting (coverage, freshness, mismatch categories)</t>
        </is>
      </c>
      <c r="D234" s="22" t="n"/>
      <c r="E234" s="22" t="n"/>
      <c r="F234" s="22" t="inlineStr">
        <is>
          <t>Knapsack - Design System / Platform SME</t>
        </is>
      </c>
      <c r="G234" s="22" t="inlineStr">
        <is>
          <t>Knapsack</t>
        </is>
      </c>
      <c r="H234" s="22" t="inlineStr">
        <is>
          <t>SME</t>
        </is>
      </c>
      <c r="I234" s="22" t="inlineStr">
        <is>
          <t>4–6</t>
        </is>
      </c>
    </row>
    <row r="235" s="74">
      <c r="A235" s="22" t="inlineStr">
        <is>
          <t>Scaled Rollout and Adoption</t>
        </is>
      </c>
      <c r="B235" s="22" t="inlineStr">
        <is>
          <t>Code Connect Coverage Expansion &amp; Drift Remediation</t>
        </is>
      </c>
      <c r="C235" s="22" t="inlineStr">
        <is>
          <t>Run drift remediation cycles with code/design owners</t>
        </is>
      </c>
      <c r="D235" s="22" t="n"/>
      <c r="E235" s="22" t="n"/>
      <c r="F235" s="22" t="inlineStr">
        <is>
          <t>Knapsack - Program/Delivery PM</t>
        </is>
      </c>
      <c r="G235" s="22" t="inlineStr">
        <is>
          <t>Knapsack</t>
        </is>
      </c>
      <c r="H235" s="22" t="inlineStr">
        <is>
          <t>Project Manager</t>
        </is>
      </c>
      <c r="I235" s="22" t="inlineStr">
        <is>
          <t>4–6</t>
        </is>
      </c>
    </row>
    <row r="236" s="74">
      <c r="A236" s="22" t="inlineStr">
        <is>
          <t>Scaled Rollout and Adoption</t>
        </is>
      </c>
      <c r="B236" s="22" t="inlineStr">
        <is>
          <t>Code Connect Coverage Expansion &amp; Drift Remediation</t>
        </is>
      </c>
      <c r="C236" s="22" t="inlineStr">
        <is>
          <t>Document common drift patterns and prevention guidance</t>
        </is>
      </c>
      <c r="D236" s="22" t="n"/>
      <c r="E236" s="22" t="n"/>
      <c r="F236" s="22" t="inlineStr">
        <is>
          <t>Knapsack - Design System / Platform SME</t>
        </is>
      </c>
      <c r="G236" s="22" t="inlineStr">
        <is>
          <t>Knapsack</t>
        </is>
      </c>
      <c r="H236" s="22" t="inlineStr">
        <is>
          <t>SME</t>
        </is>
      </c>
      <c r="I236" s="22" t="inlineStr">
        <is>
          <t>4–6</t>
        </is>
      </c>
    </row>
    <row r="237" s="74">
      <c r="A237" s="22" t="inlineStr">
        <is>
          <t>Scaled Rollout and Adoption</t>
        </is>
      </c>
      <c r="B237" s="22" t="inlineStr">
        <is>
          <t>Code Connect Coverage Expansion &amp; Drift Remediation</t>
        </is>
      </c>
      <c r="C237" s="22" t="inlineStr">
        <is>
          <t>Publish connected coverage dashboard and SOP</t>
        </is>
      </c>
      <c r="D237" s="22" t="inlineStr">
        <is>
          <t>Code Connect Coverage + Drift Dashboard</t>
        </is>
      </c>
      <c r="E237" s="22" t="inlineStr">
        <is>
          <t>Expanded connected coverage with drift reporting, remediation workflow, and dashboards.</t>
        </is>
      </c>
      <c r="F237" s="22" t="inlineStr">
        <is>
          <t>Knapsack - Design Systems Engineer</t>
        </is>
      </c>
      <c r="G237" s="22" t="inlineStr">
        <is>
          <t>Knapsack</t>
        </is>
      </c>
      <c r="H237" s="22" t="inlineStr">
        <is>
          <t>Engineer</t>
        </is>
      </c>
      <c r="I237" s="22" t="inlineStr">
        <is>
          <t>4–6</t>
        </is>
      </c>
    </row>
    <row r="238" s="74">
      <c r="A238" s="22" t="inlineStr">
        <is>
          <t>Scaled Rollout and Adoption</t>
        </is>
      </c>
      <c r="B238" s="22" t="inlineStr">
        <is>
          <t>Docs Launch + Recipes &amp; Migration Guides</t>
        </is>
      </c>
      <c r="C238" s="22" t="inlineStr">
        <is>
          <t>Publish foundations, tokens, and component standards in docs site</t>
        </is>
      </c>
      <c r="D238" s="22" t="n"/>
      <c r="E238" s="22" t="n"/>
      <c r="F238" s="22" t="inlineStr">
        <is>
          <t>Knapsack - Design System / Platform SME</t>
        </is>
      </c>
      <c r="G238" s="22" t="inlineStr">
        <is>
          <t>Knapsack</t>
        </is>
      </c>
      <c r="H238" s="22" t="inlineStr">
        <is>
          <t>SME</t>
        </is>
      </c>
      <c r="I238" s="22" t="inlineStr">
        <is>
          <t>3–5</t>
        </is>
      </c>
    </row>
    <row r="239" s="74">
      <c r="A239" s="22" t="inlineStr">
        <is>
          <t>Scaled Rollout and Adoption</t>
        </is>
      </c>
      <c r="B239" s="22" t="inlineStr">
        <is>
          <t>Docs Launch + Recipes &amp; Migration Guides</t>
        </is>
      </c>
      <c r="C239" s="22" t="inlineStr">
        <is>
          <t>Publish recipes/patterns library (common flows, layouts, accessibility patterns)</t>
        </is>
      </c>
      <c r="D239" s="22" t="n"/>
      <c r="E239" s="22" t="n"/>
      <c r="F239" s="22" t="inlineStr">
        <is>
          <t>Knapsack - Design System / Platform SME</t>
        </is>
      </c>
      <c r="G239" s="22" t="inlineStr">
        <is>
          <t>Knapsack</t>
        </is>
      </c>
      <c r="H239" s="22" t="inlineStr">
        <is>
          <t>SME</t>
        </is>
      </c>
      <c r="I239" s="22" t="inlineStr">
        <is>
          <t>3–5</t>
        </is>
      </c>
    </row>
    <row r="240" s="74">
      <c r="A240" s="22" t="inlineStr">
        <is>
          <t>Scaled Rollout and Adoption</t>
        </is>
      </c>
      <c r="B240" s="22" t="inlineStr">
        <is>
          <t>Docs Launch + Recipes &amp; Migration Guides</t>
        </is>
      </c>
      <c r="C240" s="22" t="inlineStr">
        <is>
          <t>Create migration guides for adopting new packages/components (including deprecations)</t>
        </is>
      </c>
      <c r="D240" s="22" t="n"/>
      <c r="E240" s="22" t="n"/>
      <c r="F240" s="22" t="inlineStr">
        <is>
          <t>Knapsack - Design System / Platform SME</t>
        </is>
      </c>
      <c r="G240" s="22" t="inlineStr">
        <is>
          <t>Knapsack</t>
        </is>
      </c>
      <c r="H240" s="22" t="inlineStr">
        <is>
          <t>SME</t>
        </is>
      </c>
      <c r="I240" s="22" t="inlineStr">
        <is>
          <t>3–5</t>
        </is>
      </c>
    </row>
    <row r="241" s="74">
      <c r="A241" s="22" t="inlineStr">
        <is>
          <t>Scaled Rollout and Adoption</t>
        </is>
      </c>
      <c r="B241" s="22" t="inlineStr">
        <is>
          <t>Docs Launch + Recipes &amp; Migration Guides</t>
        </is>
      </c>
      <c r="C241" s="22" t="inlineStr">
        <is>
          <t>Add embedded code samples and playground links (governed snippet sources)</t>
        </is>
      </c>
      <c r="D241" s="22" t="n"/>
      <c r="E241" s="22" t="n"/>
      <c r="F241" s="22" t="inlineStr">
        <is>
          <t>Knapsack - Design Systems Engineer</t>
        </is>
      </c>
      <c r="G241" s="22" t="inlineStr">
        <is>
          <t>Knapsack</t>
        </is>
      </c>
      <c r="H241" s="22" t="inlineStr">
        <is>
          <t>Engineer</t>
        </is>
      </c>
      <c r="I241" s="22" t="inlineStr">
        <is>
          <t>3–5</t>
        </is>
      </c>
    </row>
    <row r="242" s="74">
      <c r="A242" s="22" t="inlineStr">
        <is>
          <t>Scaled Rollout and Adoption</t>
        </is>
      </c>
      <c r="B242" s="22" t="inlineStr">
        <is>
          <t>Docs Launch + Recipes &amp; Migration Guides</t>
        </is>
      </c>
      <c r="C242" s="22" t="inlineStr">
        <is>
          <t>Launch docs and establish update cadence + ownership model</t>
        </is>
      </c>
      <c r="D242" s="22" t="inlineStr">
        <is>
          <t>Design System Docs v1 Launch</t>
        </is>
      </c>
      <c r="E242" s="22" t="inlineStr">
        <is>
          <t>Published docs with recipes, migration guides, governed snippets, and ownership cadence.</t>
        </is>
      </c>
      <c r="F242" s="22" t="inlineStr">
        <is>
          <t>Knapsack - Program/Delivery PM</t>
        </is>
      </c>
      <c r="G242" s="22" t="inlineStr">
        <is>
          <t>Knapsack</t>
        </is>
      </c>
      <c r="H242" s="22" t="inlineStr">
        <is>
          <t>Project Manager</t>
        </is>
      </c>
      <c r="I242" s="22" t="inlineStr">
        <is>
          <t>3–5</t>
        </is>
      </c>
    </row>
    <row r="243" s="74">
      <c r="A243" s="22" t="inlineStr">
        <is>
          <t>Scaled Rollout and Adoption</t>
        </is>
      </c>
      <c r="B243" s="22" t="inlineStr">
        <is>
          <t>Partner Contribution Pathway &amp; Certification</t>
        </is>
      </c>
      <c r="C243" s="22" t="inlineStr">
        <is>
          <t>Define partner contribution workflow (intake, sandbox, review gates, SLAs)</t>
        </is>
      </c>
      <c r="D243" s="22" t="n"/>
      <c r="E243" s="22" t="n"/>
      <c r="F243" s="22" t="inlineStr">
        <is>
          <t>Knapsack - Program/Delivery PM</t>
        </is>
      </c>
      <c r="G243" s="22" t="inlineStr">
        <is>
          <t>Knapsack</t>
        </is>
      </c>
      <c r="H243" s="22" t="inlineStr">
        <is>
          <t>Project Manager</t>
        </is>
      </c>
      <c r="I243" s="22" t="inlineStr">
        <is>
          <t>3–5</t>
        </is>
      </c>
    </row>
    <row r="244" s="74">
      <c r="A244" s="22" t="inlineStr">
        <is>
          <t>Scaled Rollout and Adoption</t>
        </is>
      </c>
      <c r="B244" s="22" t="inlineStr">
        <is>
          <t>Partner Contribution Pathway &amp; Certification</t>
        </is>
      </c>
      <c r="C244" s="22" t="inlineStr">
        <is>
          <t>Create partner contribution kit (templates, checklists, example PRs)</t>
        </is>
      </c>
      <c r="D244" s="22" t="n"/>
      <c r="E244" s="22" t="n"/>
      <c r="F244" s="22" t="inlineStr">
        <is>
          <t>Knapsack - Design System / Platform SME</t>
        </is>
      </c>
      <c r="G244" s="22" t="inlineStr">
        <is>
          <t>Knapsack</t>
        </is>
      </c>
      <c r="H244" s="22" t="inlineStr">
        <is>
          <t>SME</t>
        </is>
      </c>
      <c r="I244" s="22" t="inlineStr">
        <is>
          <t>3–5</t>
        </is>
      </c>
    </row>
    <row r="245" s="74">
      <c r="A245" s="22" t="inlineStr">
        <is>
          <t>Scaled Rollout and Adoption</t>
        </is>
      </c>
      <c r="B245" s="22" t="inlineStr">
        <is>
          <t>Partner Contribution Pathway &amp; Certification</t>
        </is>
      </c>
      <c r="C245" s="22" t="inlineStr">
        <is>
          <t>Define certification rubric (design + code + a11y + tests + documentation)</t>
        </is>
      </c>
      <c r="D245" s="22" t="n"/>
      <c r="E245" s="22" t="n"/>
      <c r="F245" s="22" t="inlineStr">
        <is>
          <t>Knapsack - Design System / Platform SME</t>
        </is>
      </c>
      <c r="G245" s="22" t="inlineStr">
        <is>
          <t>Knapsack</t>
        </is>
      </c>
      <c r="H245" s="22" t="inlineStr">
        <is>
          <t>SME</t>
        </is>
      </c>
      <c r="I245" s="22" t="inlineStr">
        <is>
          <t>3–5</t>
        </is>
      </c>
    </row>
    <row r="246" s="74">
      <c r="A246" s="22" t="inlineStr">
        <is>
          <t>Scaled Rollout and Adoption</t>
        </is>
      </c>
      <c r="B246" s="22" t="inlineStr">
        <is>
          <t>Partner Contribution Pathway &amp; Certification</t>
        </is>
      </c>
      <c r="C246" s="22" t="inlineStr">
        <is>
          <t>Implement badges/labels for certified components/patterns in docs</t>
        </is>
      </c>
      <c r="D246" s="22" t="n"/>
      <c r="E246" s="22" t="n"/>
      <c r="F246" s="22" t="inlineStr">
        <is>
          <t>Knapsack - Design Systems Engineer</t>
        </is>
      </c>
      <c r="G246" s="22" t="inlineStr">
        <is>
          <t>Knapsack</t>
        </is>
      </c>
      <c r="H246" s="22" t="inlineStr">
        <is>
          <t>Engineer</t>
        </is>
      </c>
      <c r="I246" s="22" t="inlineStr">
        <is>
          <t>3–5</t>
        </is>
      </c>
    </row>
    <row r="247" s="74">
      <c r="A247" s="22" t="inlineStr">
        <is>
          <t>Scaled Rollout and Adoption</t>
        </is>
      </c>
      <c r="B247" s="22" t="inlineStr">
        <is>
          <t>Partner Contribution Pathway &amp; Certification</t>
        </is>
      </c>
      <c r="C247" s="22" t="inlineStr">
        <is>
          <t>Pilot partner contribution with 1 partner and iterate workflow</t>
        </is>
      </c>
      <c r="D247" s="22" t="n"/>
      <c r="E247" s="22" t="n"/>
      <c r="F247" s="22" t="inlineStr">
        <is>
          <t>Knapsack - Program/Delivery PM</t>
        </is>
      </c>
      <c r="G247" s="22" t="inlineStr">
        <is>
          <t>Knapsack</t>
        </is>
      </c>
      <c r="H247" s="22" t="inlineStr">
        <is>
          <t>Project Manager</t>
        </is>
      </c>
      <c r="I247" s="22" t="inlineStr">
        <is>
          <t>3–5</t>
        </is>
      </c>
    </row>
    <row r="248" s="74">
      <c r="A248" s="22" t="inlineStr">
        <is>
          <t>Scaled Rollout and Adoption</t>
        </is>
      </c>
      <c r="B248" s="22" t="inlineStr">
        <is>
          <t>Partner Contribution Pathway &amp; Certification</t>
        </is>
      </c>
      <c r="C248" s="22" t="inlineStr">
        <is>
          <t>Launch partner pathway program and publish certification criteria</t>
        </is>
      </c>
      <c r="D248" s="22" t="inlineStr">
        <is>
          <t>Partner Contribution + Certification Program</t>
        </is>
      </c>
      <c r="E248" s="22" t="inlineStr">
        <is>
          <t>Partner workflow, certification rubric, and publishing mechanics for approved contributions.</t>
        </is>
      </c>
      <c r="F248" s="22" t="inlineStr">
        <is>
          <t>Knapsack - Program/Delivery PM</t>
        </is>
      </c>
      <c r="G248" s="22" t="inlineStr">
        <is>
          <t>Knapsack</t>
        </is>
      </c>
      <c r="H248" s="22" t="inlineStr">
        <is>
          <t>Project Manager</t>
        </is>
      </c>
      <c r="I248" s="22" t="inlineStr">
        <is>
          <t>3–5</t>
        </is>
      </c>
    </row>
    <row r="249" s="74">
      <c r="A249" s="22" t="inlineStr">
        <is>
          <t>Scaled Rollout and Adoption</t>
        </is>
      </c>
      <c r="B249" s="22" t="inlineStr">
        <is>
          <t>AI Contextual Capabilities – Workflow Integrations</t>
        </is>
      </c>
      <c r="C249" s="22" t="inlineStr">
        <is>
          <t>Design AI assistant experiences for designers (Figma) and engineers (docs/IDE)</t>
        </is>
      </c>
      <c r="D249" s="22" t="n"/>
      <c r="E249" s="22" t="n"/>
      <c r="F249" s="22" t="inlineStr">
        <is>
          <t>Knapsack - Design System / Platform SME</t>
        </is>
      </c>
      <c r="G249" s="22" t="inlineStr">
        <is>
          <t>Knapsack</t>
        </is>
      </c>
      <c r="H249" s="22" t="inlineStr">
        <is>
          <t>SME</t>
        </is>
      </c>
      <c r="I249" s="22" t="inlineStr">
        <is>
          <t>4–8</t>
        </is>
      </c>
    </row>
    <row r="250" s="74">
      <c r="A250" s="22" t="inlineStr">
        <is>
          <t>Scaled Rollout and Adoption</t>
        </is>
      </c>
      <c r="B250" s="22" t="inlineStr">
        <is>
          <t>AI Contextual Capabilities – Workflow Integrations</t>
        </is>
      </c>
      <c r="C250" s="22" t="inlineStr">
        <is>
          <t>Implement Figma-side entry point (plugin/UI) for contextual recommendations and linting</t>
        </is>
      </c>
      <c r="D250" s="22" t="n"/>
      <c r="E250" s="22" t="n"/>
      <c r="F250" s="22" t="inlineStr">
        <is>
          <t>Knapsack - Design Systems Engineer</t>
        </is>
      </c>
      <c r="G250" s="22" t="inlineStr">
        <is>
          <t>Knapsack</t>
        </is>
      </c>
      <c r="H250" s="22" t="inlineStr">
        <is>
          <t>Engineer</t>
        </is>
      </c>
      <c r="I250" s="22" t="inlineStr">
        <is>
          <t>4–8</t>
        </is>
      </c>
    </row>
    <row r="251" s="74">
      <c r="A251" s="22" t="inlineStr">
        <is>
          <t>Scaled Rollout and Adoption</t>
        </is>
      </c>
      <c r="B251" s="22" t="inlineStr">
        <is>
          <t>AI Contextual Capabilities – Workflow Integrations</t>
        </is>
      </c>
      <c r="C251" s="22" t="inlineStr">
        <is>
          <t>Implement docs-site assistant for contextual guidance and search/Q&amp;A</t>
        </is>
      </c>
      <c r="D251" s="22" t="n"/>
      <c r="E251" s="22" t="n"/>
      <c r="F251" s="22" t="inlineStr">
        <is>
          <t>Knapsack - Design Systems Engineer</t>
        </is>
      </c>
      <c r="G251" s="22" t="inlineStr">
        <is>
          <t>Knapsack</t>
        </is>
      </c>
      <c r="H251" s="22" t="inlineStr">
        <is>
          <t>Engineer</t>
        </is>
      </c>
      <c r="I251" s="22" t="inlineStr">
        <is>
          <t>4–8</t>
        </is>
      </c>
    </row>
    <row r="252" s="74">
      <c r="A252" s="22" t="inlineStr">
        <is>
          <t>Scaled Rollout and Adoption</t>
        </is>
      </c>
      <c r="B252" s="22" t="inlineStr">
        <is>
          <t>AI Contextual Capabilities – Workflow Integrations</t>
        </is>
      </c>
      <c r="C252" s="22" t="inlineStr">
        <is>
          <t>Implement IDE/PR assistant hooks (optional) for component/token guidance and compliance</t>
        </is>
      </c>
      <c r="D252" s="22" t="n"/>
      <c r="E252" s="22" t="n"/>
      <c r="F252" s="22" t="inlineStr">
        <is>
          <t>Knapsack - Design Systems Engineer</t>
        </is>
      </c>
      <c r="G252" s="22" t="inlineStr">
        <is>
          <t>Knapsack</t>
        </is>
      </c>
      <c r="H252" s="22" t="inlineStr">
        <is>
          <t>Engineer</t>
        </is>
      </c>
      <c r="I252" s="22" t="inlineStr">
        <is>
          <t>4–8</t>
        </is>
      </c>
    </row>
    <row r="253" s="74">
      <c r="A253" s="22" t="inlineStr">
        <is>
          <t>Scaled Rollout and Adoption</t>
        </is>
      </c>
      <c r="B253" s="22" t="inlineStr">
        <is>
          <t>AI Contextual Capabilities – Workflow Integrations</t>
        </is>
      </c>
      <c r="C253" s="22" t="inlineStr">
        <is>
          <t>Add human approval flow for risky actions (generation, large refactors)</t>
        </is>
      </c>
      <c r="D253" s="22" t="n"/>
      <c r="E253" s="22" t="n"/>
      <c r="F253" s="22" t="inlineStr">
        <is>
          <t>Knapsack - Program/Delivery PM</t>
        </is>
      </c>
      <c r="G253" s="22" t="inlineStr">
        <is>
          <t>Knapsack</t>
        </is>
      </c>
      <c r="H253" s="22" t="inlineStr">
        <is>
          <t>Project Manager</t>
        </is>
      </c>
      <c r="I253" s="22" t="inlineStr">
        <is>
          <t>4–8</t>
        </is>
      </c>
    </row>
    <row r="254" s="74">
      <c r="A254" s="22" t="inlineStr">
        <is>
          <t>Scaled Rollout and Adoption</t>
        </is>
      </c>
      <c r="B254" s="22" t="inlineStr">
        <is>
          <t>AI Contextual Capabilities – Workflow Integrations</t>
        </is>
      </c>
      <c r="C254" s="22" t="inlineStr">
        <is>
          <t>Pilot integrations with selected teams and capture feedback</t>
        </is>
      </c>
      <c r="D254" s="22" t="inlineStr">
        <is>
          <t>AI Workflow Integrations MVP</t>
        </is>
      </c>
      <c r="E254" s="22" t="inlineStr">
        <is>
          <t>Initial AI integration points (Figma/docs/IDE as applicable) piloted with teams.</t>
        </is>
      </c>
      <c r="F254" s="22" t="inlineStr">
        <is>
          <t>Knapsack - Program/Delivery PM</t>
        </is>
      </c>
      <c r="G254" s="22" t="inlineStr">
        <is>
          <t>Knapsack</t>
        </is>
      </c>
      <c r="H254" s="22" t="inlineStr">
        <is>
          <t>Project Manager</t>
        </is>
      </c>
      <c r="I254" s="22" t="inlineStr">
        <is>
          <t>4–8</t>
        </is>
      </c>
    </row>
    <row r="255" s="74">
      <c r="A255" s="22" t="inlineStr">
        <is>
          <t>Scaled Rollout and Adoption</t>
        </is>
      </c>
      <c r="B255" s="22" t="inlineStr">
        <is>
          <t>AI Contextual Capabilities – Evaluation Harness + Telemetry</t>
        </is>
      </c>
      <c r="C255" s="22" t="inlineStr">
        <is>
          <t>Define evaluation metrics (accuracy, policy compliance, latency, satisfaction)</t>
        </is>
      </c>
      <c r="D255" s="22" t="n"/>
      <c r="E255" s="22" t="n"/>
      <c r="F255" s="22" t="inlineStr">
        <is>
          <t>Knapsack - Design System / Platform SME</t>
        </is>
      </c>
      <c r="G255" s="22" t="inlineStr">
        <is>
          <t>Knapsack</t>
        </is>
      </c>
      <c r="H255" s="22" t="inlineStr">
        <is>
          <t>SME</t>
        </is>
      </c>
      <c r="I255" s="22" t="inlineStr">
        <is>
          <t>4–6</t>
        </is>
      </c>
    </row>
    <row r="256" s="74">
      <c r="A256" s="22" t="inlineStr">
        <is>
          <t>Scaled Rollout and Adoption</t>
        </is>
      </c>
      <c r="B256" s="22" t="inlineStr">
        <is>
          <t>AI Contextual Capabilities – Evaluation Harness + Telemetry</t>
        </is>
      </c>
      <c r="C256" s="22" t="inlineStr">
        <is>
          <t>Create golden test set (prompts + expected outcomes) based on real workflows</t>
        </is>
      </c>
      <c r="D256" s="22" t="n"/>
      <c r="E256" s="22" t="n"/>
      <c r="F256" s="22" t="inlineStr">
        <is>
          <t>Knapsack - Design System / Platform SME</t>
        </is>
      </c>
      <c r="G256" s="22" t="inlineStr">
        <is>
          <t>Knapsack</t>
        </is>
      </c>
      <c r="H256" s="22" t="inlineStr">
        <is>
          <t>SME</t>
        </is>
      </c>
      <c r="I256" s="22" t="inlineStr">
        <is>
          <t>4–6</t>
        </is>
      </c>
    </row>
    <row r="257" s="74">
      <c r="A257" s="22" t="inlineStr">
        <is>
          <t>Scaled Rollout and Adoption</t>
        </is>
      </c>
      <c r="B257" s="22" t="inlineStr">
        <is>
          <t>AI Contextual Capabilities – Evaluation Harness + Telemetry</t>
        </is>
      </c>
      <c r="C257" s="22" t="inlineStr">
        <is>
          <t>Implement automated evaluation harness and regression checks</t>
        </is>
      </c>
      <c r="D257" s="22" t="n"/>
      <c r="E257" s="22" t="n"/>
      <c r="F257" s="22" t="inlineStr">
        <is>
          <t>Knapsack - Design Systems Engineer</t>
        </is>
      </c>
      <c r="G257" s="22" t="inlineStr">
        <is>
          <t>Knapsack</t>
        </is>
      </c>
      <c r="H257" s="22" t="inlineStr">
        <is>
          <t>Engineer</t>
        </is>
      </c>
      <c r="I257" s="22" t="inlineStr">
        <is>
          <t>4–6</t>
        </is>
      </c>
    </row>
    <row r="258" s="74">
      <c r="A258" s="22" t="inlineStr">
        <is>
          <t>Scaled Rollout and Adoption</t>
        </is>
      </c>
      <c r="B258" s="22" t="inlineStr">
        <is>
          <t>AI Contextual Capabilities – Evaluation Harness + Telemetry</t>
        </is>
      </c>
      <c r="C258" s="22" t="inlineStr">
        <is>
          <t>Instrument telemetry (queries, acceptance, edits, failures, drift incidents)</t>
        </is>
      </c>
      <c r="D258" s="22" t="n"/>
      <c r="E258" s="22" t="n"/>
      <c r="F258" s="22" t="inlineStr">
        <is>
          <t>Knapsack - Design Systems Engineer</t>
        </is>
      </c>
      <c r="G258" s="22" t="inlineStr">
        <is>
          <t>Knapsack</t>
        </is>
      </c>
      <c r="H258" s="22" t="inlineStr">
        <is>
          <t>Engineer</t>
        </is>
      </c>
      <c r="I258" s="22" t="inlineStr">
        <is>
          <t>4–6</t>
        </is>
      </c>
    </row>
    <row r="259" s="74">
      <c r="A259" s="22" t="inlineStr">
        <is>
          <t>Scaled Rollout and Adoption</t>
        </is>
      </c>
      <c r="B259" s="22" t="inlineStr">
        <is>
          <t>AI Contextual Capabilities – Evaluation Harness + Telemetry</t>
        </is>
      </c>
      <c r="C259" s="22" t="inlineStr">
        <is>
          <t>Set up dashboards and feedback triage workflow</t>
        </is>
      </c>
      <c r="D259" s="22" t="n"/>
      <c r="E259" s="22" t="n"/>
      <c r="F259" s="22" t="inlineStr">
        <is>
          <t>Knapsack - Program/Delivery PM</t>
        </is>
      </c>
      <c r="G259" s="22" t="inlineStr">
        <is>
          <t>Knapsack</t>
        </is>
      </c>
      <c r="H259" s="22" t="inlineStr">
        <is>
          <t>Project Manager</t>
        </is>
      </c>
      <c r="I259" s="22" t="inlineStr">
        <is>
          <t>4–6</t>
        </is>
      </c>
    </row>
    <row r="260" s="74">
      <c r="A260" s="22" t="inlineStr">
        <is>
          <t>Scaled Rollout and Adoption</t>
        </is>
      </c>
      <c r="B260" s="22" t="inlineStr">
        <is>
          <t>AI Contextual Capabilities – Evaluation Harness + Telemetry</t>
        </is>
      </c>
      <c r="C260" s="22" t="inlineStr">
        <is>
          <t>Run first eval cycle and iterate prompts/retrieval based on results</t>
        </is>
      </c>
      <c r="D260" s="22" t="inlineStr">
        <is>
          <t>AI Evaluation + Telemetry Dashboard</t>
        </is>
      </c>
      <c r="E260" s="22" t="inlineStr">
        <is>
          <t>Automated eval suite and telemetry dashboards with a triage/iteration workflow.</t>
        </is>
      </c>
      <c r="F260" s="22" t="inlineStr">
        <is>
          <t>Knapsack - Design System / Platform SME</t>
        </is>
      </c>
      <c r="G260" s="22" t="inlineStr">
        <is>
          <t>Knapsack</t>
        </is>
      </c>
      <c r="H260" s="22" t="inlineStr">
        <is>
          <t>SME</t>
        </is>
      </c>
      <c r="I260" s="22" t="inlineStr">
        <is>
          <t>4–6</t>
        </is>
      </c>
    </row>
    <row r="261" s="74">
      <c r="A261" s="22" t="inlineStr">
        <is>
          <t>Optimization and Continued Support</t>
        </is>
      </c>
      <c r="B261" s="22" t="inlineStr">
        <is>
          <t>Continuous Quality &amp; Accessibility Automation</t>
        </is>
      </c>
      <c r="C261" s="22" t="inlineStr">
        <is>
          <t>Maintain and expand a11y and visual regression baselines as components grow</t>
        </is>
      </c>
      <c r="D261" s="22" t="n"/>
      <c r="E261" s="22" t="n"/>
      <c r="F261" s="22" t="inlineStr">
        <is>
          <t>Knapsack - Design Systems Engineer</t>
        </is>
      </c>
      <c r="G261" s="22" t="inlineStr">
        <is>
          <t>Knapsack</t>
        </is>
      </c>
      <c r="H261" s="22" t="inlineStr">
        <is>
          <t>Engineer</t>
        </is>
      </c>
      <c r="I261" s="22" t="inlineStr">
        <is>
          <t>Ongoing</t>
        </is>
      </c>
    </row>
    <row r="262" s="74">
      <c r="A262" s="22" t="inlineStr">
        <is>
          <t>Optimization and Continued Support</t>
        </is>
      </c>
      <c r="B262" s="22" t="inlineStr">
        <is>
          <t>Continuous Quality &amp; Accessibility Automation</t>
        </is>
      </c>
      <c r="C262" s="22" t="inlineStr">
        <is>
          <t>Perform periodic audits (a11y, performance) and track remediation backlog</t>
        </is>
      </c>
      <c r="D262" s="22" t="n"/>
      <c r="E262" s="22" t="n"/>
      <c r="F262" s="22" t="inlineStr">
        <is>
          <t>Knapsack - Design System / Platform SME</t>
        </is>
      </c>
      <c r="G262" s="22" t="inlineStr">
        <is>
          <t>Knapsack</t>
        </is>
      </c>
      <c r="H262" s="22" t="inlineStr">
        <is>
          <t>SME</t>
        </is>
      </c>
      <c r="I262" s="22" t="inlineStr">
        <is>
          <t>Ongoing</t>
        </is>
      </c>
    </row>
    <row r="263" s="74">
      <c r="A263" s="22" t="inlineStr">
        <is>
          <t>Optimization and Continued Support</t>
        </is>
      </c>
      <c r="B263" s="22" t="inlineStr">
        <is>
          <t>Continuous Quality &amp; Accessibility Automation</t>
        </is>
      </c>
      <c r="C263" s="22" t="inlineStr">
        <is>
          <t>Add new quality gates based on incident learnings and drift patterns</t>
        </is>
      </c>
      <c r="D263" s="22" t="n"/>
      <c r="E263" s="22" t="n"/>
      <c r="F263" s="22" t="inlineStr">
        <is>
          <t>Knapsack - Design Systems Engineer</t>
        </is>
      </c>
      <c r="G263" s="22" t="inlineStr">
        <is>
          <t>Knapsack</t>
        </is>
      </c>
      <c r="H263" s="22" t="inlineStr">
        <is>
          <t>Engineer</t>
        </is>
      </c>
      <c r="I263" s="22" t="inlineStr">
        <is>
          <t>Ongoing</t>
        </is>
      </c>
    </row>
    <row r="264" s="74">
      <c r="A264" s="22" t="inlineStr">
        <is>
          <t>Optimization and Continued Support</t>
        </is>
      </c>
      <c r="B264" s="22" t="inlineStr">
        <is>
          <t>Continuous Quality &amp; Accessibility Automation</t>
        </is>
      </c>
      <c r="C264" s="22" t="inlineStr">
        <is>
          <t>Publish quarterly quality report (issues, fixes, risk areas)</t>
        </is>
      </c>
      <c r="D264" s="22" t="n"/>
      <c r="E264" s="22" t="n"/>
      <c r="F264" s="22" t="inlineStr">
        <is>
          <t>Knapsack - Program/Delivery PM</t>
        </is>
      </c>
      <c r="G264" s="22" t="inlineStr">
        <is>
          <t>Knapsack</t>
        </is>
      </c>
      <c r="H264" s="22" t="inlineStr">
        <is>
          <t>Project Manager</t>
        </is>
      </c>
      <c r="I264" s="22" t="inlineStr">
        <is>
          <t>Ongoing</t>
        </is>
      </c>
    </row>
    <row r="265" s="74">
      <c r="A265" s="22" t="inlineStr">
        <is>
          <t>Optimization and Continued Support</t>
        </is>
      </c>
      <c r="B265" s="22" t="inlineStr">
        <is>
          <t>Continuous Quality &amp; Accessibility Automation</t>
        </is>
      </c>
      <c r="C265" s="22" t="inlineStr">
        <is>
          <t>Refine QA playbooks and contributor checklists</t>
        </is>
      </c>
      <c r="D265" s="22" t="inlineStr">
        <is>
          <t>Quarterly Quality + A11y Report</t>
        </is>
      </c>
      <c r="E265" s="22" t="inlineStr">
        <is>
          <t>Ongoing quality automation upkeep with periodic reporting and remediation tracking.</t>
        </is>
      </c>
      <c r="F265" s="22" t="inlineStr">
        <is>
          <t>Knapsack - Design System / Platform SME</t>
        </is>
      </c>
      <c r="G265" s="22" t="inlineStr">
        <is>
          <t>Knapsack</t>
        </is>
      </c>
      <c r="H265" s="22" t="inlineStr">
        <is>
          <t>SME</t>
        </is>
      </c>
      <c r="I265" s="22" t="inlineStr">
        <is>
          <t>Ongoing</t>
        </is>
      </c>
    </row>
    <row r="266" s="74">
      <c r="A266" s="22" t="inlineStr">
        <is>
          <t>Optimization and Continued Support</t>
        </is>
      </c>
      <c r="B266" s="22" t="inlineStr">
        <is>
          <t>Release Cadence, Deprecations &amp; Migrations</t>
        </is>
      </c>
      <c r="C266" s="22" t="inlineStr">
        <is>
          <t>Run regular release cadence (monthly/quarterly) with changelog automation</t>
        </is>
      </c>
      <c r="D266" s="22" t="n"/>
      <c r="E266" s="22" t="n"/>
      <c r="F266" s="22" t="inlineStr">
        <is>
          <t>Knapsack - Design Systems Engineer</t>
        </is>
      </c>
      <c r="G266" s="22" t="inlineStr">
        <is>
          <t>Knapsack</t>
        </is>
      </c>
      <c r="H266" s="22" t="inlineStr">
        <is>
          <t>Engineer</t>
        </is>
      </c>
      <c r="I266" s="22" t="inlineStr">
        <is>
          <t>Ongoing</t>
        </is>
      </c>
    </row>
    <row r="267" s="74">
      <c r="A267" s="22" t="inlineStr">
        <is>
          <t>Optimization and Continued Support</t>
        </is>
      </c>
      <c r="B267" s="22" t="inlineStr">
        <is>
          <t>Release Cadence, Deprecations &amp; Migrations</t>
        </is>
      </c>
      <c r="C267" s="22" t="inlineStr">
        <is>
          <t>Execute deprecations per policy and maintain migration guides</t>
        </is>
      </c>
      <c r="D267" s="22" t="n"/>
      <c r="E267" s="22" t="n"/>
      <c r="F267" s="22" t="inlineStr">
        <is>
          <t>Knapsack - Design System / Platform SME</t>
        </is>
      </c>
      <c r="G267" s="22" t="inlineStr">
        <is>
          <t>Knapsack</t>
        </is>
      </c>
      <c r="H267" s="22" t="inlineStr">
        <is>
          <t>SME</t>
        </is>
      </c>
      <c r="I267" s="22" t="inlineStr">
        <is>
          <t>Ongoing</t>
        </is>
      </c>
    </row>
    <row r="268" s="74">
      <c r="A268" s="22" t="inlineStr">
        <is>
          <t>Optimization and Continued Support</t>
        </is>
      </c>
      <c r="B268" s="22" t="inlineStr">
        <is>
          <t>Release Cadence, Deprecations &amp; Migrations</t>
        </is>
      </c>
      <c r="C268" s="22" t="inlineStr">
        <is>
          <t>Support teams through upgrades (office hours, PR assistance, issue triage)</t>
        </is>
      </c>
      <c r="D268" s="22" t="n"/>
      <c r="E268" s="22" t="n"/>
      <c r="F268" s="22" t="inlineStr">
        <is>
          <t>Knapsack - Program/Delivery PM</t>
        </is>
      </c>
      <c r="G268" s="22" t="inlineStr">
        <is>
          <t>Knapsack</t>
        </is>
      </c>
      <c r="H268" s="22" t="inlineStr">
        <is>
          <t>Project Manager</t>
        </is>
      </c>
      <c r="I268" s="22" t="inlineStr">
        <is>
          <t>Ongoing</t>
        </is>
      </c>
    </row>
    <row r="269" s="74">
      <c r="A269" s="22" t="inlineStr">
        <is>
          <t>Optimization and Continued Support</t>
        </is>
      </c>
      <c r="B269" s="22" t="inlineStr">
        <is>
          <t>Release Cadence, Deprecations &amp; Migrations</t>
        </is>
      </c>
      <c r="C269" s="22" t="inlineStr">
        <is>
          <t>Monitor compatibility and fix regressions quickly</t>
        </is>
      </c>
      <c r="D269" s="22" t="n"/>
      <c r="E269" s="22" t="n"/>
      <c r="F269" s="22" t="inlineStr">
        <is>
          <t>Knapsack - Design Systems Engineer</t>
        </is>
      </c>
      <c r="G269" s="22" t="inlineStr">
        <is>
          <t>Knapsack</t>
        </is>
      </c>
      <c r="H269" s="22" t="inlineStr">
        <is>
          <t>Engineer</t>
        </is>
      </c>
      <c r="I269" s="22" t="inlineStr">
        <is>
          <t>Ongoing</t>
        </is>
      </c>
    </row>
    <row r="270" s="74">
      <c r="A270" s="22" t="inlineStr">
        <is>
          <t>Optimization and Continued Support</t>
        </is>
      </c>
      <c r="B270" s="22" t="inlineStr">
        <is>
          <t>Release Cadence, Deprecations &amp; Migrations</t>
        </is>
      </c>
      <c r="C270" s="22" t="inlineStr">
        <is>
          <t>Publish release communications and adoption notes</t>
        </is>
      </c>
      <c r="D270" s="22" t="inlineStr">
        <is>
          <t>Release Cadence + Migration Program</t>
        </is>
      </c>
      <c r="E270" s="22" t="inlineStr">
        <is>
          <t>Defined cadence with deprecation/migration support and consistent release communications.</t>
        </is>
      </c>
      <c r="F270" s="22" t="inlineStr">
        <is>
          <t>Knapsack - Program/Delivery PM</t>
        </is>
      </c>
      <c r="G270" s="22" t="inlineStr">
        <is>
          <t>Knapsack</t>
        </is>
      </c>
      <c r="H270" s="22" t="inlineStr">
        <is>
          <t>Project Manager</t>
        </is>
      </c>
      <c r="I270" s="22" t="inlineStr">
        <is>
          <t>Ongoing</t>
        </is>
      </c>
    </row>
    <row r="271" s="74">
      <c r="A271" s="22" t="inlineStr">
        <is>
          <t>Optimization and Continued Support</t>
        </is>
      </c>
      <c r="B271" s="22" t="inlineStr">
        <is>
          <t>Adoption Analytics &amp; Reporting (Design↔Code)</t>
        </is>
      </c>
      <c r="C271" s="22" t="inlineStr">
        <is>
          <t>Instrument usage analytics (package installs, component usage, token usage) where possible</t>
        </is>
      </c>
      <c r="D271" s="22" t="n"/>
      <c r="E271" s="22" t="n"/>
      <c r="F271" s="22" t="inlineStr">
        <is>
          <t>Knapsack - Design Systems Engineer</t>
        </is>
      </c>
      <c r="G271" s="22" t="inlineStr">
        <is>
          <t>Knapsack</t>
        </is>
      </c>
      <c r="H271" s="22" t="inlineStr">
        <is>
          <t>Engineer</t>
        </is>
      </c>
      <c r="I271" s="22" t="inlineStr">
        <is>
          <t>Ongoing</t>
        </is>
      </c>
    </row>
    <row r="272" s="74">
      <c r="A272" s="22" t="inlineStr">
        <is>
          <t>Optimization and Continued Support</t>
        </is>
      </c>
      <c r="B272" s="22" t="inlineStr">
        <is>
          <t>Adoption Analytics &amp; Reporting (Design↔Code)</t>
        </is>
      </c>
      <c r="C272" s="22" t="inlineStr">
        <is>
          <t>Define adoption KPIs and reporting views per persona (design, eng, leadership)</t>
        </is>
      </c>
      <c r="D272" s="22" t="n"/>
      <c r="E272" s="22" t="n"/>
      <c r="F272" s="22" t="inlineStr">
        <is>
          <t>Knapsack - Design System / Platform SME</t>
        </is>
      </c>
      <c r="G272" s="22" t="inlineStr">
        <is>
          <t>Knapsack</t>
        </is>
      </c>
      <c r="H272" s="22" t="inlineStr">
        <is>
          <t>SME</t>
        </is>
      </c>
      <c r="I272" s="22" t="inlineStr">
        <is>
          <t>Ongoing</t>
        </is>
      </c>
    </row>
    <row r="273" s="74">
      <c r="A273" s="22" t="inlineStr">
        <is>
          <t>Optimization and Continued Support</t>
        </is>
      </c>
      <c r="B273" s="22" t="inlineStr">
        <is>
          <t>Adoption Analytics &amp; Reporting (Design↔Code)</t>
        </is>
      </c>
      <c r="C273" s="22" t="inlineStr">
        <is>
          <t>Publish monthly adoption report and insights (hotspots, gaps, drift)</t>
        </is>
      </c>
      <c r="D273" s="22" t="n"/>
      <c r="E273" s="22" t="n"/>
      <c r="F273" s="22" t="inlineStr">
        <is>
          <t>Knapsack - Program/Delivery PM</t>
        </is>
      </c>
      <c r="G273" s="22" t="inlineStr">
        <is>
          <t>Knapsack</t>
        </is>
      </c>
      <c r="H273" s="22" t="inlineStr">
        <is>
          <t>Project Manager</t>
        </is>
      </c>
      <c r="I273" s="22" t="inlineStr">
        <is>
          <t>Ongoing</t>
        </is>
      </c>
    </row>
    <row r="274" s="74">
      <c r="A274" s="22" t="inlineStr">
        <is>
          <t>Optimization and Continued Support</t>
        </is>
      </c>
      <c r="B274" s="22" t="inlineStr">
        <is>
          <t>Adoption Analytics &amp; Reporting (Design↔Code)</t>
        </is>
      </c>
      <c r="C274" s="22" t="inlineStr">
        <is>
          <t>Maintain backlog of adoption friction and prioritize fixes</t>
        </is>
      </c>
      <c r="D274" s="22" t="inlineStr">
        <is>
          <t>Adoption Analytics Dashboard + Monthly Report</t>
        </is>
      </c>
      <c r="E274" s="22" t="inlineStr">
        <is>
          <t>Ongoing analytics and reporting across design↔code adoption and system health.</t>
        </is>
      </c>
      <c r="F274" s="22" t="inlineStr">
        <is>
          <t>Knapsack - Program/Delivery PM</t>
        </is>
      </c>
      <c r="G274" s="22" t="inlineStr">
        <is>
          <t>Knapsack</t>
        </is>
      </c>
      <c r="H274" s="22" t="inlineStr">
        <is>
          <t>Project Manager</t>
        </is>
      </c>
      <c r="I274" s="22" t="inlineStr">
        <is>
          <t>Ongoing</t>
        </is>
      </c>
    </row>
    <row r="275" s="74">
      <c r="A275" s="22" t="inlineStr">
        <is>
          <t>Optimization and Continued Support</t>
        </is>
      </c>
      <c r="B275" s="22" t="inlineStr">
        <is>
          <t>AI Contextual Capabilities – Guardrails, Governance &amp; Iteration</t>
        </is>
      </c>
      <c r="C275" s="22" t="inlineStr">
        <is>
          <t>Implement/maintain guardrails (allowed actions, policy filters, safe defaults)</t>
        </is>
      </c>
      <c r="D275" s="22" t="n"/>
      <c r="E275" s="22" t="n"/>
      <c r="F275" s="22" t="inlineStr">
        <is>
          <t>Knapsack - Design Systems Engineer</t>
        </is>
      </c>
      <c r="G275" s="22" t="inlineStr">
        <is>
          <t>Knapsack</t>
        </is>
      </c>
      <c r="H275" s="22" t="inlineStr">
        <is>
          <t>Engineer</t>
        </is>
      </c>
      <c r="I275" s="22" t="inlineStr">
        <is>
          <t>Ongoing</t>
        </is>
      </c>
    </row>
    <row r="276" s="74">
      <c r="A276" s="22" t="inlineStr">
        <is>
          <t>Optimization and Continued Support</t>
        </is>
      </c>
      <c r="B276" s="22" t="inlineStr">
        <is>
          <t>AI Contextual Capabilities – Guardrails, Governance &amp; Iteration</t>
        </is>
      </c>
      <c r="C276" s="22" t="inlineStr">
        <is>
          <t>Define AI governance board/cadence (changes, incident response, approvals)</t>
        </is>
      </c>
      <c r="D276" s="22" t="n"/>
      <c r="E276" s="22" t="n"/>
      <c r="F276" s="22" t="inlineStr">
        <is>
          <t>Knapsack - Program/Delivery PM</t>
        </is>
      </c>
      <c r="G276" s="22" t="inlineStr">
        <is>
          <t>Knapsack</t>
        </is>
      </c>
      <c r="H276" s="22" t="inlineStr">
        <is>
          <t>Project Manager</t>
        </is>
      </c>
      <c r="I276" s="22" t="inlineStr">
        <is>
          <t>Ongoing</t>
        </is>
      </c>
    </row>
    <row r="277" s="74">
      <c r="A277" s="22" t="inlineStr">
        <is>
          <t>Optimization and Continued Support</t>
        </is>
      </c>
      <c r="B277" s="22" t="inlineStr">
        <is>
          <t>AI Contextual Capabilities – Guardrails, Governance &amp; Iteration</t>
        </is>
      </c>
      <c r="C277" s="22" t="inlineStr">
        <is>
          <t>Run regular eval + telemetry reviews and prioritize improvements</t>
        </is>
      </c>
      <c r="D277" s="22" t="n"/>
      <c r="E277" s="22" t="n"/>
      <c r="F277" s="22" t="inlineStr">
        <is>
          <t>Knapsack - Design System / Platform SME</t>
        </is>
      </c>
      <c r="G277" s="22" t="inlineStr">
        <is>
          <t>Knapsack</t>
        </is>
      </c>
      <c r="H277" s="22" t="inlineStr">
        <is>
          <t>SME</t>
        </is>
      </c>
      <c r="I277" s="22" t="inlineStr">
        <is>
          <t>Ongoing</t>
        </is>
      </c>
    </row>
    <row r="278" s="74">
      <c r="A278" s="22" t="inlineStr">
        <is>
          <t>Optimization and Continued Support</t>
        </is>
      </c>
      <c r="B278" s="22" t="inlineStr">
        <is>
          <t>AI Contextual Capabilities – Guardrails, Governance &amp; Iteration</t>
        </is>
      </c>
      <c r="C278" s="22" t="inlineStr">
        <is>
          <t>Improve retrieval quality (metadata, freshness, coverage) and reduce hallucinations</t>
        </is>
      </c>
      <c r="D278" s="22" t="n"/>
      <c r="E278" s="22" t="n"/>
      <c r="F278" s="22" t="inlineStr">
        <is>
          <t>Knapsack - Design Systems Engineer</t>
        </is>
      </c>
      <c r="G278" s="22" t="inlineStr">
        <is>
          <t>Knapsack</t>
        </is>
      </c>
      <c r="H278" s="22" t="inlineStr">
        <is>
          <t>Engineer</t>
        </is>
      </c>
      <c r="I278" s="22" t="inlineStr">
        <is>
          <t>Ongoing</t>
        </is>
      </c>
    </row>
    <row r="279" s="74">
      <c r="A279" s="22" t="inlineStr">
        <is>
          <t>Optimization and Continued Support</t>
        </is>
      </c>
      <c r="B279" s="22" t="inlineStr">
        <is>
          <t>AI Contextual Capabilities – Guardrails, Governance &amp; Iteration</t>
        </is>
      </c>
      <c r="C279" s="22" t="inlineStr">
        <is>
          <t>Document AI change log and communicate capability updates</t>
        </is>
      </c>
      <c r="D279" s="22" t="n"/>
      <c r="E279" s="22" t="n"/>
      <c r="F279" s="22" t="inlineStr">
        <is>
          <t>Knapsack - Program/Delivery PM</t>
        </is>
      </c>
      <c r="G279" s="22" t="inlineStr">
        <is>
          <t>Knapsack</t>
        </is>
      </c>
      <c r="H279" s="22" t="inlineStr">
        <is>
          <t>Project Manager</t>
        </is>
      </c>
      <c r="I279" s="22" t="inlineStr">
        <is>
          <t>Ongoing</t>
        </is>
      </c>
    </row>
    <row r="280" s="74">
      <c r="A280" s="22" t="inlineStr">
        <is>
          <t>Optimization and Continued Support</t>
        </is>
      </c>
      <c r="B280" s="22" t="inlineStr">
        <is>
          <t>AI Contextual Capabilities – Guardrails, Governance &amp; Iteration</t>
        </is>
      </c>
      <c r="C280" s="22" t="inlineStr">
        <is>
          <t>Conduct periodic privacy/security review for AI integrations and data handling</t>
        </is>
      </c>
      <c r="D280" s="22" t="inlineStr">
        <is>
          <t>AI Governance + Guardrails Program</t>
        </is>
      </c>
      <c r="E280" s="22" t="inlineStr">
        <is>
          <t>Ongoing guardrails, governance cadence, eval/telemetry reviews, and privacy/security checks.</t>
        </is>
      </c>
      <c r="F280" s="22" t="inlineStr">
        <is>
          <t>Knapsack - Design System / Platform SME</t>
        </is>
      </c>
      <c r="G280" s="22" t="inlineStr">
        <is>
          <t>Knapsack</t>
        </is>
      </c>
      <c r="H280" s="22" t="inlineStr">
        <is>
          <t>SME</t>
        </is>
      </c>
      <c r="I280" s="22" t="inlineStr">
        <is>
          <t>Ongoing</t>
        </is>
      </c>
    </row>
    <row r="281" s="74">
      <c r="A281" s="22" t="inlineStr">
        <is>
          <t>Optimization and Continued Support</t>
        </is>
      </c>
      <c r="B281" s="22" t="inlineStr">
        <is>
          <t>AI Contextual Capabilities – Feedback Loop + Knowledge Refresh</t>
        </is>
      </c>
      <c r="C281" s="22" t="inlineStr">
        <is>
          <t>Triage user feedback and tag gaps (missing docs, components, patterns)</t>
        </is>
      </c>
      <c r="D281" s="22" t="n"/>
      <c r="E281" s="22" t="n"/>
      <c r="F281" s="22" t="inlineStr">
        <is>
          <t>Knapsack - Design System / Platform SME</t>
        </is>
      </c>
      <c r="G281" s="22" t="inlineStr">
        <is>
          <t>Knapsack</t>
        </is>
      </c>
      <c r="H281" s="22" t="inlineStr">
        <is>
          <t>SME</t>
        </is>
      </c>
      <c r="I281" s="22" t="inlineStr">
        <is>
          <t>Ongoing</t>
        </is>
      </c>
    </row>
    <row r="282" s="74">
      <c r="A282" s="22" t="inlineStr">
        <is>
          <t>Optimization and Continued Support</t>
        </is>
      </c>
      <c r="B282" s="22" t="inlineStr">
        <is>
          <t>AI Contextual Capabilities – Feedback Loop + Knowledge Refresh</t>
        </is>
      </c>
      <c r="C282" s="22" t="inlineStr">
        <is>
          <t>Refresh knowledge base and prompts when system changes (tokens/components/releases)</t>
        </is>
      </c>
      <c r="D282" s="22" t="n"/>
      <c r="E282" s="22" t="n"/>
      <c r="F282" s="22" t="inlineStr">
        <is>
          <t>Knapsack - Design Systems Engineer</t>
        </is>
      </c>
      <c r="G282" s="22" t="inlineStr">
        <is>
          <t>Knapsack</t>
        </is>
      </c>
      <c r="H282" s="22" t="inlineStr">
        <is>
          <t>Engineer</t>
        </is>
      </c>
      <c r="I282" s="22" t="inlineStr">
        <is>
          <t>Ongoing</t>
        </is>
      </c>
    </row>
    <row r="283" s="74">
      <c r="A283" s="22" t="inlineStr">
        <is>
          <t>Optimization and Continued Support</t>
        </is>
      </c>
      <c r="B283" s="22" t="inlineStr">
        <is>
          <t>AI Contextual Capabilities – Feedback Loop + Knowledge Refresh</t>
        </is>
      </c>
      <c r="C283" s="22" t="inlineStr">
        <is>
          <t>Measure impact of improvements (acceptance rate, reduced support tickets)</t>
        </is>
      </c>
      <c r="D283" s="22" t="n"/>
      <c r="E283" s="22" t="n"/>
      <c r="F283" s="22" t="inlineStr">
        <is>
          <t>Knapsack - Design System / Platform SME</t>
        </is>
      </c>
      <c r="G283" s="22" t="inlineStr">
        <is>
          <t>Knapsack</t>
        </is>
      </c>
      <c r="H283" s="22" t="inlineStr">
        <is>
          <t>SME</t>
        </is>
      </c>
      <c r="I283" s="22" t="inlineStr">
        <is>
          <t>Ongoing</t>
        </is>
      </c>
    </row>
    <row r="284" s="74">
      <c r="A284" s="22" t="inlineStr">
        <is>
          <t>Optimization and Continued Support</t>
        </is>
      </c>
      <c r="B284" s="22" t="inlineStr">
        <is>
          <t>AI Contextual Capabilities – Feedback Loop + Knowledge Refresh</t>
        </is>
      </c>
      <c r="C284" s="22" t="inlineStr">
        <is>
          <t>Publish quarterly AI capability maturity update</t>
        </is>
      </c>
      <c r="D284" s="22" t="inlineStr">
        <is>
          <t>Quarterly AI Context Refresh + Impact Report</t>
        </is>
      </c>
      <c r="E284" s="22" t="inlineStr">
        <is>
          <t>Feedback-driven updates to knowledge/prompting with measured impact reporting.</t>
        </is>
      </c>
      <c r="F284" s="22" t="inlineStr">
        <is>
          <t>Knapsack - Program/Delivery PM</t>
        </is>
      </c>
      <c r="G284" s="22" t="inlineStr">
        <is>
          <t>Knapsack</t>
        </is>
      </c>
      <c r="H284" s="22" t="inlineStr">
        <is>
          <t>Project Manager</t>
        </is>
      </c>
      <c r="I284" s="22" t="inlineStr">
        <is>
          <t>Ongoing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980"/>
  <sheetViews>
    <sheetView workbookViewId="0">
      <selection activeCell="A1" sqref="A1"/>
    </sheetView>
  </sheetViews>
  <sheetFormatPr baseColWidth="8" defaultColWidth="14.43" defaultRowHeight="15" customHeight="1"/>
  <cols>
    <col width="34.86" customWidth="1" style="74" min="1" max="1"/>
    <col width="26.29" customWidth="1" style="74" min="2" max="2"/>
    <col width="80" customWidth="1" style="74" min="3" max="3"/>
    <col width="19.57" customWidth="1" style="74" min="4" max="4"/>
    <col width="8.710000000000001" customWidth="1" style="74" min="5" max="26"/>
  </cols>
  <sheetData>
    <row r="1" hidden="1" ht="15.75" customHeight="1" s="74">
      <c r="B1" s="23" t="n"/>
      <c r="C1" s="24" t="n"/>
      <c r="D1" s="25" t="n"/>
    </row>
    <row r="2" hidden="1" ht="15.75" customHeight="1" s="74">
      <c r="B2" s="23" t="n"/>
      <c r="C2" s="24" t="n"/>
      <c r="D2" s="25" t="n"/>
    </row>
    <row r="3" hidden="1" ht="15.75" customHeight="1" s="74">
      <c r="A3" s="26" t="inlineStr">
        <is>
          <t>Rollup</t>
        </is>
      </c>
      <c r="B3" s="26" t="inlineStr">
        <is>
          <t>Item</t>
        </is>
      </c>
      <c r="C3" s="27" t="inlineStr">
        <is>
          <t>Milestone Deliverables</t>
        </is>
      </c>
      <c r="D3" s="28" t="inlineStr">
        <is>
          <t>Total Cost</t>
        </is>
      </c>
    </row>
    <row r="4" hidden="1" ht="15.75" customHeight="1" s="74">
      <c r="A4" s="56" t="inlineStr">
        <is>
          <t>Role</t>
        </is>
      </c>
      <c r="B4" s="37" t="inlineStr">
        <is>
          <t>Adobe</t>
        </is>
      </c>
      <c r="C4" s="41">
        <f>IFERROR(__xludf.DUMMYFUNCTION("TEXTJOIN("", "", TRUE, UNIQUE(FILTER('Milestone Plan'!D:D, 'Milestone Plan'!G:G=""Adobe"")))"),"Governance Toolkit + Monthly Summary Reports, Change Management Dashboard, Stakeholder Map, Communication Strategy Draft, Scaled Rollout and Adoption, Internal Communication Plan, Branding Package, Pilot Feedback Summary, Sentiment Dashboard, Persona-Base"&amp;"d Training Modules (UX, Eng, Partner), Unified Enablement Curriculum, Advanced Enablement Program, Awareness Campaign, Success Story Series, Partner Contribution Leaderboard, Recognition Plan, Internal Announcement, Go-Live FAQ, Support Channels, Lessons "&amp;"Learned Summary, KPI Report, Optimization Backlog, Knowledge Transfer Documentation, Ownership Matrix, Future Roadmap, Adoption Dashboards, Sentiment Trend Reports, Internal Case Study + Success Metrics")</f>
        <v/>
      </c>
      <c r="D4" s="42">
        <f>SUMIFS('Milestone Plan'!$R$2:$R$500, 'Milestone Plan'!$G$2:$G$500, "Adobe")</f>
        <v/>
      </c>
    </row>
    <row r="5" hidden="1" ht="15.75" customHeight="1" s="74">
      <c r="A5" s="56" t="inlineStr">
        <is>
          <t>Role</t>
        </is>
      </c>
      <c r="B5" s="51" t="inlineStr">
        <is>
          <t>Forward Deployed Engineer</t>
        </is>
      </c>
      <c r="C5"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5" s="42">
        <f>SUMIF('Milestone Plan'!F:F, "Senior Solutions Engineer", 'Milestone Plan'!R:R) </f>
        <v/>
      </c>
    </row>
    <row r="6" hidden="1" ht="15.75" customHeight="1" s="74">
      <c r="A6" s="56" t="inlineStr">
        <is>
          <t>Role</t>
        </is>
      </c>
      <c r="B6" s="37" t="inlineStr">
        <is>
          <t>Subject Matter Experts</t>
        </is>
      </c>
      <c r="C6" s="41">
        <f>IFERROR(__xludf.DUMMYFUNCTION("TEXTJOIN("", "", TRUE, FILTER('Milestone Plan'!D:D, 'Milestone Plan'!F:F=""Subject Matter Expert""))
"),"Architecture Validation Log, DevOps Readiness, SSO Integration Checklist")</f>
        <v/>
      </c>
      <c r="D6" s="42">
        <f>SUMIF('Milestone Plan'!H:H, "Subject Matter Expert", 'Milestone Plan'!R:R)</f>
        <v/>
      </c>
    </row>
    <row r="7" hidden="1" ht="15.75" customHeight="1" s="74">
      <c r="A7" s="56" t="inlineStr">
        <is>
          <t>Role</t>
        </is>
      </c>
      <c r="B7" s="37" t="inlineStr">
        <is>
          <t>CX Partner - Change Management SME</t>
        </is>
      </c>
      <c r="C7" s="35">
        <f>IFERROR(__xludf.DUMMYFUNCTION("TEXTJOIN("", "", TRUE, FILTER('Milestone Plan'!D:D, 'Milestone Plan'!F:F=""CX Partner - Change Management SME"", 'Milestone Plan'!G:G&lt;&gt;""Adobe""))"),"Change Impact Log, Stakeholder Action Plan, Quarterly Business Review Deck")</f>
        <v/>
      </c>
      <c r="D7" s="47">
        <f>#REF!*300</f>
        <v/>
      </c>
    </row>
    <row r="8" hidden="1" ht="15.75" customHeight="1" s="74">
      <c r="A8" s="56" t="inlineStr">
        <is>
          <t>One Time Implementation Fee</t>
        </is>
      </c>
      <c r="B8" s="37" t="n"/>
      <c r="C8" s="52" t="n"/>
      <c r="D8" s="47" t="n">
        <v>58380</v>
      </c>
    </row>
    <row r="9" hidden="1" ht="15.75" customHeight="1" s="74">
      <c r="A9" s="56" t="inlineStr">
        <is>
          <t>Annual Licensing Fee</t>
        </is>
      </c>
      <c r="B9" s="37" t="n"/>
      <c r="C9" s="41" t="n"/>
      <c r="D9" s="42" t="n">
        <v>250000</v>
      </c>
    </row>
    <row r="10" hidden="1" ht="15.75" customHeight="1" s="74">
      <c r="A10" s="56" t="n"/>
      <c r="B10" s="37" t="inlineStr">
        <is>
          <t xml:space="preserve">Non-Subscription Price </t>
        </is>
      </c>
      <c r="C10" s="41" t="n"/>
      <c r="D10" s="42">
        <f>sum(CX_Coaching[Total Cost])</f>
        <v/>
      </c>
    </row>
    <row r="11" hidden="1" ht="15.75" customHeight="1" s="74">
      <c r="B11" s="13" t="n"/>
      <c r="C11" s="24" t="n"/>
      <c r="D11" s="25" t="n"/>
    </row>
    <row r="12" hidden="1" ht="15.75" customHeight="1" s="74">
      <c r="B12" s="23" t="n"/>
      <c r="C12" s="24" t="n"/>
      <c r="D12" s="25" t="n"/>
    </row>
    <row r="13" hidden="1" ht="15.75" customHeight="1" s="74">
      <c r="A13" s="26" t="inlineStr">
        <is>
          <t>Rollup</t>
        </is>
      </c>
      <c r="B13" s="26" t="inlineStr">
        <is>
          <t>Item</t>
        </is>
      </c>
      <c r="C13" s="27" t="inlineStr">
        <is>
          <t>Count of Milestone Deliverables</t>
        </is>
      </c>
      <c r="D13" s="28" t="inlineStr">
        <is>
          <t>Total Cost</t>
        </is>
      </c>
    </row>
    <row r="14" hidden="1" ht="15.75" customHeight="1" s="74">
      <c r="A14" s="56" t="inlineStr">
        <is>
          <t>Role</t>
        </is>
      </c>
      <c r="B14" s="37" t="inlineStr">
        <is>
          <t>Adobe</t>
        </is>
      </c>
      <c r="C14" s="41">
        <f>IFERROR(__xludf.DUMMYFUNCTION("TEXTJOIN("", "", TRUE, FILTER('Milestone Plan'!D:D, 'Milestone Plan'!F:F=""Project Manager""))"),"Governance Toolkit + Monthly Summary Reports, Project Governance Tracker, Phase 1 Exit Report, Technical Readiness Checklist, Internal Announcement, Go-Live FAQ, Support Channels, Lessons Learned Summary, KPI Report, Optimization Backlog")</f>
        <v/>
      </c>
      <c r="D14" s="42">
        <f>SUMIFS('Milestone Plan'!$R$2:$R$500, 'Milestone Plan'!$G$2:$G$500, "Adobe")</f>
        <v/>
      </c>
    </row>
    <row r="15" hidden="1" ht="15.75" customHeight="1" s="74">
      <c r="A15" s="56" t="inlineStr">
        <is>
          <t>Role</t>
        </is>
      </c>
      <c r="B15" s="51" t="inlineStr">
        <is>
          <t>Forward Deployed Engineer</t>
        </is>
      </c>
      <c r="C15"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15" s="42">
        <f>SUMIF('Milestone Plan'!F:F, "Senior Solutions Engineer", 'Milestone Plan'!R:R) </f>
        <v/>
      </c>
    </row>
    <row r="16" hidden="1" ht="15.75" customHeight="1" s="74">
      <c r="A16" s="56" t="inlineStr">
        <is>
          <t>Role</t>
        </is>
      </c>
      <c r="B16" s="37" t="inlineStr">
        <is>
          <t>Subject Matter Experts</t>
        </is>
      </c>
      <c r="C16" s="41">
        <f>IFERROR(__xludf.DUMMYFUNCTION("TEXTJOIN("", "", TRUE, FILTER('Milestone Plan'!D:D, 'Milestone Plan'!F:F=""Subject Matter Expert""))
"),"Architecture Validation Log, DevOps Readiness, SSO Integration Checklist")</f>
        <v/>
      </c>
      <c r="D16" s="42">
        <f>SUMIF('Milestone Plan'!H:H, "Subject Matter Expert", 'Milestone Plan'!R:R)</f>
        <v/>
      </c>
    </row>
    <row r="17" hidden="1" ht="15.75" customHeight="1" s="74">
      <c r="A17" s="56" t="inlineStr">
        <is>
          <t>One Time Implementation Fee</t>
        </is>
      </c>
      <c r="B17" s="37" t="n"/>
      <c r="C17" s="52" t="n"/>
      <c r="D17" s="47" t="n">
        <v>58380</v>
      </c>
    </row>
    <row r="18" hidden="1" ht="15.75" customHeight="1" s="74">
      <c r="A18" s="56" t="inlineStr">
        <is>
          <t>Annual Licensing Fee</t>
        </is>
      </c>
      <c r="B18" s="37" t="n"/>
      <c r="C18" s="41" t="n"/>
      <c r="D18" s="42" t="n">
        <v>250000</v>
      </c>
    </row>
    <row r="19" hidden="1" ht="15.75" customHeight="1" s="74">
      <c r="A19" s="56" t="n"/>
      <c r="B19" s="37" t="inlineStr">
        <is>
          <t xml:space="preserve">Non-Subscription Price </t>
        </is>
      </c>
      <c r="C19" s="41" t="n"/>
      <c r="D19" s="42">
        <f>sum(FDE_Only[Total Cost])</f>
        <v/>
      </c>
    </row>
    <row r="20" hidden="1" ht="15.75" customHeight="1" s="74">
      <c r="B20" s="13" t="n"/>
      <c r="C20" s="24" t="n"/>
      <c r="D20" s="25" t="n"/>
    </row>
    <row r="21" ht="15.75" customHeight="1" s="74">
      <c r="B21" s="23" t="n"/>
      <c r="C21" s="24" t="n"/>
      <c r="D21" s="25" t="n"/>
    </row>
    <row r="22" ht="15.75" customHeight="1" s="74">
      <c r="A22" s="26" t="inlineStr">
        <is>
          <t>Rollup</t>
        </is>
      </c>
      <c r="B22" s="26" t="inlineStr">
        <is>
          <t>Item</t>
        </is>
      </c>
      <c r="C22" s="27" t="inlineStr">
        <is>
          <t>Count of Milestone Deliverables</t>
        </is>
      </c>
      <c r="D22" s="28" t="inlineStr">
        <is>
          <t>Total Cost</t>
        </is>
      </c>
    </row>
    <row r="23" ht="15.75" customHeight="1" s="74">
      <c r="A23" s="56" t="inlineStr">
        <is>
          <t>Role</t>
        </is>
      </c>
      <c r="B23" s="43" t="inlineStr">
        <is>
          <t>Project Manager</t>
        </is>
      </c>
      <c r="C23" s="41">
        <f>IFERROR(__xludf.DUMMYFUNCTION("TEXTJOIN("", "", TRUE, FILTER('Milestone Plan'!D:D, 'Milestone Plan'!F:F=""Project Manager""))"),"Governance Toolkit + Monthly Summary Reports, Project Governance Tracker, Phase 1 Exit Report, Technical Readiness Checklist, Internal Announcement, Go-Live FAQ, Support Channels, Lessons Learned Summary, KPI Report, Optimization Backlog")</f>
        <v/>
      </c>
      <c r="D23" s="47" t="n">
        <v>18720</v>
      </c>
    </row>
    <row r="24" ht="15.75" customHeight="1" s="74">
      <c r="A24" s="56" t="inlineStr">
        <is>
          <t>Role</t>
        </is>
      </c>
      <c r="B24" s="43" t="inlineStr">
        <is>
          <t>Forward Deployed Engineer</t>
        </is>
      </c>
      <c r="C24"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24" s="47" t="n">
        <v>220220</v>
      </c>
    </row>
    <row r="25" ht="15.75" customHeight="1" s="74">
      <c r="A25" s="56" t="inlineStr">
        <is>
          <t>Role</t>
        </is>
      </c>
      <c r="B25" s="37" t="inlineStr">
        <is>
          <t>CX Partner - Change Management SME</t>
        </is>
      </c>
      <c r="C25" s="41">
        <f>IFERROR(__xludf.DUMMYFUNCTION("TEXTJOIN("", "", TRUE, FILTER('Milestone Plan'!D:D, 'Milestone Plan'!F:F=""CX Partner - Change Management SME""))"),"Change Management Dashboard, Stakeholder Map, Communication Strategy Draft, Scaled Rollout and Adoption, Internal Communication Plan, Branding Package, Pilot Feedback Summary, Sentiment Dashboard, Persona-Based Training Modules (UX, Eng, Partner), Change "&amp;"Impact Log, Stakeholder Action Plan, Awareness Campaign, Success Story Series, Partner Contribution Leaderboard, Recognition Plan, Adoption Dashboards, Sentiment Trend Reports, Quarterly Business Review Deck, Internal Case Study + Success Metrics")</f>
        <v/>
      </c>
      <c r="D25" s="47" t="n">
        <v>187200</v>
      </c>
    </row>
    <row r="26" ht="15.75" customHeight="1" s="74">
      <c r="A26" s="56" t="inlineStr">
        <is>
          <t>Role</t>
        </is>
      </c>
      <c r="B26" s="37" t="inlineStr">
        <is>
          <t xml:space="preserve">Subject Matter Experts - included in ProServices Subscription </t>
        </is>
      </c>
      <c r="C26" s="56">
        <f>IFERROR(__xludf.DUMMYFUNCTION("TEXTJOIN("", "", TRUE, FILTER('Milestone Plan'!D:D, 'Milestone Plan'!F:F=""Subject Matter Expert""))
"),"Architecture Validation Log, DevOps Readiness, SSO Integration Checklist")</f>
        <v/>
      </c>
      <c r="D26" s="47" t="n">
        <v>0</v>
      </c>
    </row>
    <row r="27" ht="15.75" customHeight="1" s="74">
      <c r="A27" s="56" t="inlineStr">
        <is>
          <t>One Time Implementation Fee</t>
        </is>
      </c>
      <c r="B27" s="37" t="n"/>
      <c r="C27" s="52" t="n"/>
      <c r="D27" s="47" t="n">
        <v>58380</v>
      </c>
    </row>
    <row r="28" ht="15.75" customHeight="1" s="74">
      <c r="A28" s="56" t="inlineStr">
        <is>
          <t>Annual Licensing Fees</t>
        </is>
      </c>
      <c r="B28" s="37" t="n"/>
      <c r="C28" s="41" t="n"/>
      <c r="D28" s="42" t="n">
        <v>250000</v>
      </c>
    </row>
    <row r="29" ht="15.75" customHeight="1" s="74">
      <c r="A29" s="56" t="n"/>
      <c r="B29" s="37" t="inlineStr">
        <is>
          <t xml:space="preserve">Non-Subscription Price </t>
        </is>
      </c>
      <c r="C29" s="41" t="n"/>
      <c r="D29" s="42">
        <f>sum(Proposal[Total Cost])</f>
        <v/>
      </c>
    </row>
    <row r="30" ht="15.75" customHeight="1" s="74">
      <c r="C30" s="46" t="inlineStr">
        <is>
          <t>Total Year 1 Software and Implementation + Pro Services</t>
        </is>
      </c>
      <c r="D30" s="47">
        <f>Proposal[[#TOTALS],[Total Cost]]</f>
        <v/>
      </c>
    </row>
    <row r="31" ht="15.75" customHeight="1" s="74">
      <c r="A31" s="48" t="n"/>
      <c r="C31" s="49" t="inlineStr">
        <is>
          <t>Discount 15% for ProServices Subscription</t>
        </is>
      </c>
      <c r="D31" s="50">
        <f>0.1505377662</f>
        <v/>
      </c>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row>
    <row r="32" ht="15.75" customHeight="1" s="74">
      <c r="C32" s="46" t="inlineStr">
        <is>
          <t>Discounted Total Year 1 Software and Implementation + Pro Services</t>
        </is>
      </c>
      <c r="D32" s="47">
        <f>Proposal[[#TOTALS],[Total Cost]]-(D30*D31)</f>
        <v/>
      </c>
    </row>
    <row r="33" ht="15.75" customHeight="1" s="74">
      <c r="B33" s="13" t="n"/>
      <c r="C33" s="24" t="n"/>
      <c r="D33" s="25" t="n"/>
    </row>
    <row r="34" ht="15.75" customHeight="1" s="74">
      <c r="B34" s="13" t="n"/>
      <c r="C34" s="24" t="n"/>
      <c r="D34" s="25" t="n"/>
    </row>
    <row r="35" ht="15.75" customHeight="1" s="74">
      <c r="B35" s="51" t="n"/>
      <c r="C35" s="52" t="n"/>
      <c r="D35" s="47" t="n"/>
    </row>
    <row r="36" ht="15.75" customHeight="1" s="74">
      <c r="B36" s="51" t="n"/>
      <c r="C36" s="52" t="n"/>
      <c r="D36" s="47" t="n"/>
    </row>
    <row r="37" ht="15.75" customHeight="1" s="74">
      <c r="B37" s="51" t="n"/>
      <c r="C37" s="52" t="n"/>
      <c r="D37" s="47" t="n"/>
    </row>
    <row r="38" ht="15.75" customHeight="1" s="74">
      <c r="B38" s="13" t="n"/>
      <c r="C38" s="24" t="n"/>
      <c r="D38" s="25" t="n"/>
    </row>
    <row r="39" ht="15.75" customHeight="1" s="74">
      <c r="B39" s="13" t="n"/>
      <c r="C39" s="24" t="n"/>
      <c r="D39" s="25" t="n"/>
    </row>
    <row r="40" ht="15.75" customHeight="1" s="74">
      <c r="B40" s="13" t="n"/>
      <c r="C40" s="24" t="n"/>
      <c r="D40" s="25" t="n"/>
    </row>
    <row r="41" ht="15.75" customHeight="1" s="74">
      <c r="B41" s="13" t="n"/>
      <c r="C41" s="24" t="n"/>
      <c r="D41" s="25" t="n"/>
    </row>
    <row r="42" ht="15.75" customHeight="1" s="74">
      <c r="B42" s="13" t="n"/>
      <c r="C42" s="24" t="n"/>
      <c r="D42" s="25" t="n"/>
    </row>
    <row r="43" ht="15.75" customHeight="1" s="74">
      <c r="B43" s="13" t="n"/>
      <c r="C43" s="24" t="n"/>
      <c r="D43" s="25" t="n"/>
    </row>
    <row r="44" ht="15.75" customHeight="1" s="74">
      <c r="B44" s="13" t="n"/>
      <c r="C44" s="24" t="n"/>
      <c r="D44" s="25" t="n"/>
    </row>
    <row r="45" ht="15.75" customHeight="1" s="74">
      <c r="B45" s="13" t="n"/>
      <c r="C45" s="24" t="n"/>
      <c r="D45" s="25" t="n"/>
    </row>
    <row r="46" ht="15.75" customHeight="1" s="74">
      <c r="B46" s="13" t="n"/>
      <c r="C46" s="24" t="n"/>
      <c r="D46" s="25" t="n"/>
    </row>
    <row r="47" ht="15.75" customHeight="1" s="74">
      <c r="B47" s="13" t="n"/>
      <c r="C47" s="24" t="n"/>
      <c r="D47" s="25" t="n"/>
    </row>
    <row r="48" ht="15.75" customHeight="1" s="74">
      <c r="B48" s="13" t="n"/>
      <c r="C48" s="24" t="n"/>
      <c r="D48" s="25" t="n"/>
    </row>
    <row r="49" ht="15.75" customHeight="1" s="74">
      <c r="B49" s="13" t="n"/>
      <c r="C49" s="24" t="n"/>
      <c r="D49" s="25" t="n"/>
    </row>
    <row r="50" ht="15.75" customHeight="1" s="74">
      <c r="B50" s="13" t="n"/>
      <c r="C50" s="24" t="n"/>
      <c r="D50" s="25" t="n"/>
    </row>
    <row r="51" ht="15.75" customHeight="1" s="74">
      <c r="B51" s="13" t="n"/>
      <c r="C51" s="24" t="n"/>
      <c r="D51" s="25" t="n"/>
    </row>
    <row r="52" ht="15.75" customHeight="1" s="74">
      <c r="B52" s="13" t="n"/>
      <c r="C52" s="24" t="n"/>
      <c r="D52" s="25" t="n"/>
    </row>
    <row r="53" ht="15.75" customHeight="1" s="74">
      <c r="B53" s="13" t="n"/>
      <c r="C53" s="24" t="n"/>
      <c r="D53" s="25" t="n"/>
    </row>
    <row r="54" ht="15.75" customHeight="1" s="74">
      <c r="B54" s="13" t="n"/>
      <c r="C54" s="24" t="n"/>
      <c r="D54" s="25" t="n"/>
    </row>
    <row r="55" ht="15.75" customHeight="1" s="74">
      <c r="B55" s="13" t="n"/>
      <c r="C55" s="24" t="n"/>
      <c r="D55" s="25" t="n"/>
    </row>
    <row r="56" ht="15.75" customHeight="1" s="74">
      <c r="B56" s="13" t="n"/>
      <c r="C56" s="24" t="n"/>
      <c r="D56" s="25" t="n"/>
    </row>
    <row r="57" ht="15.75" customHeight="1" s="74">
      <c r="B57" s="13" t="n"/>
      <c r="C57" s="24" t="n"/>
      <c r="D57" s="25" t="n"/>
    </row>
    <row r="58" ht="15.75" customHeight="1" s="74">
      <c r="B58" s="13" t="n"/>
      <c r="C58" s="24" t="n"/>
      <c r="D58" s="25" t="n"/>
    </row>
    <row r="59" ht="15.75" customHeight="1" s="74">
      <c r="B59" s="13" t="n"/>
      <c r="C59" s="24" t="n"/>
      <c r="D59" s="25" t="n"/>
    </row>
    <row r="60" ht="15.75" customHeight="1" s="74">
      <c r="B60" s="13" t="n"/>
      <c r="C60" s="24" t="n"/>
      <c r="D60" s="25" t="n"/>
    </row>
    <row r="61" ht="15.75" customHeight="1" s="74">
      <c r="B61" s="13" t="n"/>
      <c r="C61" s="24" t="n"/>
      <c r="D61" s="25" t="n"/>
    </row>
    <row r="62" ht="15.75" customHeight="1" s="74">
      <c r="B62" s="13" t="n"/>
      <c r="C62" s="24" t="n"/>
      <c r="D62" s="25" t="n"/>
    </row>
    <row r="63" ht="15.75" customHeight="1" s="74">
      <c r="B63" s="13" t="n"/>
      <c r="C63" s="24" t="n"/>
      <c r="D63" s="25" t="n"/>
    </row>
    <row r="64" ht="15.75" customHeight="1" s="74">
      <c r="B64" s="13" t="n"/>
      <c r="C64" s="24" t="n"/>
      <c r="D64" s="25" t="n"/>
    </row>
    <row r="65" ht="15.75" customHeight="1" s="74">
      <c r="B65" s="13" t="n"/>
      <c r="C65" s="24" t="n"/>
      <c r="D65" s="25" t="n"/>
    </row>
    <row r="66" ht="15.75" customHeight="1" s="74">
      <c r="B66" s="13" t="n"/>
      <c r="C66" s="24" t="n"/>
      <c r="D66" s="25" t="n"/>
    </row>
    <row r="67" ht="15.75" customHeight="1" s="74">
      <c r="B67" s="13" t="n"/>
      <c r="C67" s="24" t="n"/>
      <c r="D67" s="25" t="n"/>
    </row>
    <row r="68" ht="15.75" customHeight="1" s="74">
      <c r="B68" s="13" t="n"/>
      <c r="C68" s="24" t="n"/>
      <c r="D68" s="25" t="n"/>
    </row>
    <row r="69" ht="15.75" customHeight="1" s="74">
      <c r="B69" s="13" t="n"/>
      <c r="C69" s="24" t="n"/>
      <c r="D69" s="25" t="n"/>
    </row>
    <row r="70" ht="15.75" customHeight="1" s="74">
      <c r="B70" s="13" t="n"/>
      <c r="C70" s="24" t="n"/>
      <c r="D70" s="25" t="n"/>
    </row>
    <row r="71" ht="15.75" customHeight="1" s="74">
      <c r="B71" s="13" t="n"/>
      <c r="C71" s="24" t="n"/>
      <c r="D71" s="25" t="n"/>
    </row>
    <row r="72" ht="15.75" customHeight="1" s="74">
      <c r="B72" s="13" t="n"/>
      <c r="C72" s="24" t="n"/>
      <c r="D72" s="25" t="n"/>
    </row>
    <row r="73" ht="15.75" customHeight="1" s="74">
      <c r="B73" s="13" t="n"/>
      <c r="C73" s="24" t="n"/>
      <c r="D73" s="25" t="n"/>
    </row>
    <row r="74" ht="15.75" customHeight="1" s="74">
      <c r="B74" s="13" t="n"/>
      <c r="C74" s="24" t="n"/>
      <c r="D74" s="25" t="n"/>
    </row>
    <row r="75" ht="15.75" customHeight="1" s="74">
      <c r="B75" s="13" t="n"/>
      <c r="C75" s="24" t="n"/>
      <c r="D75" s="25" t="n"/>
    </row>
    <row r="76" ht="15.75" customHeight="1" s="74">
      <c r="B76" s="13" t="n"/>
      <c r="C76" s="24" t="n"/>
      <c r="D76" s="25" t="n"/>
    </row>
    <row r="77" ht="15.75" customHeight="1" s="74">
      <c r="B77" s="13" t="n"/>
      <c r="C77" s="24" t="n"/>
      <c r="D77" s="25" t="n"/>
    </row>
    <row r="78" ht="15.75" customHeight="1" s="74">
      <c r="B78" s="13" t="n"/>
      <c r="C78" s="24" t="n"/>
      <c r="D78" s="25" t="n"/>
    </row>
    <row r="79" ht="15.75" customHeight="1" s="74">
      <c r="B79" s="13" t="n"/>
      <c r="C79" s="24" t="n"/>
      <c r="D79" s="25" t="n"/>
    </row>
    <row r="80" ht="15.75" customHeight="1" s="74">
      <c r="B80" s="13" t="n"/>
      <c r="C80" s="24" t="n"/>
      <c r="D80" s="25" t="n"/>
    </row>
    <row r="81" ht="15.75" customHeight="1" s="74">
      <c r="B81" s="13" t="n"/>
      <c r="C81" s="24" t="n"/>
      <c r="D81" s="25" t="n"/>
    </row>
    <row r="82" ht="15.75" customHeight="1" s="74">
      <c r="B82" s="13" t="n"/>
      <c r="C82" s="24" t="n"/>
      <c r="D82" s="25" t="n"/>
    </row>
    <row r="83" ht="15.75" customHeight="1" s="74">
      <c r="B83" s="13" t="n"/>
      <c r="C83" s="24" t="n"/>
      <c r="D83" s="25" t="n"/>
    </row>
    <row r="84" ht="15.75" customHeight="1" s="74">
      <c r="B84" s="13" t="n"/>
      <c r="C84" s="24" t="n"/>
      <c r="D84" s="25" t="n"/>
    </row>
    <row r="85" ht="15.75" customHeight="1" s="74">
      <c r="B85" s="13" t="n"/>
      <c r="C85" s="24" t="n"/>
      <c r="D85" s="25" t="n"/>
    </row>
    <row r="86" ht="15.75" customHeight="1" s="74">
      <c r="B86" s="13" t="n"/>
      <c r="C86" s="24" t="n"/>
      <c r="D86" s="25" t="n"/>
    </row>
    <row r="87" ht="15.75" customHeight="1" s="74">
      <c r="B87" s="13" t="n"/>
      <c r="C87" s="24" t="n"/>
      <c r="D87" s="25" t="n"/>
    </row>
    <row r="88" ht="15.75" customHeight="1" s="74">
      <c r="B88" s="13" t="n"/>
      <c r="C88" s="24" t="n"/>
      <c r="D88" s="25" t="n"/>
    </row>
    <row r="89" ht="15.75" customHeight="1" s="74">
      <c r="B89" s="13" t="n"/>
      <c r="C89" s="24" t="n"/>
      <c r="D89" s="25" t="n"/>
    </row>
    <row r="90" ht="15.75" customHeight="1" s="74">
      <c r="B90" s="13" t="n"/>
      <c r="C90" s="24" t="n"/>
      <c r="D90" s="25" t="n"/>
    </row>
    <row r="91" ht="15.75" customHeight="1" s="74">
      <c r="B91" s="13" t="n"/>
      <c r="C91" s="24" t="n"/>
      <c r="D91" s="25" t="n"/>
    </row>
    <row r="92" ht="15.75" customHeight="1" s="74">
      <c r="B92" s="13" t="n"/>
      <c r="C92" s="24" t="n"/>
      <c r="D92" s="25" t="n"/>
    </row>
    <row r="93" ht="15.75" customHeight="1" s="74">
      <c r="B93" s="13" t="n"/>
      <c r="C93" s="24" t="n"/>
      <c r="D93" s="25" t="n"/>
    </row>
    <row r="94" ht="15.75" customHeight="1" s="74">
      <c r="B94" s="13" t="n"/>
      <c r="C94" s="24" t="n"/>
      <c r="D94" s="25" t="n"/>
    </row>
    <row r="95" ht="15.75" customHeight="1" s="74">
      <c r="B95" s="13" t="n"/>
      <c r="C95" s="24" t="n"/>
      <c r="D95" s="25" t="n"/>
    </row>
    <row r="96" ht="15.75" customHeight="1" s="74">
      <c r="B96" s="13" t="n"/>
      <c r="C96" s="24" t="n"/>
      <c r="D96" s="25" t="n"/>
    </row>
    <row r="97" ht="15.75" customHeight="1" s="74">
      <c r="B97" s="13" t="n"/>
      <c r="C97" s="24" t="n"/>
      <c r="D97" s="25" t="n"/>
    </row>
    <row r="98" ht="15.75" customHeight="1" s="74">
      <c r="B98" s="13" t="n"/>
      <c r="C98" s="24" t="n"/>
      <c r="D98" s="25" t="n"/>
    </row>
    <row r="99" ht="15.75" customHeight="1" s="74">
      <c r="B99" s="13" t="n"/>
      <c r="C99" s="24" t="n"/>
      <c r="D99" s="25" t="n"/>
    </row>
    <row r="100" ht="15.75" customHeight="1" s="74">
      <c r="B100" s="13" t="n"/>
      <c r="C100" s="24" t="n"/>
      <c r="D100" s="25" t="n"/>
    </row>
    <row r="101" ht="15.75" customHeight="1" s="74">
      <c r="B101" s="13" t="n"/>
      <c r="C101" s="24" t="n"/>
      <c r="D101" s="25" t="n"/>
    </row>
    <row r="102" ht="15.75" customHeight="1" s="74">
      <c r="B102" s="13" t="n"/>
      <c r="C102" s="24" t="n"/>
      <c r="D102" s="25" t="n"/>
    </row>
    <row r="103" ht="15.75" customHeight="1" s="74">
      <c r="B103" s="13" t="n"/>
      <c r="C103" s="24" t="n"/>
      <c r="D103" s="25" t="n"/>
    </row>
    <row r="104" ht="15.75" customHeight="1" s="74">
      <c r="B104" s="13" t="n"/>
      <c r="C104" s="24" t="n"/>
      <c r="D104" s="25" t="n"/>
    </row>
    <row r="105" ht="15.75" customHeight="1" s="74">
      <c r="B105" s="13" t="n"/>
      <c r="C105" s="24" t="n"/>
      <c r="D105" s="25" t="n"/>
    </row>
    <row r="106" ht="15.75" customHeight="1" s="74">
      <c r="B106" s="13" t="n"/>
      <c r="C106" s="24" t="n"/>
      <c r="D106" s="25" t="n"/>
    </row>
    <row r="107" ht="15.75" customHeight="1" s="74">
      <c r="B107" s="13" t="n"/>
      <c r="C107" s="24" t="n"/>
      <c r="D107" s="25" t="n"/>
    </row>
    <row r="108" ht="15.75" customHeight="1" s="74">
      <c r="B108" s="13" t="n"/>
      <c r="C108" s="24" t="n"/>
      <c r="D108" s="25" t="n"/>
    </row>
    <row r="109" ht="15.75" customHeight="1" s="74">
      <c r="B109" s="13" t="n"/>
      <c r="C109" s="24" t="n"/>
      <c r="D109" s="25" t="n"/>
    </row>
    <row r="110" ht="15.75" customHeight="1" s="74">
      <c r="B110" s="13" t="n"/>
      <c r="C110" s="24" t="n"/>
      <c r="D110" s="25" t="n"/>
    </row>
    <row r="111" ht="15.75" customHeight="1" s="74">
      <c r="B111" s="13" t="n"/>
      <c r="C111" s="24" t="n"/>
      <c r="D111" s="25" t="n"/>
    </row>
    <row r="112" ht="15.75" customHeight="1" s="74">
      <c r="B112" s="13" t="n"/>
      <c r="C112" s="24" t="n"/>
      <c r="D112" s="25" t="n"/>
    </row>
    <row r="113" ht="15.75" customHeight="1" s="74">
      <c r="B113" s="13" t="n"/>
      <c r="C113" s="24" t="n"/>
      <c r="D113" s="25" t="n"/>
    </row>
    <row r="114" ht="15.75" customHeight="1" s="74">
      <c r="B114" s="13" t="n"/>
      <c r="C114" s="24" t="n"/>
      <c r="D114" s="25" t="n"/>
    </row>
    <row r="115" ht="15.75" customHeight="1" s="74">
      <c r="B115" s="13" t="n"/>
      <c r="C115" s="24" t="n"/>
      <c r="D115" s="25" t="n"/>
    </row>
    <row r="116" ht="15.75" customHeight="1" s="74">
      <c r="B116" s="13" t="n"/>
      <c r="C116" s="24" t="n"/>
      <c r="D116" s="25" t="n"/>
    </row>
    <row r="117" ht="15.75" customHeight="1" s="74">
      <c r="B117" s="13" t="n"/>
      <c r="C117" s="24" t="n"/>
      <c r="D117" s="25" t="n"/>
    </row>
    <row r="118" ht="15.75" customHeight="1" s="74">
      <c r="B118" s="13" t="n"/>
      <c r="C118" s="24" t="n"/>
      <c r="D118" s="25" t="n"/>
    </row>
    <row r="119" ht="15.75" customHeight="1" s="74">
      <c r="B119" s="13" t="n"/>
      <c r="C119" s="24" t="n"/>
      <c r="D119" s="25" t="n"/>
    </row>
    <row r="120" ht="15.75" customHeight="1" s="74">
      <c r="B120" s="13" t="n"/>
      <c r="C120" s="24" t="n"/>
      <c r="D120" s="25" t="n"/>
    </row>
    <row r="121" ht="15.75" customHeight="1" s="74">
      <c r="B121" s="13" t="n"/>
      <c r="C121" s="24" t="n"/>
      <c r="D121" s="25" t="n"/>
    </row>
    <row r="122" ht="15.75" customHeight="1" s="74">
      <c r="B122" s="13" t="n"/>
      <c r="C122" s="24" t="n"/>
      <c r="D122" s="25" t="n"/>
    </row>
    <row r="123" ht="15.75" customHeight="1" s="74">
      <c r="B123" s="13" t="n"/>
      <c r="C123" s="24" t="n"/>
      <c r="D123" s="25" t="n"/>
    </row>
    <row r="124" ht="15.75" customHeight="1" s="74">
      <c r="B124" s="13" t="n"/>
      <c r="C124" s="24" t="n"/>
      <c r="D124" s="25" t="n"/>
    </row>
    <row r="125" ht="15.75" customHeight="1" s="74">
      <c r="B125" s="13" t="n"/>
      <c r="C125" s="24" t="n"/>
      <c r="D125" s="25" t="n"/>
    </row>
    <row r="126" ht="15.75" customHeight="1" s="74">
      <c r="B126" s="13" t="n"/>
      <c r="C126" s="24" t="n"/>
      <c r="D126" s="25" t="n"/>
    </row>
    <row r="127" ht="15.75" customHeight="1" s="74">
      <c r="B127" s="13" t="n"/>
      <c r="C127" s="24" t="n"/>
      <c r="D127" s="25" t="n"/>
    </row>
    <row r="128" ht="15.75" customHeight="1" s="74">
      <c r="B128" s="13" t="n"/>
      <c r="C128" s="24" t="n"/>
      <c r="D128" s="25" t="n"/>
    </row>
    <row r="129" ht="15.75" customHeight="1" s="74">
      <c r="B129" s="13" t="n"/>
      <c r="C129" s="24" t="n"/>
      <c r="D129" s="25" t="n"/>
    </row>
    <row r="130" ht="15.75" customHeight="1" s="74">
      <c r="B130" s="13" t="n"/>
      <c r="C130" s="24" t="n"/>
      <c r="D130" s="25" t="n"/>
    </row>
    <row r="131" ht="15.75" customHeight="1" s="74">
      <c r="B131" s="13" t="n"/>
      <c r="C131" s="24" t="n"/>
      <c r="D131" s="25" t="n"/>
    </row>
    <row r="132" ht="15.75" customHeight="1" s="74">
      <c r="B132" s="13" t="n"/>
      <c r="C132" s="24" t="n"/>
      <c r="D132" s="25" t="n"/>
    </row>
    <row r="133" ht="15.75" customHeight="1" s="74">
      <c r="B133" s="13" t="n"/>
      <c r="C133" s="24" t="n"/>
      <c r="D133" s="25" t="n"/>
    </row>
    <row r="134" ht="15.75" customHeight="1" s="74">
      <c r="B134" s="13" t="n"/>
      <c r="C134" s="24" t="n"/>
      <c r="D134" s="25" t="n"/>
    </row>
    <row r="135" ht="15.75" customHeight="1" s="74">
      <c r="B135" s="13" t="n"/>
      <c r="C135" s="24" t="n"/>
      <c r="D135" s="25" t="n"/>
    </row>
    <row r="136" ht="15.75" customHeight="1" s="74">
      <c r="B136" s="13" t="n"/>
      <c r="C136" s="24" t="n"/>
      <c r="D136" s="25" t="n"/>
    </row>
    <row r="137" ht="15.75" customHeight="1" s="74">
      <c r="B137" s="13" t="n"/>
      <c r="C137" s="24" t="n"/>
      <c r="D137" s="25" t="n"/>
    </row>
    <row r="138" ht="15.75" customHeight="1" s="74">
      <c r="B138" s="13" t="n"/>
      <c r="C138" s="24" t="n"/>
      <c r="D138" s="25" t="n"/>
    </row>
    <row r="139" ht="15.75" customHeight="1" s="74">
      <c r="B139" s="13" t="n"/>
      <c r="C139" s="24" t="n"/>
      <c r="D139" s="25" t="n"/>
    </row>
    <row r="140" ht="15.75" customHeight="1" s="74">
      <c r="B140" s="13" t="n"/>
      <c r="C140" s="24" t="n"/>
      <c r="D140" s="25" t="n"/>
    </row>
    <row r="141" ht="15.75" customHeight="1" s="74">
      <c r="B141" s="13" t="n"/>
      <c r="C141" s="24" t="n"/>
      <c r="D141" s="25" t="n"/>
    </row>
    <row r="142" ht="15.75" customHeight="1" s="74">
      <c r="B142" s="13" t="n"/>
      <c r="C142" s="24" t="n"/>
      <c r="D142" s="25" t="n"/>
    </row>
    <row r="143" ht="15.75" customHeight="1" s="74">
      <c r="B143" s="13" t="n"/>
      <c r="C143" s="24" t="n"/>
      <c r="D143" s="25" t="n"/>
    </row>
    <row r="144" ht="15.75" customHeight="1" s="74">
      <c r="B144" s="13" t="n"/>
      <c r="C144" s="24" t="n"/>
      <c r="D144" s="25" t="n"/>
    </row>
    <row r="145" ht="15.75" customHeight="1" s="74">
      <c r="B145" s="13" t="n"/>
      <c r="C145" s="24" t="n"/>
      <c r="D145" s="25" t="n"/>
    </row>
    <row r="146" ht="15.75" customHeight="1" s="74">
      <c r="B146" s="13" t="n"/>
      <c r="C146" s="24" t="n"/>
      <c r="D146" s="25" t="n"/>
    </row>
    <row r="147" ht="15.75" customHeight="1" s="74">
      <c r="B147" s="13" t="n"/>
      <c r="C147" s="24" t="n"/>
      <c r="D147" s="25" t="n"/>
    </row>
    <row r="148" ht="15.75" customHeight="1" s="74">
      <c r="B148" s="13" t="n"/>
      <c r="C148" s="24" t="n"/>
      <c r="D148" s="25" t="n"/>
    </row>
    <row r="149" ht="15.75" customHeight="1" s="74">
      <c r="B149" s="13" t="n"/>
      <c r="C149" s="24" t="n"/>
      <c r="D149" s="25" t="n"/>
    </row>
    <row r="150" ht="15.75" customHeight="1" s="74">
      <c r="B150" s="13" t="n"/>
      <c r="C150" s="24" t="n"/>
      <c r="D150" s="25" t="n"/>
    </row>
    <row r="151" ht="15.75" customHeight="1" s="74">
      <c r="B151" s="13" t="n"/>
      <c r="C151" s="24" t="n"/>
      <c r="D151" s="25" t="n"/>
    </row>
    <row r="152" ht="15.75" customHeight="1" s="74">
      <c r="B152" s="13" t="n"/>
      <c r="C152" s="24" t="n"/>
      <c r="D152" s="25" t="n"/>
    </row>
    <row r="153" ht="15.75" customHeight="1" s="74">
      <c r="B153" s="13" t="n"/>
      <c r="C153" s="24" t="n"/>
      <c r="D153" s="25" t="n"/>
    </row>
    <row r="154" ht="15.75" customHeight="1" s="74">
      <c r="B154" s="13" t="n"/>
      <c r="C154" s="24" t="n"/>
      <c r="D154" s="25" t="n"/>
    </row>
    <row r="155" ht="15.75" customHeight="1" s="74">
      <c r="B155" s="13" t="n"/>
      <c r="C155" s="24" t="n"/>
      <c r="D155" s="25" t="n"/>
    </row>
    <row r="156" ht="15.75" customHeight="1" s="74">
      <c r="B156" s="13" t="n"/>
      <c r="C156" s="24" t="n"/>
      <c r="D156" s="25" t="n"/>
    </row>
    <row r="157" ht="15.75" customHeight="1" s="74">
      <c r="B157" s="13" t="n"/>
      <c r="C157" s="24" t="n"/>
      <c r="D157" s="25" t="n"/>
    </row>
    <row r="158" ht="15.75" customHeight="1" s="74">
      <c r="B158" s="13" t="n"/>
      <c r="C158" s="24" t="n"/>
      <c r="D158" s="25" t="n"/>
    </row>
    <row r="159" ht="15.75" customHeight="1" s="74">
      <c r="B159" s="13" t="n"/>
      <c r="C159" s="24" t="n"/>
      <c r="D159" s="25" t="n"/>
    </row>
    <row r="160" ht="15.75" customHeight="1" s="74">
      <c r="B160" s="13" t="n"/>
      <c r="C160" s="24" t="n"/>
      <c r="D160" s="25" t="n"/>
    </row>
    <row r="161" ht="15.75" customHeight="1" s="74">
      <c r="B161" s="13" t="n"/>
      <c r="C161" s="24" t="n"/>
      <c r="D161" s="25" t="n"/>
    </row>
    <row r="162" ht="15.75" customHeight="1" s="74">
      <c r="B162" s="13" t="n"/>
      <c r="C162" s="24" t="n"/>
      <c r="D162" s="25" t="n"/>
    </row>
    <row r="163" ht="15.75" customHeight="1" s="74">
      <c r="B163" s="13" t="n"/>
      <c r="C163" s="24" t="n"/>
      <c r="D163" s="25" t="n"/>
    </row>
    <row r="164" ht="15.75" customHeight="1" s="74">
      <c r="B164" s="13" t="n"/>
      <c r="C164" s="24" t="n"/>
      <c r="D164" s="25" t="n"/>
    </row>
    <row r="165" ht="15.75" customHeight="1" s="74">
      <c r="B165" s="13" t="n"/>
      <c r="C165" s="24" t="n"/>
      <c r="D165" s="25" t="n"/>
    </row>
    <row r="166" ht="15.75" customHeight="1" s="74">
      <c r="B166" s="13" t="n"/>
      <c r="C166" s="24" t="n"/>
      <c r="D166" s="25" t="n"/>
    </row>
    <row r="167" ht="15.75" customHeight="1" s="74">
      <c r="B167" s="13" t="n"/>
      <c r="C167" s="24" t="n"/>
      <c r="D167" s="25" t="n"/>
    </row>
    <row r="168" ht="15.75" customHeight="1" s="74">
      <c r="B168" s="13" t="n"/>
      <c r="C168" s="24" t="n"/>
      <c r="D168" s="25" t="n"/>
    </row>
    <row r="169" ht="15.75" customHeight="1" s="74">
      <c r="B169" s="13" t="n"/>
      <c r="C169" s="24" t="n"/>
      <c r="D169" s="25" t="n"/>
    </row>
    <row r="170" ht="15.75" customHeight="1" s="74">
      <c r="B170" s="13" t="n"/>
      <c r="C170" s="24" t="n"/>
      <c r="D170" s="25" t="n"/>
    </row>
    <row r="171" ht="15.75" customHeight="1" s="74">
      <c r="B171" s="13" t="n"/>
      <c r="C171" s="24" t="n"/>
      <c r="D171" s="25" t="n"/>
    </row>
    <row r="172" ht="15.75" customHeight="1" s="74">
      <c r="B172" s="13" t="n"/>
      <c r="C172" s="24" t="n"/>
      <c r="D172" s="25" t="n"/>
    </row>
    <row r="173" ht="15.75" customHeight="1" s="74">
      <c r="B173" s="13" t="n"/>
      <c r="C173" s="24" t="n"/>
      <c r="D173" s="25" t="n"/>
    </row>
    <row r="174" ht="15.75" customHeight="1" s="74">
      <c r="B174" s="13" t="n"/>
      <c r="C174" s="24" t="n"/>
      <c r="D174" s="25" t="n"/>
    </row>
    <row r="175" ht="15.75" customHeight="1" s="74">
      <c r="B175" s="13" t="n"/>
      <c r="C175" s="24" t="n"/>
      <c r="D175" s="25" t="n"/>
    </row>
    <row r="176" ht="15.75" customHeight="1" s="74">
      <c r="B176" s="13" t="n"/>
      <c r="C176" s="24" t="n"/>
      <c r="D176" s="25" t="n"/>
    </row>
    <row r="177" ht="15.75" customHeight="1" s="74">
      <c r="B177" s="13" t="n"/>
      <c r="C177" s="24" t="n"/>
      <c r="D177" s="25" t="n"/>
    </row>
    <row r="178" ht="15.75" customHeight="1" s="74">
      <c r="B178" s="13" t="n"/>
      <c r="C178" s="24" t="n"/>
      <c r="D178" s="25" t="n"/>
    </row>
    <row r="179" ht="15.75" customHeight="1" s="74">
      <c r="B179" s="13" t="n"/>
      <c r="C179" s="24" t="n"/>
      <c r="D179" s="25" t="n"/>
    </row>
    <row r="180" ht="15.75" customHeight="1" s="74">
      <c r="B180" s="13" t="n"/>
      <c r="C180" s="24" t="n"/>
      <c r="D180" s="25" t="n"/>
    </row>
    <row r="181" ht="15.75" customHeight="1" s="74">
      <c r="B181" s="13" t="n"/>
      <c r="C181" s="24" t="n"/>
      <c r="D181" s="25" t="n"/>
    </row>
    <row r="182" ht="15.75" customHeight="1" s="74">
      <c r="B182" s="13" t="n"/>
      <c r="C182" s="24" t="n"/>
      <c r="D182" s="25" t="n"/>
    </row>
    <row r="183" ht="15.75" customHeight="1" s="74">
      <c r="B183" s="13" t="n"/>
      <c r="C183" s="24" t="n"/>
      <c r="D183" s="25" t="n"/>
    </row>
    <row r="184" ht="15.75" customHeight="1" s="74">
      <c r="B184" s="13" t="n"/>
      <c r="C184" s="24" t="n"/>
      <c r="D184" s="25" t="n"/>
    </row>
    <row r="185" ht="15.75" customHeight="1" s="74">
      <c r="B185" s="13" t="n"/>
      <c r="C185" s="24" t="n"/>
      <c r="D185" s="25" t="n"/>
    </row>
    <row r="186" ht="15.75" customHeight="1" s="74">
      <c r="B186" s="13" t="n"/>
      <c r="C186" s="24" t="n"/>
      <c r="D186" s="25" t="n"/>
    </row>
    <row r="187" ht="15.75" customHeight="1" s="74">
      <c r="B187" s="13" t="n"/>
      <c r="C187" s="24" t="n"/>
      <c r="D187" s="25" t="n"/>
    </row>
    <row r="188" ht="15.75" customHeight="1" s="74">
      <c r="B188" s="13" t="n"/>
      <c r="C188" s="24" t="n"/>
      <c r="D188" s="25" t="n"/>
    </row>
    <row r="189" ht="15.75" customHeight="1" s="74">
      <c r="B189" s="13" t="n"/>
      <c r="C189" s="24" t="n"/>
      <c r="D189" s="25" t="n"/>
    </row>
    <row r="190" ht="15.75" customHeight="1" s="74">
      <c r="B190" s="13" t="n"/>
      <c r="C190" s="24" t="n"/>
      <c r="D190" s="25" t="n"/>
    </row>
    <row r="191" ht="15.75" customHeight="1" s="74">
      <c r="B191" s="13" t="n"/>
      <c r="C191" s="24" t="n"/>
      <c r="D191" s="25" t="n"/>
    </row>
    <row r="192" ht="15.75" customHeight="1" s="74">
      <c r="B192" s="13" t="n"/>
      <c r="C192" s="24" t="n"/>
      <c r="D192" s="25" t="n"/>
    </row>
    <row r="193" ht="15.75" customHeight="1" s="74">
      <c r="B193" s="13" t="n"/>
      <c r="C193" s="24" t="n"/>
      <c r="D193" s="25" t="n"/>
    </row>
    <row r="194" ht="15.75" customHeight="1" s="74">
      <c r="B194" s="13" t="n"/>
      <c r="C194" s="24" t="n"/>
      <c r="D194" s="25" t="n"/>
    </row>
    <row r="195" ht="15.75" customHeight="1" s="74">
      <c r="B195" s="13" t="n"/>
      <c r="C195" s="24" t="n"/>
      <c r="D195" s="25" t="n"/>
    </row>
    <row r="196" ht="15.75" customHeight="1" s="74">
      <c r="B196" s="13" t="n"/>
      <c r="C196" s="24" t="n"/>
      <c r="D196" s="25" t="n"/>
    </row>
    <row r="197" ht="15.75" customHeight="1" s="74">
      <c r="B197" s="13" t="n"/>
      <c r="C197" s="24" t="n"/>
      <c r="D197" s="25" t="n"/>
    </row>
    <row r="198" ht="15.75" customHeight="1" s="74">
      <c r="B198" s="13" t="n"/>
      <c r="C198" s="24" t="n"/>
      <c r="D198" s="25" t="n"/>
    </row>
    <row r="199" ht="15.75" customHeight="1" s="74">
      <c r="B199" s="13" t="n"/>
      <c r="C199" s="24" t="n"/>
      <c r="D199" s="25" t="n"/>
    </row>
    <row r="200" ht="15.75" customHeight="1" s="74">
      <c r="B200" s="13" t="n"/>
      <c r="C200" s="24" t="n"/>
      <c r="D200" s="25" t="n"/>
    </row>
    <row r="201" ht="15.75" customHeight="1" s="74">
      <c r="B201" s="13" t="n"/>
      <c r="C201" s="24" t="n"/>
      <c r="D201" s="25" t="n"/>
    </row>
    <row r="202" ht="15.75" customHeight="1" s="74">
      <c r="B202" s="13" t="n"/>
      <c r="C202" s="24" t="n"/>
      <c r="D202" s="25" t="n"/>
    </row>
    <row r="203" ht="15.75" customHeight="1" s="74">
      <c r="B203" s="13" t="n"/>
      <c r="C203" s="24" t="n"/>
      <c r="D203" s="25" t="n"/>
    </row>
    <row r="204" ht="15.75" customHeight="1" s="74">
      <c r="B204" s="13" t="n"/>
      <c r="C204" s="24" t="n"/>
      <c r="D204" s="25" t="n"/>
    </row>
    <row r="205" ht="15.75" customHeight="1" s="74">
      <c r="B205" s="13" t="n"/>
      <c r="C205" s="24" t="n"/>
      <c r="D205" s="25" t="n"/>
    </row>
    <row r="206" ht="15.75" customHeight="1" s="74">
      <c r="B206" s="13" t="n"/>
      <c r="C206" s="24" t="n"/>
      <c r="D206" s="25" t="n"/>
    </row>
    <row r="207" ht="15.75" customHeight="1" s="74">
      <c r="B207" s="13" t="n"/>
      <c r="C207" s="24" t="n"/>
      <c r="D207" s="25" t="n"/>
    </row>
    <row r="208" ht="15.75" customHeight="1" s="74">
      <c r="B208" s="13" t="n"/>
      <c r="C208" s="24" t="n"/>
      <c r="D208" s="25" t="n"/>
    </row>
    <row r="209" ht="15.75" customHeight="1" s="74">
      <c r="B209" s="13" t="n"/>
      <c r="C209" s="24" t="n"/>
      <c r="D209" s="25" t="n"/>
    </row>
    <row r="210" ht="15.75" customHeight="1" s="74">
      <c r="B210" s="13" t="n"/>
      <c r="C210" s="24" t="n"/>
      <c r="D210" s="25" t="n"/>
    </row>
    <row r="211" ht="15.75" customHeight="1" s="74">
      <c r="B211" s="13" t="n"/>
      <c r="C211" s="24" t="n"/>
      <c r="D211" s="25" t="n"/>
    </row>
    <row r="212" ht="15.75" customHeight="1" s="74">
      <c r="B212" s="13" t="n"/>
      <c r="C212" s="24" t="n"/>
      <c r="D212" s="25" t="n"/>
    </row>
    <row r="213" ht="15.75" customHeight="1" s="74">
      <c r="B213" s="13" t="n"/>
      <c r="C213" s="24" t="n"/>
      <c r="D213" s="25" t="n"/>
    </row>
    <row r="214" ht="15.75" customHeight="1" s="74">
      <c r="B214" s="13" t="n"/>
      <c r="C214" s="24" t="n"/>
      <c r="D214" s="25" t="n"/>
    </row>
    <row r="215" ht="15.75" customHeight="1" s="74">
      <c r="B215" s="13" t="n"/>
      <c r="C215" s="24" t="n"/>
      <c r="D215" s="25" t="n"/>
    </row>
    <row r="216" ht="15.75" customHeight="1" s="74">
      <c r="B216" s="13" t="n"/>
      <c r="C216" s="24" t="n"/>
      <c r="D216" s="25" t="n"/>
    </row>
    <row r="217" ht="15.75" customHeight="1" s="74">
      <c r="B217" s="13" t="n"/>
      <c r="C217" s="24" t="n"/>
      <c r="D217" s="25" t="n"/>
    </row>
    <row r="218" ht="15.75" customHeight="1" s="74">
      <c r="B218" s="13" t="n"/>
      <c r="C218" s="24" t="n"/>
      <c r="D218" s="25" t="n"/>
    </row>
    <row r="219" ht="15.75" customHeight="1" s="74">
      <c r="B219" s="13" t="n"/>
      <c r="C219" s="24" t="n"/>
      <c r="D219" s="25" t="n"/>
    </row>
    <row r="220" ht="15.75" customHeight="1" s="74">
      <c r="B220" s="13" t="n"/>
      <c r="C220" s="24" t="n"/>
      <c r="D220" s="25" t="n"/>
    </row>
    <row r="221" ht="15.75" customHeight="1" s="74">
      <c r="B221" s="13" t="n"/>
      <c r="C221" s="24" t="n"/>
      <c r="D221" s="25" t="n"/>
    </row>
    <row r="222" ht="15.75" customHeight="1" s="74">
      <c r="B222" s="13" t="n"/>
      <c r="C222" s="24" t="n"/>
      <c r="D222" s="25" t="n"/>
    </row>
    <row r="223" ht="15.75" customHeight="1" s="74">
      <c r="B223" s="13" t="n"/>
      <c r="C223" s="24" t="n"/>
      <c r="D223" s="25" t="n"/>
    </row>
    <row r="224" ht="15.75" customHeight="1" s="74">
      <c r="B224" s="13" t="n"/>
      <c r="C224" s="24" t="n"/>
      <c r="D224" s="25" t="n"/>
    </row>
    <row r="225" ht="15.75" customHeight="1" s="74">
      <c r="B225" s="13" t="n"/>
      <c r="C225" s="24" t="n"/>
      <c r="D225" s="25" t="n"/>
    </row>
    <row r="226" ht="15.75" customHeight="1" s="74">
      <c r="B226" s="13" t="n"/>
      <c r="C226" s="24" t="n"/>
      <c r="D226" s="25" t="n"/>
    </row>
    <row r="227" ht="15.75" customHeight="1" s="74">
      <c r="B227" s="13" t="n"/>
      <c r="C227" s="24" t="n"/>
      <c r="D227" s="25" t="n"/>
    </row>
    <row r="228" ht="15.75" customHeight="1" s="74">
      <c r="B228" s="13" t="n"/>
      <c r="C228" s="24" t="n"/>
      <c r="D228" s="25" t="n"/>
    </row>
    <row r="229" ht="15.75" customHeight="1" s="74">
      <c r="B229" s="13" t="n"/>
      <c r="C229" s="24" t="n"/>
      <c r="D229" s="25" t="n"/>
    </row>
    <row r="230" ht="15.75" customHeight="1" s="74">
      <c r="B230" s="13" t="n"/>
      <c r="C230" s="24" t="n"/>
      <c r="D230" s="25" t="n"/>
    </row>
    <row r="231" ht="15.75" customHeight="1" s="74">
      <c r="B231" s="13" t="n"/>
      <c r="C231" s="24" t="n"/>
      <c r="D231" s="25" t="n"/>
    </row>
    <row r="232" ht="15.75" customHeight="1" s="74">
      <c r="B232" s="13" t="n"/>
      <c r="C232" s="24" t="n"/>
      <c r="D232" s="25" t="n"/>
    </row>
    <row r="233" ht="15.75" customHeight="1" s="74">
      <c r="B233" s="13" t="n"/>
      <c r="C233" s="24" t="n"/>
      <c r="D233" s="25" t="n"/>
    </row>
    <row r="234" ht="15.75" customHeight="1" s="74">
      <c r="B234" s="13" t="n"/>
      <c r="C234" s="24" t="n"/>
      <c r="D234" s="25" t="n"/>
    </row>
    <row r="235" ht="15.75" customHeight="1" s="74">
      <c r="B235" s="13" t="n"/>
      <c r="C235" s="24" t="n"/>
      <c r="D235" s="25" t="n"/>
    </row>
    <row r="236" ht="15.75" customHeight="1" s="74">
      <c r="B236" s="13" t="n"/>
      <c r="C236" s="24" t="n"/>
      <c r="D236" s="25" t="n"/>
    </row>
    <row r="237" ht="15.75" customHeight="1" s="74">
      <c r="B237" s="13" t="n"/>
      <c r="C237" s="24" t="n"/>
      <c r="D237" s="25" t="n"/>
    </row>
    <row r="238" ht="15.75" customHeight="1" s="74">
      <c r="B238" s="13" t="n"/>
      <c r="C238" s="24" t="n"/>
      <c r="D238" s="25" t="n"/>
    </row>
    <row r="239" ht="15.75" customHeight="1" s="74">
      <c r="B239" s="13" t="n"/>
      <c r="C239" s="24" t="n"/>
      <c r="D239" s="25" t="n"/>
    </row>
    <row r="240" ht="15.75" customHeight="1" s="74">
      <c r="B240" s="13" t="n"/>
      <c r="C240" s="24" t="n"/>
      <c r="D240" s="25" t="n"/>
    </row>
    <row r="241" ht="15.75" customHeight="1" s="74">
      <c r="B241" s="13" t="n"/>
      <c r="C241" s="24" t="n"/>
      <c r="D241" s="25" t="n"/>
    </row>
    <row r="242" ht="15.75" customHeight="1" s="74">
      <c r="B242" s="13" t="n"/>
      <c r="C242" s="24" t="n"/>
      <c r="D242" s="25" t="n"/>
    </row>
    <row r="243" ht="15.75" customHeight="1" s="74">
      <c r="B243" s="13" t="n"/>
      <c r="C243" s="24" t="n"/>
      <c r="D243" s="25" t="n"/>
    </row>
    <row r="244" ht="15.75" customHeight="1" s="74">
      <c r="B244" s="13" t="n"/>
      <c r="C244" s="24" t="n"/>
      <c r="D244" s="25" t="n"/>
    </row>
    <row r="245" ht="15.75" customHeight="1" s="74">
      <c r="B245" s="13" t="n"/>
      <c r="C245" s="24" t="n"/>
      <c r="D245" s="25" t="n"/>
    </row>
    <row r="246" ht="15.75" customHeight="1" s="74">
      <c r="B246" s="13" t="n"/>
      <c r="C246" s="24" t="n"/>
      <c r="D246" s="25" t="n"/>
    </row>
    <row r="247" ht="15.75" customHeight="1" s="74">
      <c r="B247" s="13" t="n"/>
      <c r="C247" s="24" t="n"/>
      <c r="D247" s="25" t="n"/>
    </row>
    <row r="248" ht="15.75" customHeight="1" s="74">
      <c r="B248" s="13" t="n"/>
      <c r="C248" s="24" t="n"/>
      <c r="D248" s="25" t="n"/>
    </row>
    <row r="249" ht="15.75" customHeight="1" s="74">
      <c r="B249" s="13" t="n"/>
      <c r="C249" s="24" t="n"/>
      <c r="D249" s="25" t="n"/>
    </row>
    <row r="250" ht="15.75" customHeight="1" s="74">
      <c r="B250" s="13" t="n"/>
      <c r="C250" s="24" t="n"/>
      <c r="D250" s="25" t="n"/>
    </row>
    <row r="251" ht="15.75" customHeight="1" s="74">
      <c r="B251" s="13" t="n"/>
      <c r="C251" s="24" t="n"/>
      <c r="D251" s="25" t="n"/>
    </row>
    <row r="252" ht="15.75" customHeight="1" s="74">
      <c r="B252" s="13" t="n"/>
      <c r="C252" s="24" t="n"/>
      <c r="D252" s="25" t="n"/>
    </row>
    <row r="253" ht="15.75" customHeight="1" s="74">
      <c r="B253" s="13" t="n"/>
      <c r="C253" s="24" t="n"/>
      <c r="D253" s="25" t="n"/>
    </row>
    <row r="254" ht="15.75" customHeight="1" s="74">
      <c r="B254" s="13" t="n"/>
      <c r="C254" s="24" t="n"/>
      <c r="D254" s="25" t="n"/>
    </row>
    <row r="255" ht="15.75" customHeight="1" s="74">
      <c r="B255" s="13" t="n"/>
      <c r="C255" s="24" t="n"/>
      <c r="D255" s="25" t="n"/>
    </row>
    <row r="256" ht="15.75" customHeight="1" s="74">
      <c r="B256" s="13" t="n"/>
      <c r="C256" s="24" t="n"/>
      <c r="D256" s="25" t="n"/>
    </row>
    <row r="257" ht="15.75" customHeight="1" s="74">
      <c r="B257" s="13" t="n"/>
      <c r="C257" s="24" t="n"/>
      <c r="D257" s="25" t="n"/>
    </row>
    <row r="258" ht="15.75" customHeight="1" s="74">
      <c r="B258" s="13" t="n"/>
      <c r="C258" s="24" t="n"/>
      <c r="D258" s="25" t="n"/>
    </row>
    <row r="259" ht="15.75" customHeight="1" s="74">
      <c r="B259" s="13" t="n"/>
      <c r="C259" s="24" t="n"/>
      <c r="D259" s="25" t="n"/>
    </row>
    <row r="260" ht="15.75" customHeight="1" s="74">
      <c r="B260" s="13" t="n"/>
      <c r="C260" s="24" t="n"/>
      <c r="D260" s="25" t="n"/>
    </row>
    <row r="261" ht="15.75" customHeight="1" s="74">
      <c r="B261" s="13" t="n"/>
      <c r="C261" s="24" t="n"/>
      <c r="D261" s="25" t="n"/>
    </row>
    <row r="262" ht="15.75" customHeight="1" s="74">
      <c r="B262" s="13" t="n"/>
      <c r="C262" s="24" t="n"/>
      <c r="D262" s="25" t="n"/>
    </row>
    <row r="263" ht="15.75" customHeight="1" s="74">
      <c r="B263" s="13" t="n"/>
      <c r="C263" s="24" t="n"/>
      <c r="D263" s="25" t="n"/>
    </row>
    <row r="264" ht="15.75" customHeight="1" s="74">
      <c r="B264" s="13" t="n"/>
      <c r="C264" s="24" t="n"/>
      <c r="D264" s="25" t="n"/>
    </row>
    <row r="265" ht="15.75" customHeight="1" s="74">
      <c r="B265" s="13" t="n"/>
      <c r="C265" s="24" t="n"/>
      <c r="D265" s="25" t="n"/>
    </row>
    <row r="266" ht="15.75" customHeight="1" s="74">
      <c r="B266" s="13" t="n"/>
      <c r="C266" s="24" t="n"/>
      <c r="D266" s="25" t="n"/>
    </row>
    <row r="267" ht="15.75" customHeight="1" s="74">
      <c r="B267" s="13" t="n"/>
      <c r="C267" s="24" t="n"/>
      <c r="D267" s="25" t="n"/>
    </row>
    <row r="268" ht="15.75" customHeight="1" s="74">
      <c r="B268" s="13" t="n"/>
      <c r="C268" s="24" t="n"/>
      <c r="D268" s="25" t="n"/>
    </row>
    <row r="269" ht="15.75" customHeight="1" s="74">
      <c r="B269" s="13" t="n"/>
      <c r="C269" s="24" t="n"/>
      <c r="D269" s="25" t="n"/>
    </row>
    <row r="270" ht="15.75" customHeight="1" s="74">
      <c r="B270" s="13" t="n"/>
      <c r="C270" s="24" t="n"/>
      <c r="D270" s="25" t="n"/>
    </row>
    <row r="271" ht="15.75" customHeight="1" s="74">
      <c r="B271" s="13" t="n"/>
      <c r="C271" s="24" t="n"/>
      <c r="D271" s="25" t="n"/>
    </row>
    <row r="272" ht="15.75" customHeight="1" s="74">
      <c r="B272" s="13" t="n"/>
      <c r="C272" s="24" t="n"/>
      <c r="D272" s="25" t="n"/>
    </row>
    <row r="273" ht="15.75" customHeight="1" s="74">
      <c r="B273" s="13" t="n"/>
      <c r="C273" s="24" t="n"/>
      <c r="D273" s="25" t="n"/>
    </row>
    <row r="274" ht="15.75" customHeight="1" s="74">
      <c r="B274" s="13" t="n"/>
      <c r="C274" s="24" t="n"/>
      <c r="D274" s="25" t="n"/>
    </row>
    <row r="275" ht="15.75" customHeight="1" s="74">
      <c r="B275" s="13" t="n"/>
      <c r="C275" s="24" t="n"/>
      <c r="D275" s="25" t="n"/>
    </row>
    <row r="276" ht="15.75" customHeight="1" s="74">
      <c r="B276" s="13" t="n"/>
      <c r="C276" s="24" t="n"/>
      <c r="D276" s="25" t="n"/>
    </row>
    <row r="277" ht="15.75" customHeight="1" s="74">
      <c r="B277" s="13" t="n"/>
      <c r="C277" s="24" t="n"/>
      <c r="D277" s="25" t="n"/>
    </row>
    <row r="278" ht="15.75" customHeight="1" s="74">
      <c r="B278" s="13" t="n"/>
      <c r="C278" s="24" t="n"/>
      <c r="D278" s="25" t="n"/>
    </row>
    <row r="279" ht="15.75" customHeight="1" s="74">
      <c r="B279" s="13" t="n"/>
      <c r="C279" s="24" t="n"/>
      <c r="D279" s="25" t="n"/>
    </row>
    <row r="280" ht="15.75" customHeight="1" s="74">
      <c r="B280" s="13" t="n"/>
      <c r="C280" s="24" t="n"/>
      <c r="D280" s="25" t="n"/>
    </row>
    <row r="281" ht="15.75" customHeight="1" s="74">
      <c r="B281" s="13" t="n"/>
      <c r="C281" s="24" t="n"/>
      <c r="D281" s="25" t="n"/>
    </row>
    <row r="282" ht="15.75" customHeight="1" s="74">
      <c r="B282" s="13" t="n"/>
      <c r="C282" s="24" t="n"/>
      <c r="D282" s="25" t="n"/>
    </row>
    <row r="283" ht="15.75" customHeight="1" s="74">
      <c r="B283" s="13" t="n"/>
      <c r="C283" s="24" t="n"/>
      <c r="D283" s="25" t="n"/>
    </row>
    <row r="284" ht="15.75" customHeight="1" s="74">
      <c r="B284" s="13" t="n"/>
      <c r="C284" s="24" t="n"/>
      <c r="D284" s="25" t="n"/>
    </row>
    <row r="285" ht="15.75" customHeight="1" s="74">
      <c r="B285" s="13" t="n"/>
      <c r="C285" s="24" t="n"/>
      <c r="D285" s="25" t="n"/>
    </row>
    <row r="286" ht="15.75" customHeight="1" s="74">
      <c r="B286" s="13" t="n"/>
      <c r="C286" s="24" t="n"/>
      <c r="D286" s="25" t="n"/>
    </row>
    <row r="287" ht="15.75" customHeight="1" s="74">
      <c r="B287" s="13" t="n"/>
      <c r="C287" s="24" t="n"/>
      <c r="D287" s="25" t="n"/>
    </row>
    <row r="288" ht="15.75" customHeight="1" s="74">
      <c r="B288" s="13" t="n"/>
      <c r="C288" s="24" t="n"/>
      <c r="D288" s="25" t="n"/>
    </row>
    <row r="289" ht="15.75" customHeight="1" s="74">
      <c r="B289" s="13" t="n"/>
      <c r="C289" s="24" t="n"/>
      <c r="D289" s="25" t="n"/>
    </row>
    <row r="290" ht="15.75" customHeight="1" s="74">
      <c r="B290" s="13" t="n"/>
      <c r="C290" s="24" t="n"/>
      <c r="D290" s="25" t="n"/>
    </row>
    <row r="291" ht="15.75" customHeight="1" s="74">
      <c r="B291" s="13" t="n"/>
      <c r="C291" s="24" t="n"/>
      <c r="D291" s="25" t="n"/>
    </row>
    <row r="292" ht="15.75" customHeight="1" s="74">
      <c r="B292" s="13" t="n"/>
      <c r="C292" s="24" t="n"/>
      <c r="D292" s="25" t="n"/>
    </row>
    <row r="293" ht="15.75" customHeight="1" s="74">
      <c r="B293" s="13" t="n"/>
      <c r="C293" s="24" t="n"/>
      <c r="D293" s="25" t="n"/>
    </row>
    <row r="294" ht="15.75" customHeight="1" s="74">
      <c r="B294" s="13" t="n"/>
      <c r="C294" s="24" t="n"/>
      <c r="D294" s="25" t="n"/>
    </row>
    <row r="295" ht="15.75" customHeight="1" s="74">
      <c r="B295" s="13" t="n"/>
      <c r="C295" s="24" t="n"/>
      <c r="D295" s="25" t="n"/>
    </row>
    <row r="296" ht="15.75" customHeight="1" s="74">
      <c r="B296" s="13" t="n"/>
      <c r="C296" s="24" t="n"/>
      <c r="D296" s="25" t="n"/>
    </row>
    <row r="297" ht="15.75" customHeight="1" s="74">
      <c r="B297" s="13" t="n"/>
      <c r="C297" s="24" t="n"/>
      <c r="D297" s="25" t="n"/>
    </row>
    <row r="298" ht="15.75" customHeight="1" s="74">
      <c r="B298" s="13" t="n"/>
      <c r="C298" s="24" t="n"/>
      <c r="D298" s="25" t="n"/>
    </row>
    <row r="299" ht="15.75" customHeight="1" s="74">
      <c r="B299" s="13" t="n"/>
      <c r="C299" s="24" t="n"/>
      <c r="D299" s="25" t="n"/>
    </row>
    <row r="300" ht="15.75" customHeight="1" s="74">
      <c r="B300" s="13" t="n"/>
      <c r="C300" s="24" t="n"/>
      <c r="D300" s="25" t="n"/>
    </row>
    <row r="301" ht="15.75" customHeight="1" s="74">
      <c r="B301" s="13" t="n"/>
      <c r="C301" s="24" t="n"/>
      <c r="D301" s="25" t="n"/>
    </row>
    <row r="302" ht="15.75" customHeight="1" s="74">
      <c r="B302" s="13" t="n"/>
      <c r="C302" s="24" t="n"/>
      <c r="D302" s="25" t="n"/>
    </row>
    <row r="303" ht="15.75" customHeight="1" s="74">
      <c r="B303" s="13" t="n"/>
      <c r="C303" s="24" t="n"/>
      <c r="D303" s="25" t="n"/>
    </row>
    <row r="304" ht="15.75" customHeight="1" s="74">
      <c r="B304" s="13" t="n"/>
      <c r="C304" s="24" t="n"/>
      <c r="D304" s="25" t="n"/>
    </row>
    <row r="305" ht="15.75" customHeight="1" s="74">
      <c r="B305" s="13" t="n"/>
      <c r="C305" s="24" t="n"/>
      <c r="D305" s="25" t="n"/>
    </row>
    <row r="306" ht="15.75" customHeight="1" s="74">
      <c r="B306" s="13" t="n"/>
      <c r="C306" s="24" t="n"/>
      <c r="D306" s="25" t="n"/>
    </row>
    <row r="307" ht="15.75" customHeight="1" s="74">
      <c r="B307" s="13" t="n"/>
      <c r="C307" s="24" t="n"/>
      <c r="D307" s="25" t="n"/>
    </row>
    <row r="308" ht="15.75" customHeight="1" s="74">
      <c r="B308" s="13" t="n"/>
      <c r="C308" s="24" t="n"/>
      <c r="D308" s="25" t="n"/>
    </row>
    <row r="309" ht="15.75" customHeight="1" s="74">
      <c r="B309" s="13" t="n"/>
      <c r="C309" s="24" t="n"/>
      <c r="D309" s="25" t="n"/>
    </row>
    <row r="310" ht="15.75" customHeight="1" s="74">
      <c r="B310" s="13" t="n"/>
      <c r="C310" s="24" t="n"/>
      <c r="D310" s="25" t="n"/>
    </row>
    <row r="311" ht="15.75" customHeight="1" s="74">
      <c r="B311" s="13" t="n"/>
      <c r="C311" s="24" t="n"/>
      <c r="D311" s="25" t="n"/>
    </row>
    <row r="312" ht="15.75" customHeight="1" s="74">
      <c r="B312" s="13" t="n"/>
      <c r="C312" s="24" t="n"/>
      <c r="D312" s="25" t="n"/>
    </row>
    <row r="313" ht="15.75" customHeight="1" s="74">
      <c r="B313" s="13" t="n"/>
      <c r="C313" s="24" t="n"/>
      <c r="D313" s="25" t="n"/>
    </row>
    <row r="314" ht="15.75" customHeight="1" s="74">
      <c r="B314" s="13" t="n"/>
      <c r="C314" s="24" t="n"/>
      <c r="D314" s="25" t="n"/>
    </row>
    <row r="315" ht="15.75" customHeight="1" s="74">
      <c r="B315" s="13" t="n"/>
      <c r="C315" s="24" t="n"/>
      <c r="D315" s="25" t="n"/>
    </row>
    <row r="316" ht="15.75" customHeight="1" s="74">
      <c r="B316" s="13" t="n"/>
      <c r="C316" s="24" t="n"/>
      <c r="D316" s="25" t="n"/>
    </row>
    <row r="317" ht="15.75" customHeight="1" s="74">
      <c r="B317" s="13" t="n"/>
      <c r="C317" s="24" t="n"/>
      <c r="D317" s="25" t="n"/>
    </row>
    <row r="318" ht="15.75" customHeight="1" s="74">
      <c r="B318" s="13" t="n"/>
      <c r="C318" s="24" t="n"/>
      <c r="D318" s="25" t="n"/>
    </row>
    <row r="319" ht="15.75" customHeight="1" s="74">
      <c r="B319" s="13" t="n"/>
      <c r="C319" s="24" t="n"/>
      <c r="D319" s="25" t="n"/>
    </row>
    <row r="320" ht="15.75" customHeight="1" s="74">
      <c r="B320" s="13" t="n"/>
      <c r="C320" s="24" t="n"/>
      <c r="D320" s="25" t="n"/>
    </row>
    <row r="321" ht="15.75" customHeight="1" s="74">
      <c r="B321" s="13" t="n"/>
      <c r="C321" s="24" t="n"/>
      <c r="D321" s="25" t="n"/>
    </row>
    <row r="322" ht="15.75" customHeight="1" s="74">
      <c r="B322" s="13" t="n"/>
      <c r="C322" s="24" t="n"/>
      <c r="D322" s="25" t="n"/>
    </row>
    <row r="323" ht="15.75" customHeight="1" s="74">
      <c r="B323" s="13" t="n"/>
      <c r="C323" s="24" t="n"/>
      <c r="D323" s="25" t="n"/>
    </row>
    <row r="324" ht="15.75" customHeight="1" s="74">
      <c r="B324" s="13" t="n"/>
      <c r="C324" s="24" t="n"/>
      <c r="D324" s="25" t="n"/>
    </row>
    <row r="325" ht="15.75" customHeight="1" s="74">
      <c r="B325" s="13" t="n"/>
      <c r="C325" s="24" t="n"/>
      <c r="D325" s="25" t="n"/>
    </row>
    <row r="326" ht="15.75" customHeight="1" s="74">
      <c r="B326" s="13" t="n"/>
      <c r="C326" s="24" t="n"/>
      <c r="D326" s="25" t="n"/>
    </row>
    <row r="327" ht="15.75" customHeight="1" s="74">
      <c r="B327" s="13" t="n"/>
      <c r="C327" s="24" t="n"/>
      <c r="D327" s="25" t="n"/>
    </row>
    <row r="328" ht="15.75" customHeight="1" s="74">
      <c r="B328" s="13" t="n"/>
      <c r="C328" s="24" t="n"/>
      <c r="D328" s="25" t="n"/>
    </row>
    <row r="329" ht="15.75" customHeight="1" s="74">
      <c r="B329" s="13" t="n"/>
      <c r="C329" s="24" t="n"/>
      <c r="D329" s="25" t="n"/>
    </row>
    <row r="330" ht="15.75" customHeight="1" s="74">
      <c r="B330" s="13" t="n"/>
      <c r="C330" s="24" t="n"/>
      <c r="D330" s="25" t="n"/>
    </row>
    <row r="331" ht="15.75" customHeight="1" s="74">
      <c r="B331" s="13" t="n"/>
      <c r="C331" s="24" t="n"/>
      <c r="D331" s="25" t="n"/>
    </row>
    <row r="332" ht="15.75" customHeight="1" s="74">
      <c r="B332" s="13" t="n"/>
      <c r="C332" s="24" t="n"/>
      <c r="D332" s="25" t="n"/>
    </row>
    <row r="333" ht="15.75" customHeight="1" s="74">
      <c r="B333" s="13" t="n"/>
      <c r="C333" s="24" t="n"/>
      <c r="D333" s="25" t="n"/>
    </row>
    <row r="334" ht="15.75" customHeight="1" s="74">
      <c r="B334" s="13" t="n"/>
      <c r="C334" s="24" t="n"/>
      <c r="D334" s="25" t="n"/>
    </row>
    <row r="335" ht="15.75" customHeight="1" s="74">
      <c r="B335" s="13" t="n"/>
      <c r="C335" s="24" t="n"/>
      <c r="D335" s="25" t="n"/>
    </row>
    <row r="336" ht="15.75" customHeight="1" s="74">
      <c r="B336" s="13" t="n"/>
      <c r="C336" s="24" t="n"/>
      <c r="D336" s="25" t="n"/>
    </row>
    <row r="337" ht="15.75" customHeight="1" s="74">
      <c r="B337" s="13" t="n"/>
      <c r="C337" s="24" t="n"/>
      <c r="D337" s="25" t="n"/>
    </row>
    <row r="338" ht="15.75" customHeight="1" s="74">
      <c r="B338" s="13" t="n"/>
      <c r="C338" s="24" t="n"/>
      <c r="D338" s="25" t="n"/>
    </row>
    <row r="339" ht="15.75" customHeight="1" s="74">
      <c r="B339" s="13" t="n"/>
      <c r="C339" s="24" t="n"/>
      <c r="D339" s="25" t="n"/>
    </row>
    <row r="340" ht="15.75" customHeight="1" s="74">
      <c r="B340" s="13" t="n"/>
      <c r="C340" s="24" t="n"/>
      <c r="D340" s="25" t="n"/>
    </row>
    <row r="341" ht="15.75" customHeight="1" s="74">
      <c r="B341" s="13" t="n"/>
      <c r="C341" s="24" t="n"/>
      <c r="D341" s="25" t="n"/>
    </row>
    <row r="342" ht="15.75" customHeight="1" s="74">
      <c r="B342" s="13" t="n"/>
      <c r="C342" s="24" t="n"/>
      <c r="D342" s="25" t="n"/>
    </row>
    <row r="343" ht="15.75" customHeight="1" s="74">
      <c r="B343" s="13" t="n"/>
      <c r="C343" s="24" t="n"/>
      <c r="D343" s="25" t="n"/>
    </row>
    <row r="344" ht="15.75" customHeight="1" s="74">
      <c r="B344" s="13" t="n"/>
      <c r="C344" s="24" t="n"/>
      <c r="D344" s="25" t="n"/>
    </row>
    <row r="345" ht="15.75" customHeight="1" s="74">
      <c r="B345" s="13" t="n"/>
      <c r="C345" s="24" t="n"/>
      <c r="D345" s="25" t="n"/>
    </row>
    <row r="346" ht="15.75" customHeight="1" s="74">
      <c r="B346" s="13" t="n"/>
      <c r="C346" s="24" t="n"/>
      <c r="D346" s="25" t="n"/>
    </row>
    <row r="347" ht="15.75" customHeight="1" s="74">
      <c r="B347" s="13" t="n"/>
      <c r="C347" s="24" t="n"/>
      <c r="D347" s="25" t="n"/>
    </row>
    <row r="348" ht="15.75" customHeight="1" s="74">
      <c r="B348" s="13" t="n"/>
      <c r="C348" s="24" t="n"/>
      <c r="D348" s="25" t="n"/>
    </row>
    <row r="349" ht="15.75" customHeight="1" s="74">
      <c r="B349" s="13" t="n"/>
      <c r="C349" s="24" t="n"/>
      <c r="D349" s="25" t="n"/>
    </row>
    <row r="350" ht="15.75" customHeight="1" s="74">
      <c r="B350" s="13" t="n"/>
      <c r="C350" s="24" t="n"/>
      <c r="D350" s="25" t="n"/>
    </row>
    <row r="351" ht="15.75" customHeight="1" s="74">
      <c r="B351" s="13" t="n"/>
      <c r="C351" s="24" t="n"/>
      <c r="D351" s="25" t="n"/>
    </row>
    <row r="352" ht="15.75" customHeight="1" s="74">
      <c r="B352" s="13" t="n"/>
      <c r="C352" s="24" t="n"/>
      <c r="D352" s="25" t="n"/>
    </row>
    <row r="353" ht="15.75" customHeight="1" s="74">
      <c r="B353" s="13" t="n"/>
      <c r="C353" s="24" t="n"/>
      <c r="D353" s="25" t="n"/>
    </row>
    <row r="354" ht="15.75" customHeight="1" s="74">
      <c r="B354" s="13" t="n"/>
      <c r="C354" s="24" t="n"/>
      <c r="D354" s="25" t="n"/>
    </row>
    <row r="355" ht="15.75" customHeight="1" s="74">
      <c r="B355" s="13" t="n"/>
      <c r="C355" s="24" t="n"/>
      <c r="D355" s="25" t="n"/>
    </row>
    <row r="356" ht="15.75" customHeight="1" s="74">
      <c r="B356" s="13" t="n"/>
      <c r="C356" s="24" t="n"/>
      <c r="D356" s="25" t="n"/>
    </row>
    <row r="357" ht="15.75" customHeight="1" s="74">
      <c r="B357" s="13" t="n"/>
      <c r="C357" s="24" t="n"/>
      <c r="D357" s="25" t="n"/>
    </row>
    <row r="358" ht="15.75" customHeight="1" s="74">
      <c r="B358" s="13" t="n"/>
      <c r="C358" s="24" t="n"/>
      <c r="D358" s="25" t="n"/>
    </row>
    <row r="359" ht="15.75" customHeight="1" s="74">
      <c r="B359" s="13" t="n"/>
      <c r="C359" s="24" t="n"/>
      <c r="D359" s="25" t="n"/>
    </row>
    <row r="360" ht="15.75" customHeight="1" s="74">
      <c r="B360" s="13" t="n"/>
      <c r="C360" s="24" t="n"/>
      <c r="D360" s="25" t="n"/>
    </row>
    <row r="361" ht="15.75" customHeight="1" s="74">
      <c r="B361" s="13" t="n"/>
      <c r="C361" s="24" t="n"/>
      <c r="D361" s="25" t="n"/>
    </row>
    <row r="362" ht="15.75" customHeight="1" s="74">
      <c r="B362" s="13" t="n"/>
      <c r="C362" s="24" t="n"/>
      <c r="D362" s="25" t="n"/>
    </row>
    <row r="363" ht="15.75" customHeight="1" s="74">
      <c r="B363" s="13" t="n"/>
      <c r="C363" s="24" t="n"/>
      <c r="D363" s="25" t="n"/>
    </row>
    <row r="364" ht="15.75" customHeight="1" s="74">
      <c r="B364" s="13" t="n"/>
      <c r="C364" s="24" t="n"/>
      <c r="D364" s="25" t="n"/>
    </row>
    <row r="365" ht="15.75" customHeight="1" s="74">
      <c r="B365" s="13" t="n"/>
      <c r="C365" s="24" t="n"/>
      <c r="D365" s="25" t="n"/>
    </row>
    <row r="366" ht="15.75" customHeight="1" s="74">
      <c r="B366" s="13" t="n"/>
      <c r="C366" s="24" t="n"/>
      <c r="D366" s="25" t="n"/>
    </row>
    <row r="367" ht="15.75" customHeight="1" s="74">
      <c r="B367" s="13" t="n"/>
      <c r="C367" s="24" t="n"/>
      <c r="D367" s="25" t="n"/>
    </row>
    <row r="368" ht="15.75" customHeight="1" s="74">
      <c r="B368" s="13" t="n"/>
      <c r="C368" s="24" t="n"/>
      <c r="D368" s="25" t="n"/>
    </row>
    <row r="369" ht="15.75" customHeight="1" s="74">
      <c r="B369" s="13" t="n"/>
      <c r="C369" s="24" t="n"/>
      <c r="D369" s="25" t="n"/>
    </row>
    <row r="370" ht="15.75" customHeight="1" s="74">
      <c r="B370" s="13" t="n"/>
      <c r="C370" s="24" t="n"/>
      <c r="D370" s="25" t="n"/>
    </row>
    <row r="371" ht="15.75" customHeight="1" s="74">
      <c r="B371" s="13" t="n"/>
      <c r="C371" s="24" t="n"/>
      <c r="D371" s="25" t="n"/>
    </row>
    <row r="372" ht="15.75" customHeight="1" s="74">
      <c r="B372" s="13" t="n"/>
      <c r="C372" s="24" t="n"/>
      <c r="D372" s="25" t="n"/>
    </row>
    <row r="373" ht="15.75" customHeight="1" s="74">
      <c r="B373" s="13" t="n"/>
      <c r="C373" s="24" t="n"/>
      <c r="D373" s="25" t="n"/>
    </row>
    <row r="374" ht="15.75" customHeight="1" s="74">
      <c r="B374" s="13" t="n"/>
      <c r="C374" s="24" t="n"/>
      <c r="D374" s="25" t="n"/>
    </row>
    <row r="375" ht="15.75" customHeight="1" s="74">
      <c r="B375" s="13" t="n"/>
      <c r="C375" s="24" t="n"/>
      <c r="D375" s="25" t="n"/>
    </row>
    <row r="376" ht="15.75" customHeight="1" s="74">
      <c r="B376" s="13" t="n"/>
      <c r="C376" s="24" t="n"/>
      <c r="D376" s="25" t="n"/>
    </row>
    <row r="377" ht="15.75" customHeight="1" s="74">
      <c r="B377" s="13" t="n"/>
      <c r="C377" s="24" t="n"/>
      <c r="D377" s="25" t="n"/>
    </row>
    <row r="378" ht="15.75" customHeight="1" s="74">
      <c r="B378" s="13" t="n"/>
      <c r="C378" s="24" t="n"/>
      <c r="D378" s="25" t="n"/>
    </row>
    <row r="379" ht="15.75" customHeight="1" s="74">
      <c r="B379" s="13" t="n"/>
      <c r="C379" s="24" t="n"/>
      <c r="D379" s="25" t="n"/>
    </row>
    <row r="380" ht="15.75" customHeight="1" s="74">
      <c r="B380" s="13" t="n"/>
      <c r="C380" s="24" t="n"/>
      <c r="D380" s="25" t="n"/>
    </row>
    <row r="381" ht="15.75" customHeight="1" s="74">
      <c r="B381" s="13" t="n"/>
      <c r="C381" s="24" t="n"/>
      <c r="D381" s="25" t="n"/>
    </row>
    <row r="382" ht="15.75" customHeight="1" s="74">
      <c r="B382" s="13" t="n"/>
      <c r="C382" s="24" t="n"/>
      <c r="D382" s="25" t="n"/>
    </row>
    <row r="383" ht="15.75" customHeight="1" s="74">
      <c r="B383" s="13" t="n"/>
      <c r="C383" s="24" t="n"/>
      <c r="D383" s="25" t="n"/>
    </row>
    <row r="384" ht="15.75" customHeight="1" s="74">
      <c r="B384" s="13" t="n"/>
      <c r="C384" s="24" t="n"/>
      <c r="D384" s="25" t="n"/>
    </row>
    <row r="385" ht="15.75" customHeight="1" s="74">
      <c r="B385" s="13" t="n"/>
      <c r="C385" s="24" t="n"/>
      <c r="D385" s="25" t="n"/>
    </row>
    <row r="386" ht="15.75" customHeight="1" s="74">
      <c r="B386" s="13" t="n"/>
      <c r="C386" s="24" t="n"/>
      <c r="D386" s="25" t="n"/>
    </row>
    <row r="387" ht="15.75" customHeight="1" s="74">
      <c r="B387" s="13" t="n"/>
      <c r="C387" s="24" t="n"/>
      <c r="D387" s="25" t="n"/>
    </row>
    <row r="388" ht="15.75" customHeight="1" s="74">
      <c r="B388" s="13" t="n"/>
      <c r="C388" s="24" t="n"/>
      <c r="D388" s="25" t="n"/>
    </row>
    <row r="389" ht="15.75" customHeight="1" s="74">
      <c r="B389" s="13" t="n"/>
      <c r="C389" s="24" t="n"/>
      <c r="D389" s="25" t="n"/>
    </row>
    <row r="390" ht="15.75" customHeight="1" s="74">
      <c r="B390" s="13" t="n"/>
      <c r="C390" s="24" t="n"/>
      <c r="D390" s="25" t="n"/>
    </row>
    <row r="391" ht="15.75" customHeight="1" s="74">
      <c r="B391" s="13" t="n"/>
      <c r="C391" s="24" t="n"/>
      <c r="D391" s="25" t="n"/>
    </row>
    <row r="392" ht="15.75" customHeight="1" s="74">
      <c r="B392" s="13" t="n"/>
      <c r="C392" s="24" t="n"/>
      <c r="D392" s="25" t="n"/>
    </row>
    <row r="393" ht="15.75" customHeight="1" s="74">
      <c r="B393" s="13" t="n"/>
      <c r="C393" s="24" t="n"/>
      <c r="D393" s="25" t="n"/>
    </row>
    <row r="394" ht="15.75" customHeight="1" s="74">
      <c r="B394" s="13" t="n"/>
      <c r="C394" s="24" t="n"/>
      <c r="D394" s="25" t="n"/>
    </row>
    <row r="395" ht="15.75" customHeight="1" s="74">
      <c r="B395" s="13" t="n"/>
      <c r="C395" s="24" t="n"/>
      <c r="D395" s="25" t="n"/>
    </row>
    <row r="396" ht="15.75" customHeight="1" s="74">
      <c r="B396" s="13" t="n"/>
      <c r="C396" s="24" t="n"/>
      <c r="D396" s="25" t="n"/>
    </row>
    <row r="397" ht="15.75" customHeight="1" s="74">
      <c r="B397" s="13" t="n"/>
      <c r="C397" s="24" t="n"/>
      <c r="D397" s="25" t="n"/>
    </row>
    <row r="398" ht="15.75" customHeight="1" s="74">
      <c r="B398" s="13" t="n"/>
      <c r="C398" s="24" t="n"/>
      <c r="D398" s="25" t="n"/>
    </row>
    <row r="399" ht="15.75" customHeight="1" s="74">
      <c r="B399" s="13" t="n"/>
      <c r="C399" s="24" t="n"/>
      <c r="D399" s="25" t="n"/>
    </row>
    <row r="400" ht="15.75" customHeight="1" s="74">
      <c r="B400" s="13" t="n"/>
      <c r="C400" s="24" t="n"/>
      <c r="D400" s="25" t="n"/>
    </row>
    <row r="401" ht="15.75" customHeight="1" s="74">
      <c r="B401" s="13" t="n"/>
      <c r="C401" s="24" t="n"/>
      <c r="D401" s="25" t="n"/>
    </row>
    <row r="402" ht="15.75" customHeight="1" s="74">
      <c r="B402" s="13" t="n"/>
      <c r="C402" s="24" t="n"/>
      <c r="D402" s="25" t="n"/>
    </row>
    <row r="403" ht="15.75" customHeight="1" s="74">
      <c r="B403" s="13" t="n"/>
      <c r="C403" s="24" t="n"/>
      <c r="D403" s="25" t="n"/>
    </row>
    <row r="404" ht="15.75" customHeight="1" s="74">
      <c r="B404" s="13" t="n"/>
      <c r="C404" s="24" t="n"/>
      <c r="D404" s="25" t="n"/>
    </row>
    <row r="405" ht="15.75" customHeight="1" s="74">
      <c r="B405" s="13" t="n"/>
      <c r="C405" s="24" t="n"/>
      <c r="D405" s="25" t="n"/>
    </row>
    <row r="406" ht="15.75" customHeight="1" s="74">
      <c r="B406" s="13" t="n"/>
      <c r="C406" s="24" t="n"/>
      <c r="D406" s="25" t="n"/>
    </row>
    <row r="407" ht="15.75" customHeight="1" s="74">
      <c r="B407" s="13" t="n"/>
      <c r="C407" s="24" t="n"/>
      <c r="D407" s="25" t="n"/>
    </row>
    <row r="408" ht="15.75" customHeight="1" s="74">
      <c r="B408" s="13" t="n"/>
      <c r="C408" s="24" t="n"/>
      <c r="D408" s="25" t="n"/>
    </row>
    <row r="409" ht="15.75" customHeight="1" s="74">
      <c r="B409" s="13" t="n"/>
      <c r="C409" s="24" t="n"/>
      <c r="D409" s="25" t="n"/>
    </row>
    <row r="410" ht="15.75" customHeight="1" s="74">
      <c r="B410" s="13" t="n"/>
      <c r="C410" s="24" t="n"/>
      <c r="D410" s="25" t="n"/>
    </row>
    <row r="411" ht="15.75" customHeight="1" s="74">
      <c r="B411" s="13" t="n"/>
      <c r="C411" s="24" t="n"/>
      <c r="D411" s="25" t="n"/>
    </row>
    <row r="412" ht="15.75" customHeight="1" s="74">
      <c r="B412" s="13" t="n"/>
      <c r="C412" s="24" t="n"/>
      <c r="D412" s="25" t="n"/>
    </row>
    <row r="413" ht="15.75" customHeight="1" s="74">
      <c r="B413" s="13" t="n"/>
      <c r="C413" s="24" t="n"/>
      <c r="D413" s="25" t="n"/>
    </row>
    <row r="414" ht="15.75" customHeight="1" s="74">
      <c r="B414" s="13" t="n"/>
      <c r="C414" s="24" t="n"/>
      <c r="D414" s="25" t="n"/>
    </row>
    <row r="415" ht="15.75" customHeight="1" s="74">
      <c r="B415" s="13" t="n"/>
      <c r="C415" s="24" t="n"/>
      <c r="D415" s="25" t="n"/>
    </row>
    <row r="416" ht="15.75" customHeight="1" s="74">
      <c r="B416" s="13" t="n"/>
      <c r="C416" s="24" t="n"/>
      <c r="D416" s="25" t="n"/>
    </row>
    <row r="417" ht="15.75" customHeight="1" s="74">
      <c r="B417" s="13" t="n"/>
      <c r="C417" s="24" t="n"/>
      <c r="D417" s="25" t="n"/>
    </row>
    <row r="418" ht="15.75" customHeight="1" s="74">
      <c r="B418" s="13" t="n"/>
      <c r="C418" s="24" t="n"/>
      <c r="D418" s="25" t="n"/>
    </row>
    <row r="419" ht="15.75" customHeight="1" s="74">
      <c r="B419" s="13" t="n"/>
      <c r="C419" s="24" t="n"/>
      <c r="D419" s="25" t="n"/>
    </row>
    <row r="420" ht="15.75" customHeight="1" s="74">
      <c r="B420" s="13" t="n"/>
      <c r="C420" s="24" t="n"/>
      <c r="D420" s="25" t="n"/>
    </row>
    <row r="421" ht="15.75" customHeight="1" s="74">
      <c r="B421" s="13" t="n"/>
      <c r="C421" s="24" t="n"/>
      <c r="D421" s="25" t="n"/>
    </row>
    <row r="422" ht="15.75" customHeight="1" s="74">
      <c r="B422" s="13" t="n"/>
      <c r="C422" s="24" t="n"/>
      <c r="D422" s="25" t="n"/>
    </row>
    <row r="423" ht="15.75" customHeight="1" s="74">
      <c r="B423" s="13" t="n"/>
      <c r="C423" s="24" t="n"/>
      <c r="D423" s="25" t="n"/>
    </row>
    <row r="424" ht="15.75" customHeight="1" s="74">
      <c r="B424" s="13" t="n"/>
      <c r="C424" s="24" t="n"/>
      <c r="D424" s="25" t="n"/>
    </row>
    <row r="425" ht="15.75" customHeight="1" s="74">
      <c r="B425" s="13" t="n"/>
      <c r="C425" s="24" t="n"/>
      <c r="D425" s="25" t="n"/>
    </row>
    <row r="426" ht="15.75" customHeight="1" s="74">
      <c r="B426" s="13" t="n"/>
      <c r="C426" s="24" t="n"/>
      <c r="D426" s="25" t="n"/>
    </row>
    <row r="427" ht="15.75" customHeight="1" s="74">
      <c r="B427" s="13" t="n"/>
      <c r="C427" s="24" t="n"/>
      <c r="D427" s="25" t="n"/>
    </row>
    <row r="428" ht="15.75" customHeight="1" s="74">
      <c r="B428" s="13" t="n"/>
      <c r="C428" s="24" t="n"/>
      <c r="D428" s="25" t="n"/>
    </row>
    <row r="429" ht="15.75" customHeight="1" s="74">
      <c r="B429" s="13" t="n"/>
      <c r="C429" s="24" t="n"/>
      <c r="D429" s="25" t="n"/>
    </row>
    <row r="430" ht="15.75" customHeight="1" s="74">
      <c r="B430" s="13" t="n"/>
      <c r="C430" s="24" t="n"/>
      <c r="D430" s="25" t="n"/>
    </row>
    <row r="431" ht="15.75" customHeight="1" s="74">
      <c r="B431" s="13" t="n"/>
      <c r="C431" s="24" t="n"/>
      <c r="D431" s="25" t="n"/>
    </row>
    <row r="432" ht="15.75" customHeight="1" s="74">
      <c r="B432" s="13" t="n"/>
      <c r="C432" s="24" t="n"/>
      <c r="D432" s="25" t="n"/>
    </row>
    <row r="433" ht="15.75" customHeight="1" s="74">
      <c r="B433" s="13" t="n"/>
      <c r="C433" s="24" t="n"/>
      <c r="D433" s="25" t="n"/>
    </row>
    <row r="434" ht="15.75" customHeight="1" s="74">
      <c r="B434" s="13" t="n"/>
      <c r="C434" s="24" t="n"/>
      <c r="D434" s="25" t="n"/>
    </row>
    <row r="435" ht="15.75" customHeight="1" s="74">
      <c r="B435" s="13" t="n"/>
      <c r="C435" s="24" t="n"/>
      <c r="D435" s="25" t="n"/>
    </row>
    <row r="436" ht="15.75" customHeight="1" s="74">
      <c r="B436" s="13" t="n"/>
      <c r="C436" s="24" t="n"/>
      <c r="D436" s="25" t="n"/>
    </row>
    <row r="437" ht="15.75" customHeight="1" s="74">
      <c r="B437" s="13" t="n"/>
      <c r="C437" s="24" t="n"/>
      <c r="D437" s="25" t="n"/>
    </row>
    <row r="438" ht="15.75" customHeight="1" s="74">
      <c r="B438" s="13" t="n"/>
      <c r="C438" s="24" t="n"/>
      <c r="D438" s="25" t="n"/>
    </row>
    <row r="439" ht="15.75" customHeight="1" s="74">
      <c r="B439" s="13" t="n"/>
      <c r="C439" s="24" t="n"/>
      <c r="D439" s="25" t="n"/>
    </row>
    <row r="440" ht="15.75" customHeight="1" s="74">
      <c r="B440" s="13" t="n"/>
      <c r="C440" s="24" t="n"/>
      <c r="D440" s="25" t="n"/>
    </row>
    <row r="441" ht="15.75" customHeight="1" s="74">
      <c r="B441" s="13" t="n"/>
      <c r="C441" s="24" t="n"/>
      <c r="D441" s="25" t="n"/>
    </row>
    <row r="442" ht="15.75" customHeight="1" s="74">
      <c r="B442" s="13" t="n"/>
      <c r="C442" s="24" t="n"/>
      <c r="D442" s="25" t="n"/>
    </row>
    <row r="443" ht="15.75" customHeight="1" s="74">
      <c r="B443" s="13" t="n"/>
      <c r="C443" s="24" t="n"/>
      <c r="D443" s="25" t="n"/>
    </row>
    <row r="444" ht="15.75" customHeight="1" s="74">
      <c r="B444" s="13" t="n"/>
      <c r="C444" s="24" t="n"/>
      <c r="D444" s="25" t="n"/>
    </row>
    <row r="445" ht="15.75" customHeight="1" s="74">
      <c r="B445" s="13" t="n"/>
      <c r="C445" s="24" t="n"/>
      <c r="D445" s="25" t="n"/>
    </row>
    <row r="446" ht="15.75" customHeight="1" s="74">
      <c r="B446" s="13" t="n"/>
      <c r="C446" s="24" t="n"/>
      <c r="D446" s="25" t="n"/>
    </row>
    <row r="447" ht="15.75" customHeight="1" s="74">
      <c r="B447" s="13" t="n"/>
      <c r="C447" s="24" t="n"/>
      <c r="D447" s="25" t="n"/>
    </row>
    <row r="448" ht="15.75" customHeight="1" s="74">
      <c r="B448" s="13" t="n"/>
      <c r="C448" s="24" t="n"/>
      <c r="D448" s="25" t="n"/>
    </row>
    <row r="449" ht="15.75" customHeight="1" s="74">
      <c r="B449" s="13" t="n"/>
      <c r="C449" s="24" t="n"/>
      <c r="D449" s="25" t="n"/>
    </row>
    <row r="450" ht="15.75" customHeight="1" s="74">
      <c r="B450" s="13" t="n"/>
      <c r="C450" s="24" t="n"/>
      <c r="D450" s="25" t="n"/>
    </row>
    <row r="451" ht="15.75" customHeight="1" s="74">
      <c r="B451" s="13" t="n"/>
      <c r="C451" s="24" t="n"/>
      <c r="D451" s="25" t="n"/>
    </row>
    <row r="452" ht="15.75" customHeight="1" s="74">
      <c r="B452" s="13" t="n"/>
      <c r="C452" s="24" t="n"/>
      <c r="D452" s="25" t="n"/>
    </row>
    <row r="453" ht="15.75" customHeight="1" s="74">
      <c r="B453" s="13" t="n"/>
      <c r="C453" s="24" t="n"/>
      <c r="D453" s="25" t="n"/>
    </row>
    <row r="454" ht="15.75" customHeight="1" s="74">
      <c r="B454" s="13" t="n"/>
      <c r="C454" s="24" t="n"/>
      <c r="D454" s="25" t="n"/>
    </row>
    <row r="455" ht="15.75" customHeight="1" s="74">
      <c r="B455" s="13" t="n"/>
      <c r="C455" s="24" t="n"/>
      <c r="D455" s="25" t="n"/>
    </row>
    <row r="456" ht="15.75" customHeight="1" s="74">
      <c r="B456" s="13" t="n"/>
      <c r="C456" s="24" t="n"/>
      <c r="D456" s="25" t="n"/>
    </row>
    <row r="457" ht="15.75" customHeight="1" s="74">
      <c r="B457" s="13" t="n"/>
      <c r="C457" s="24" t="n"/>
      <c r="D457" s="25" t="n"/>
    </row>
    <row r="458" ht="15.75" customHeight="1" s="74">
      <c r="B458" s="13" t="n"/>
      <c r="C458" s="24" t="n"/>
      <c r="D458" s="25" t="n"/>
    </row>
    <row r="459" ht="15.75" customHeight="1" s="74">
      <c r="B459" s="13" t="n"/>
      <c r="C459" s="24" t="n"/>
      <c r="D459" s="25" t="n"/>
    </row>
    <row r="460" ht="15.75" customHeight="1" s="74">
      <c r="B460" s="13" t="n"/>
      <c r="C460" s="24" t="n"/>
      <c r="D460" s="25" t="n"/>
    </row>
    <row r="461" ht="15.75" customHeight="1" s="74">
      <c r="B461" s="13" t="n"/>
      <c r="C461" s="24" t="n"/>
      <c r="D461" s="25" t="n"/>
    </row>
    <row r="462" ht="15.75" customHeight="1" s="74">
      <c r="B462" s="13" t="n"/>
      <c r="C462" s="24" t="n"/>
      <c r="D462" s="25" t="n"/>
    </row>
    <row r="463" ht="15.75" customHeight="1" s="74">
      <c r="B463" s="13" t="n"/>
      <c r="C463" s="24" t="n"/>
      <c r="D463" s="25" t="n"/>
    </row>
    <row r="464" ht="15.75" customHeight="1" s="74">
      <c r="B464" s="13" t="n"/>
      <c r="C464" s="24" t="n"/>
      <c r="D464" s="25" t="n"/>
    </row>
    <row r="465" ht="15.75" customHeight="1" s="74">
      <c r="B465" s="13" t="n"/>
      <c r="C465" s="24" t="n"/>
      <c r="D465" s="25" t="n"/>
    </row>
    <row r="466" ht="15.75" customHeight="1" s="74">
      <c r="B466" s="13" t="n"/>
      <c r="C466" s="24" t="n"/>
      <c r="D466" s="25" t="n"/>
    </row>
    <row r="467" ht="15.75" customHeight="1" s="74">
      <c r="B467" s="13" t="n"/>
      <c r="C467" s="24" t="n"/>
      <c r="D467" s="25" t="n"/>
    </row>
    <row r="468" ht="15.75" customHeight="1" s="74">
      <c r="B468" s="13" t="n"/>
      <c r="C468" s="24" t="n"/>
      <c r="D468" s="25" t="n"/>
    </row>
    <row r="469" ht="15.75" customHeight="1" s="74">
      <c r="B469" s="13" t="n"/>
      <c r="C469" s="24" t="n"/>
      <c r="D469" s="25" t="n"/>
    </row>
    <row r="470" ht="15.75" customHeight="1" s="74">
      <c r="B470" s="13" t="n"/>
      <c r="C470" s="24" t="n"/>
      <c r="D470" s="25" t="n"/>
    </row>
    <row r="471" ht="15.75" customHeight="1" s="74">
      <c r="B471" s="13" t="n"/>
      <c r="C471" s="24" t="n"/>
      <c r="D471" s="25" t="n"/>
    </row>
    <row r="472" ht="15.75" customHeight="1" s="74">
      <c r="B472" s="13" t="n"/>
      <c r="C472" s="24" t="n"/>
      <c r="D472" s="25" t="n"/>
    </row>
    <row r="473" ht="15.75" customHeight="1" s="74">
      <c r="B473" s="13" t="n"/>
      <c r="C473" s="24" t="n"/>
      <c r="D473" s="25" t="n"/>
    </row>
    <row r="474" ht="15.75" customHeight="1" s="74">
      <c r="B474" s="13" t="n"/>
      <c r="C474" s="24" t="n"/>
      <c r="D474" s="25" t="n"/>
    </row>
    <row r="475" ht="15.75" customHeight="1" s="74">
      <c r="B475" s="13" t="n"/>
      <c r="C475" s="24" t="n"/>
      <c r="D475" s="25" t="n"/>
    </row>
    <row r="476" ht="15.75" customHeight="1" s="74">
      <c r="B476" s="13" t="n"/>
      <c r="C476" s="24" t="n"/>
      <c r="D476" s="25" t="n"/>
    </row>
    <row r="477" ht="15.75" customHeight="1" s="74">
      <c r="B477" s="13" t="n"/>
      <c r="C477" s="24" t="n"/>
      <c r="D477" s="25" t="n"/>
    </row>
    <row r="478" ht="15.75" customHeight="1" s="74">
      <c r="B478" s="13" t="n"/>
      <c r="C478" s="24" t="n"/>
      <c r="D478" s="25" t="n"/>
    </row>
    <row r="479" ht="15.75" customHeight="1" s="74">
      <c r="B479" s="13" t="n"/>
      <c r="C479" s="24" t="n"/>
      <c r="D479" s="25" t="n"/>
    </row>
    <row r="480" ht="15.75" customHeight="1" s="74">
      <c r="B480" s="13" t="n"/>
      <c r="C480" s="24" t="n"/>
      <c r="D480" s="25" t="n"/>
    </row>
    <row r="481" ht="15.75" customHeight="1" s="74">
      <c r="B481" s="13" t="n"/>
      <c r="C481" s="24" t="n"/>
      <c r="D481" s="25" t="n"/>
    </row>
    <row r="482" ht="15.75" customHeight="1" s="74">
      <c r="B482" s="13" t="n"/>
      <c r="C482" s="24" t="n"/>
      <c r="D482" s="25" t="n"/>
    </row>
    <row r="483" ht="15.75" customHeight="1" s="74">
      <c r="B483" s="13" t="n"/>
      <c r="C483" s="24" t="n"/>
      <c r="D483" s="25" t="n"/>
    </row>
    <row r="484" ht="15.75" customHeight="1" s="74">
      <c r="B484" s="13" t="n"/>
      <c r="C484" s="24" t="n"/>
      <c r="D484" s="25" t="n"/>
    </row>
    <row r="485" ht="15.75" customHeight="1" s="74">
      <c r="B485" s="13" t="n"/>
      <c r="C485" s="24" t="n"/>
      <c r="D485" s="25" t="n"/>
    </row>
    <row r="486" ht="15.75" customHeight="1" s="74">
      <c r="B486" s="13" t="n"/>
      <c r="C486" s="24" t="n"/>
      <c r="D486" s="25" t="n"/>
    </row>
    <row r="487" ht="15.75" customHeight="1" s="74">
      <c r="B487" s="13" t="n"/>
      <c r="C487" s="24" t="n"/>
      <c r="D487" s="25" t="n"/>
    </row>
    <row r="488" ht="15.75" customHeight="1" s="74">
      <c r="B488" s="13" t="n"/>
      <c r="C488" s="24" t="n"/>
      <c r="D488" s="25" t="n"/>
    </row>
    <row r="489" ht="15.75" customHeight="1" s="74">
      <c r="B489" s="13" t="n"/>
      <c r="C489" s="24" t="n"/>
      <c r="D489" s="25" t="n"/>
    </row>
    <row r="490" ht="15.75" customHeight="1" s="74">
      <c r="B490" s="13" t="n"/>
      <c r="C490" s="24" t="n"/>
      <c r="D490" s="25" t="n"/>
    </row>
    <row r="491" ht="15.75" customHeight="1" s="74">
      <c r="B491" s="13" t="n"/>
      <c r="C491" s="24" t="n"/>
      <c r="D491" s="25" t="n"/>
    </row>
    <row r="492" ht="15.75" customHeight="1" s="74">
      <c r="B492" s="13" t="n"/>
      <c r="C492" s="24" t="n"/>
      <c r="D492" s="25" t="n"/>
    </row>
    <row r="493" ht="15.75" customHeight="1" s="74">
      <c r="B493" s="13" t="n"/>
      <c r="C493" s="24" t="n"/>
      <c r="D493" s="25" t="n"/>
    </row>
    <row r="494" ht="15.75" customHeight="1" s="74">
      <c r="B494" s="13" t="n"/>
      <c r="C494" s="24" t="n"/>
      <c r="D494" s="25" t="n"/>
    </row>
    <row r="495" ht="15.75" customHeight="1" s="74">
      <c r="B495" s="13" t="n"/>
      <c r="C495" s="24" t="n"/>
      <c r="D495" s="25" t="n"/>
    </row>
    <row r="496" ht="15.75" customHeight="1" s="74">
      <c r="B496" s="13" t="n"/>
      <c r="C496" s="24" t="n"/>
      <c r="D496" s="25" t="n"/>
    </row>
    <row r="497" ht="15.75" customHeight="1" s="74">
      <c r="B497" s="13" t="n"/>
      <c r="C497" s="24" t="n"/>
      <c r="D497" s="25" t="n"/>
    </row>
    <row r="498" ht="15.75" customHeight="1" s="74">
      <c r="B498" s="13" t="n"/>
      <c r="C498" s="24" t="n"/>
      <c r="D498" s="25" t="n"/>
    </row>
    <row r="499" ht="15.75" customHeight="1" s="74">
      <c r="B499" s="13" t="n"/>
      <c r="C499" s="24" t="n"/>
      <c r="D499" s="25" t="n"/>
    </row>
    <row r="500" ht="15.75" customHeight="1" s="74">
      <c r="B500" s="13" t="n"/>
      <c r="C500" s="24" t="n"/>
      <c r="D500" s="25" t="n"/>
    </row>
    <row r="501" ht="15.75" customHeight="1" s="74">
      <c r="B501" s="13" t="n"/>
      <c r="C501" s="24" t="n"/>
      <c r="D501" s="25" t="n"/>
    </row>
    <row r="502" ht="15.75" customHeight="1" s="74">
      <c r="B502" s="13" t="n"/>
      <c r="C502" s="24" t="n"/>
      <c r="D502" s="25" t="n"/>
    </row>
    <row r="503" ht="15.75" customHeight="1" s="74">
      <c r="B503" s="13" t="n"/>
      <c r="C503" s="24" t="n"/>
      <c r="D503" s="25" t="n"/>
    </row>
    <row r="504" ht="15.75" customHeight="1" s="74">
      <c r="B504" s="13" t="n"/>
      <c r="C504" s="24" t="n"/>
      <c r="D504" s="25" t="n"/>
    </row>
    <row r="505" ht="15.75" customHeight="1" s="74">
      <c r="B505" s="13" t="n"/>
      <c r="C505" s="24" t="n"/>
      <c r="D505" s="25" t="n"/>
    </row>
    <row r="506" ht="15.75" customHeight="1" s="74">
      <c r="B506" s="13" t="n"/>
      <c r="C506" s="24" t="n"/>
      <c r="D506" s="25" t="n"/>
    </row>
    <row r="507" ht="15.75" customHeight="1" s="74">
      <c r="B507" s="13" t="n"/>
      <c r="C507" s="24" t="n"/>
      <c r="D507" s="25" t="n"/>
    </row>
    <row r="508" ht="15.75" customHeight="1" s="74">
      <c r="B508" s="13" t="n"/>
      <c r="C508" s="24" t="n"/>
      <c r="D508" s="25" t="n"/>
    </row>
    <row r="509" ht="15.75" customHeight="1" s="74">
      <c r="B509" s="13" t="n"/>
      <c r="C509" s="24" t="n"/>
      <c r="D509" s="25" t="n"/>
    </row>
    <row r="510" ht="15.75" customHeight="1" s="74">
      <c r="B510" s="13" t="n"/>
      <c r="C510" s="24" t="n"/>
      <c r="D510" s="25" t="n"/>
    </row>
    <row r="511" ht="15.75" customHeight="1" s="74">
      <c r="B511" s="13" t="n"/>
      <c r="C511" s="24" t="n"/>
      <c r="D511" s="25" t="n"/>
    </row>
    <row r="512" ht="15.75" customHeight="1" s="74">
      <c r="B512" s="13" t="n"/>
      <c r="C512" s="24" t="n"/>
      <c r="D512" s="25" t="n"/>
    </row>
    <row r="513" ht="15.75" customHeight="1" s="74">
      <c r="B513" s="13" t="n"/>
      <c r="C513" s="24" t="n"/>
      <c r="D513" s="25" t="n"/>
    </row>
    <row r="514" ht="15.75" customHeight="1" s="74">
      <c r="B514" s="13" t="n"/>
      <c r="C514" s="24" t="n"/>
      <c r="D514" s="25" t="n"/>
    </row>
    <row r="515" ht="15.75" customHeight="1" s="74">
      <c r="B515" s="13" t="n"/>
      <c r="C515" s="24" t="n"/>
      <c r="D515" s="25" t="n"/>
    </row>
    <row r="516" ht="15.75" customHeight="1" s="74">
      <c r="B516" s="13" t="n"/>
      <c r="C516" s="24" t="n"/>
      <c r="D516" s="25" t="n"/>
    </row>
    <row r="517" ht="15.75" customHeight="1" s="74">
      <c r="B517" s="13" t="n"/>
      <c r="C517" s="24" t="n"/>
      <c r="D517" s="25" t="n"/>
    </row>
    <row r="518" ht="15.75" customHeight="1" s="74">
      <c r="B518" s="13" t="n"/>
      <c r="C518" s="24" t="n"/>
      <c r="D518" s="25" t="n"/>
    </row>
    <row r="519" ht="15.75" customHeight="1" s="74">
      <c r="B519" s="13" t="n"/>
      <c r="C519" s="24" t="n"/>
      <c r="D519" s="25" t="n"/>
    </row>
    <row r="520" ht="15.75" customHeight="1" s="74">
      <c r="B520" s="13" t="n"/>
      <c r="C520" s="24" t="n"/>
      <c r="D520" s="25" t="n"/>
    </row>
    <row r="521" ht="15.75" customHeight="1" s="74">
      <c r="B521" s="13" t="n"/>
      <c r="C521" s="24" t="n"/>
      <c r="D521" s="25" t="n"/>
    </row>
    <row r="522" ht="15.75" customHeight="1" s="74">
      <c r="B522" s="13" t="n"/>
      <c r="C522" s="24" t="n"/>
      <c r="D522" s="25" t="n"/>
    </row>
    <row r="523" ht="15.75" customHeight="1" s="74">
      <c r="B523" s="13" t="n"/>
      <c r="C523" s="24" t="n"/>
      <c r="D523" s="25" t="n"/>
    </row>
    <row r="524" ht="15.75" customHeight="1" s="74">
      <c r="B524" s="13" t="n"/>
      <c r="C524" s="24" t="n"/>
      <c r="D524" s="25" t="n"/>
    </row>
    <row r="525" ht="15.75" customHeight="1" s="74">
      <c r="B525" s="13" t="n"/>
      <c r="C525" s="24" t="n"/>
      <c r="D525" s="25" t="n"/>
    </row>
    <row r="526" ht="15.75" customHeight="1" s="74">
      <c r="B526" s="13" t="n"/>
      <c r="C526" s="24" t="n"/>
      <c r="D526" s="25" t="n"/>
    </row>
    <row r="527" ht="15.75" customHeight="1" s="74">
      <c r="B527" s="13" t="n"/>
      <c r="C527" s="24" t="n"/>
      <c r="D527" s="25" t="n"/>
    </row>
    <row r="528" ht="15.75" customHeight="1" s="74">
      <c r="B528" s="13" t="n"/>
      <c r="C528" s="24" t="n"/>
      <c r="D528" s="25" t="n"/>
    </row>
    <row r="529" ht="15.75" customHeight="1" s="74">
      <c r="B529" s="13" t="n"/>
      <c r="C529" s="24" t="n"/>
      <c r="D529" s="25" t="n"/>
    </row>
    <row r="530" ht="15.75" customHeight="1" s="74">
      <c r="B530" s="13" t="n"/>
      <c r="C530" s="24" t="n"/>
      <c r="D530" s="25" t="n"/>
    </row>
    <row r="531" ht="15.75" customHeight="1" s="74">
      <c r="B531" s="13" t="n"/>
      <c r="C531" s="24" t="n"/>
      <c r="D531" s="25" t="n"/>
    </row>
    <row r="532" ht="15.75" customHeight="1" s="74">
      <c r="B532" s="13" t="n"/>
      <c r="C532" s="24" t="n"/>
      <c r="D532" s="25" t="n"/>
    </row>
    <row r="533" ht="15.75" customHeight="1" s="74">
      <c r="B533" s="13" t="n"/>
      <c r="C533" s="24" t="n"/>
      <c r="D533" s="25" t="n"/>
    </row>
    <row r="534" ht="15.75" customHeight="1" s="74">
      <c r="B534" s="13" t="n"/>
      <c r="C534" s="24" t="n"/>
      <c r="D534" s="25" t="n"/>
    </row>
    <row r="535" ht="15.75" customHeight="1" s="74">
      <c r="B535" s="13" t="n"/>
      <c r="C535" s="24" t="n"/>
      <c r="D535" s="25" t="n"/>
    </row>
    <row r="536" ht="15.75" customHeight="1" s="74">
      <c r="B536" s="13" t="n"/>
      <c r="C536" s="24" t="n"/>
      <c r="D536" s="25" t="n"/>
    </row>
    <row r="537" ht="15.75" customHeight="1" s="74">
      <c r="B537" s="13" t="n"/>
      <c r="C537" s="24" t="n"/>
      <c r="D537" s="25" t="n"/>
    </row>
    <row r="538" ht="15.75" customHeight="1" s="74">
      <c r="B538" s="13" t="n"/>
      <c r="C538" s="24" t="n"/>
      <c r="D538" s="25" t="n"/>
    </row>
    <row r="539" ht="15.75" customHeight="1" s="74">
      <c r="B539" s="13" t="n"/>
      <c r="C539" s="24" t="n"/>
      <c r="D539" s="25" t="n"/>
    </row>
    <row r="540" ht="15.75" customHeight="1" s="74">
      <c r="B540" s="13" t="n"/>
      <c r="C540" s="24" t="n"/>
      <c r="D540" s="25" t="n"/>
    </row>
    <row r="541" ht="15.75" customHeight="1" s="74">
      <c r="B541" s="13" t="n"/>
      <c r="C541" s="24" t="n"/>
      <c r="D541" s="25" t="n"/>
    </row>
    <row r="542" ht="15.75" customHeight="1" s="74">
      <c r="B542" s="13" t="n"/>
      <c r="C542" s="24" t="n"/>
      <c r="D542" s="25" t="n"/>
    </row>
    <row r="543" ht="15.75" customHeight="1" s="74">
      <c r="B543" s="13" t="n"/>
      <c r="C543" s="24" t="n"/>
      <c r="D543" s="25" t="n"/>
    </row>
    <row r="544" ht="15.75" customHeight="1" s="74">
      <c r="B544" s="13" t="n"/>
      <c r="C544" s="24" t="n"/>
      <c r="D544" s="25" t="n"/>
    </row>
    <row r="545" ht="15.75" customHeight="1" s="74">
      <c r="B545" s="13" t="n"/>
      <c r="C545" s="24" t="n"/>
      <c r="D545" s="25" t="n"/>
    </row>
    <row r="546" ht="15.75" customHeight="1" s="74">
      <c r="B546" s="13" t="n"/>
      <c r="C546" s="24" t="n"/>
      <c r="D546" s="25" t="n"/>
    </row>
    <row r="547" ht="15.75" customHeight="1" s="74">
      <c r="B547" s="13" t="n"/>
      <c r="C547" s="24" t="n"/>
      <c r="D547" s="25" t="n"/>
    </row>
    <row r="548" ht="15.75" customHeight="1" s="74">
      <c r="B548" s="13" t="n"/>
      <c r="C548" s="24" t="n"/>
      <c r="D548" s="25" t="n"/>
    </row>
    <row r="549" ht="15.75" customHeight="1" s="74">
      <c r="B549" s="13" t="n"/>
      <c r="C549" s="24" t="n"/>
      <c r="D549" s="25" t="n"/>
    </row>
    <row r="550" ht="15.75" customHeight="1" s="74">
      <c r="B550" s="13" t="n"/>
      <c r="C550" s="24" t="n"/>
      <c r="D550" s="25" t="n"/>
    </row>
    <row r="551" ht="15.75" customHeight="1" s="74">
      <c r="B551" s="13" t="n"/>
      <c r="C551" s="24" t="n"/>
      <c r="D551" s="25" t="n"/>
    </row>
    <row r="552" ht="15.75" customHeight="1" s="74">
      <c r="B552" s="13" t="n"/>
      <c r="C552" s="24" t="n"/>
      <c r="D552" s="25" t="n"/>
    </row>
    <row r="553" ht="15.75" customHeight="1" s="74">
      <c r="B553" s="13" t="n"/>
      <c r="C553" s="24" t="n"/>
      <c r="D553" s="25" t="n"/>
    </row>
    <row r="554" ht="15.75" customHeight="1" s="74">
      <c r="B554" s="13" t="n"/>
      <c r="C554" s="24" t="n"/>
      <c r="D554" s="25" t="n"/>
    </row>
    <row r="555" ht="15.75" customHeight="1" s="74">
      <c r="B555" s="13" t="n"/>
      <c r="C555" s="24" t="n"/>
      <c r="D555" s="25" t="n"/>
    </row>
    <row r="556" ht="15.75" customHeight="1" s="74">
      <c r="B556" s="13" t="n"/>
      <c r="C556" s="24" t="n"/>
      <c r="D556" s="25" t="n"/>
    </row>
    <row r="557" ht="15.75" customHeight="1" s="74">
      <c r="B557" s="13" t="n"/>
      <c r="C557" s="24" t="n"/>
      <c r="D557" s="25" t="n"/>
    </row>
    <row r="558" ht="15.75" customHeight="1" s="74">
      <c r="B558" s="13" t="n"/>
      <c r="C558" s="24" t="n"/>
      <c r="D558" s="25" t="n"/>
    </row>
    <row r="559" ht="15.75" customHeight="1" s="74">
      <c r="B559" s="13" t="n"/>
      <c r="C559" s="24" t="n"/>
      <c r="D559" s="25" t="n"/>
    </row>
    <row r="560" ht="15.75" customHeight="1" s="74">
      <c r="B560" s="13" t="n"/>
      <c r="C560" s="24" t="n"/>
      <c r="D560" s="25" t="n"/>
    </row>
    <row r="561" ht="15.75" customHeight="1" s="74">
      <c r="B561" s="13" t="n"/>
      <c r="C561" s="24" t="n"/>
      <c r="D561" s="25" t="n"/>
    </row>
    <row r="562" ht="15.75" customHeight="1" s="74">
      <c r="B562" s="13" t="n"/>
      <c r="C562" s="24" t="n"/>
      <c r="D562" s="25" t="n"/>
    </row>
    <row r="563" ht="15.75" customHeight="1" s="74">
      <c r="B563" s="13" t="n"/>
      <c r="C563" s="24" t="n"/>
      <c r="D563" s="25" t="n"/>
    </row>
    <row r="564" ht="15.75" customHeight="1" s="74">
      <c r="B564" s="13" t="n"/>
      <c r="C564" s="24" t="n"/>
      <c r="D564" s="25" t="n"/>
    </row>
    <row r="565" ht="15.75" customHeight="1" s="74">
      <c r="B565" s="13" t="n"/>
      <c r="C565" s="24" t="n"/>
      <c r="D565" s="25" t="n"/>
    </row>
    <row r="566" ht="15.75" customHeight="1" s="74">
      <c r="B566" s="13" t="n"/>
      <c r="C566" s="24" t="n"/>
      <c r="D566" s="25" t="n"/>
    </row>
    <row r="567" ht="15.75" customHeight="1" s="74">
      <c r="B567" s="13" t="n"/>
      <c r="C567" s="24" t="n"/>
      <c r="D567" s="25" t="n"/>
    </row>
    <row r="568" ht="15.75" customHeight="1" s="74">
      <c r="B568" s="13" t="n"/>
      <c r="C568" s="24" t="n"/>
      <c r="D568" s="25" t="n"/>
    </row>
    <row r="569" ht="15.75" customHeight="1" s="74">
      <c r="B569" s="13" t="n"/>
      <c r="C569" s="24" t="n"/>
      <c r="D569" s="25" t="n"/>
    </row>
    <row r="570" ht="15.75" customHeight="1" s="74">
      <c r="B570" s="13" t="n"/>
      <c r="C570" s="24" t="n"/>
      <c r="D570" s="25" t="n"/>
    </row>
    <row r="571" ht="15.75" customHeight="1" s="74">
      <c r="B571" s="13" t="n"/>
      <c r="C571" s="24" t="n"/>
      <c r="D571" s="25" t="n"/>
    </row>
    <row r="572" ht="15.75" customHeight="1" s="74">
      <c r="B572" s="13" t="n"/>
      <c r="C572" s="24" t="n"/>
      <c r="D572" s="25" t="n"/>
    </row>
    <row r="573" ht="15.75" customHeight="1" s="74">
      <c r="B573" s="13" t="n"/>
      <c r="C573" s="24" t="n"/>
      <c r="D573" s="25" t="n"/>
    </row>
    <row r="574" ht="15.75" customHeight="1" s="74">
      <c r="B574" s="13" t="n"/>
      <c r="C574" s="24" t="n"/>
      <c r="D574" s="25" t="n"/>
    </row>
    <row r="575" ht="15.75" customHeight="1" s="74">
      <c r="B575" s="13" t="n"/>
      <c r="C575" s="24" t="n"/>
      <c r="D575" s="25" t="n"/>
    </row>
    <row r="576" ht="15.75" customHeight="1" s="74">
      <c r="B576" s="13" t="n"/>
      <c r="C576" s="24" t="n"/>
      <c r="D576" s="25" t="n"/>
    </row>
    <row r="577" ht="15.75" customHeight="1" s="74">
      <c r="B577" s="13" t="n"/>
      <c r="C577" s="24" t="n"/>
      <c r="D577" s="25" t="n"/>
    </row>
    <row r="578" ht="15.75" customHeight="1" s="74">
      <c r="B578" s="13" t="n"/>
      <c r="C578" s="24" t="n"/>
      <c r="D578" s="25" t="n"/>
    </row>
    <row r="579" ht="15.75" customHeight="1" s="74">
      <c r="B579" s="13" t="n"/>
      <c r="C579" s="24" t="n"/>
      <c r="D579" s="25" t="n"/>
    </row>
    <row r="580" ht="15.75" customHeight="1" s="74">
      <c r="B580" s="13" t="n"/>
      <c r="C580" s="24" t="n"/>
      <c r="D580" s="25" t="n"/>
    </row>
    <row r="581" ht="15.75" customHeight="1" s="74">
      <c r="B581" s="13" t="n"/>
      <c r="C581" s="24" t="n"/>
      <c r="D581" s="25" t="n"/>
    </row>
    <row r="582" ht="15.75" customHeight="1" s="74">
      <c r="B582" s="13" t="n"/>
      <c r="C582" s="24" t="n"/>
      <c r="D582" s="25" t="n"/>
    </row>
    <row r="583" ht="15.75" customHeight="1" s="74">
      <c r="B583" s="13" t="n"/>
      <c r="C583" s="24" t="n"/>
      <c r="D583" s="25" t="n"/>
    </row>
    <row r="584" ht="15.75" customHeight="1" s="74">
      <c r="B584" s="13" t="n"/>
      <c r="C584" s="24" t="n"/>
      <c r="D584" s="25" t="n"/>
    </row>
    <row r="585" ht="15.75" customHeight="1" s="74">
      <c r="B585" s="13" t="n"/>
      <c r="C585" s="24" t="n"/>
      <c r="D585" s="25" t="n"/>
    </row>
    <row r="586" ht="15.75" customHeight="1" s="74">
      <c r="B586" s="13" t="n"/>
      <c r="C586" s="24" t="n"/>
      <c r="D586" s="25" t="n"/>
    </row>
    <row r="587" ht="15.75" customHeight="1" s="74">
      <c r="B587" s="13" t="n"/>
      <c r="C587" s="24" t="n"/>
      <c r="D587" s="25" t="n"/>
    </row>
    <row r="588" ht="15.75" customHeight="1" s="74">
      <c r="B588" s="13" t="n"/>
      <c r="C588" s="24" t="n"/>
      <c r="D588" s="25" t="n"/>
    </row>
    <row r="589" ht="15.75" customHeight="1" s="74">
      <c r="B589" s="13" t="n"/>
      <c r="C589" s="24" t="n"/>
      <c r="D589" s="25" t="n"/>
    </row>
    <row r="590" ht="15.75" customHeight="1" s="74">
      <c r="B590" s="13" t="n"/>
      <c r="C590" s="24" t="n"/>
      <c r="D590" s="25" t="n"/>
    </row>
    <row r="591" ht="15.75" customHeight="1" s="74">
      <c r="B591" s="13" t="n"/>
      <c r="C591" s="24" t="n"/>
      <c r="D591" s="25" t="n"/>
    </row>
    <row r="592" ht="15.75" customHeight="1" s="74">
      <c r="B592" s="13" t="n"/>
      <c r="C592" s="24" t="n"/>
      <c r="D592" s="25" t="n"/>
    </row>
    <row r="593" ht="15.75" customHeight="1" s="74">
      <c r="B593" s="13" t="n"/>
      <c r="C593" s="24" t="n"/>
      <c r="D593" s="25" t="n"/>
    </row>
    <row r="594" ht="15.75" customHeight="1" s="74">
      <c r="B594" s="13" t="n"/>
      <c r="C594" s="24" t="n"/>
      <c r="D594" s="25" t="n"/>
    </row>
    <row r="595" ht="15.75" customHeight="1" s="74">
      <c r="B595" s="13" t="n"/>
      <c r="C595" s="24" t="n"/>
      <c r="D595" s="25" t="n"/>
    </row>
    <row r="596" ht="15.75" customHeight="1" s="74">
      <c r="B596" s="13" t="n"/>
      <c r="C596" s="24" t="n"/>
      <c r="D596" s="25" t="n"/>
    </row>
    <row r="597" ht="15.75" customHeight="1" s="74">
      <c r="B597" s="13" t="n"/>
      <c r="C597" s="24" t="n"/>
      <c r="D597" s="25" t="n"/>
    </row>
    <row r="598" ht="15.75" customHeight="1" s="74">
      <c r="B598" s="13" t="n"/>
      <c r="C598" s="24" t="n"/>
      <c r="D598" s="25" t="n"/>
    </row>
    <row r="599" ht="15.75" customHeight="1" s="74">
      <c r="B599" s="13" t="n"/>
      <c r="C599" s="24" t="n"/>
      <c r="D599" s="25" t="n"/>
    </row>
    <row r="600" ht="15.75" customHeight="1" s="74">
      <c r="B600" s="13" t="n"/>
      <c r="C600" s="24" t="n"/>
      <c r="D600" s="25" t="n"/>
    </row>
    <row r="601" ht="15.75" customHeight="1" s="74">
      <c r="B601" s="13" t="n"/>
      <c r="C601" s="24" t="n"/>
      <c r="D601" s="25" t="n"/>
    </row>
    <row r="602" ht="15.75" customHeight="1" s="74">
      <c r="B602" s="13" t="n"/>
      <c r="C602" s="24" t="n"/>
      <c r="D602" s="25" t="n"/>
    </row>
    <row r="603" ht="15.75" customHeight="1" s="74">
      <c r="B603" s="13" t="n"/>
      <c r="C603" s="24" t="n"/>
      <c r="D603" s="25" t="n"/>
    </row>
    <row r="604" ht="15.75" customHeight="1" s="74">
      <c r="B604" s="13" t="n"/>
      <c r="C604" s="24" t="n"/>
      <c r="D604" s="25" t="n"/>
    </row>
    <row r="605" ht="15.75" customHeight="1" s="74">
      <c r="B605" s="13" t="n"/>
      <c r="C605" s="24" t="n"/>
      <c r="D605" s="25" t="n"/>
    </row>
    <row r="606" ht="15.75" customHeight="1" s="74">
      <c r="B606" s="13" t="n"/>
      <c r="C606" s="24" t="n"/>
      <c r="D606" s="25" t="n"/>
    </row>
    <row r="607" ht="15.75" customHeight="1" s="74">
      <c r="B607" s="13" t="n"/>
      <c r="C607" s="24" t="n"/>
      <c r="D607" s="25" t="n"/>
    </row>
    <row r="608" ht="15.75" customHeight="1" s="74">
      <c r="B608" s="13" t="n"/>
      <c r="C608" s="24" t="n"/>
      <c r="D608" s="25" t="n"/>
    </row>
    <row r="609" ht="15.75" customHeight="1" s="74">
      <c r="B609" s="13" t="n"/>
      <c r="C609" s="24" t="n"/>
      <c r="D609" s="25" t="n"/>
    </row>
    <row r="610" ht="15.75" customHeight="1" s="74">
      <c r="B610" s="13" t="n"/>
      <c r="C610" s="24" t="n"/>
      <c r="D610" s="25" t="n"/>
    </row>
    <row r="611" ht="15.75" customHeight="1" s="74">
      <c r="B611" s="13" t="n"/>
      <c r="C611" s="24" t="n"/>
      <c r="D611" s="25" t="n"/>
    </row>
    <row r="612" ht="15.75" customHeight="1" s="74">
      <c r="B612" s="13" t="n"/>
      <c r="C612" s="24" t="n"/>
      <c r="D612" s="25" t="n"/>
    </row>
    <row r="613" ht="15.75" customHeight="1" s="74">
      <c r="B613" s="13" t="n"/>
      <c r="C613" s="24" t="n"/>
      <c r="D613" s="25" t="n"/>
    </row>
    <row r="614" ht="15.75" customHeight="1" s="74">
      <c r="B614" s="13" t="n"/>
      <c r="C614" s="24" t="n"/>
      <c r="D614" s="25" t="n"/>
    </row>
    <row r="615" ht="15.75" customHeight="1" s="74">
      <c r="B615" s="13" t="n"/>
      <c r="C615" s="24" t="n"/>
      <c r="D615" s="25" t="n"/>
    </row>
    <row r="616" ht="15.75" customHeight="1" s="74">
      <c r="B616" s="13" t="n"/>
      <c r="C616" s="24" t="n"/>
      <c r="D616" s="25" t="n"/>
    </row>
    <row r="617" ht="15.75" customHeight="1" s="74">
      <c r="B617" s="13" t="n"/>
      <c r="C617" s="24" t="n"/>
      <c r="D617" s="25" t="n"/>
    </row>
    <row r="618" ht="15.75" customHeight="1" s="74">
      <c r="B618" s="13" t="n"/>
      <c r="C618" s="24" t="n"/>
      <c r="D618" s="25" t="n"/>
    </row>
    <row r="619" ht="15.75" customHeight="1" s="74">
      <c r="B619" s="13" t="n"/>
      <c r="C619" s="24" t="n"/>
      <c r="D619" s="25" t="n"/>
    </row>
    <row r="620" ht="15.75" customHeight="1" s="74">
      <c r="B620" s="13" t="n"/>
      <c r="C620" s="24" t="n"/>
      <c r="D620" s="25" t="n"/>
    </row>
    <row r="621" ht="15.75" customHeight="1" s="74">
      <c r="B621" s="13" t="n"/>
      <c r="C621" s="24" t="n"/>
      <c r="D621" s="25" t="n"/>
    </row>
    <row r="622" ht="15.75" customHeight="1" s="74">
      <c r="B622" s="13" t="n"/>
      <c r="C622" s="24" t="n"/>
      <c r="D622" s="25" t="n"/>
    </row>
    <row r="623" ht="15.75" customHeight="1" s="74">
      <c r="B623" s="13" t="n"/>
      <c r="C623" s="24" t="n"/>
      <c r="D623" s="25" t="n"/>
    </row>
    <row r="624" ht="15.75" customHeight="1" s="74">
      <c r="B624" s="13" t="n"/>
      <c r="C624" s="24" t="n"/>
      <c r="D624" s="25" t="n"/>
    </row>
    <row r="625" ht="15.75" customHeight="1" s="74">
      <c r="B625" s="13" t="n"/>
      <c r="C625" s="24" t="n"/>
      <c r="D625" s="25" t="n"/>
    </row>
    <row r="626" ht="15.75" customHeight="1" s="74">
      <c r="B626" s="13" t="n"/>
      <c r="C626" s="24" t="n"/>
      <c r="D626" s="25" t="n"/>
    </row>
    <row r="627" ht="15.75" customHeight="1" s="74">
      <c r="B627" s="13" t="n"/>
      <c r="C627" s="24" t="n"/>
      <c r="D627" s="25" t="n"/>
    </row>
    <row r="628" ht="15.75" customHeight="1" s="74">
      <c r="B628" s="13" t="n"/>
      <c r="C628" s="24" t="n"/>
      <c r="D628" s="25" t="n"/>
    </row>
    <row r="629" ht="15.75" customHeight="1" s="74">
      <c r="B629" s="13" t="n"/>
      <c r="C629" s="24" t="n"/>
      <c r="D629" s="25" t="n"/>
    </row>
    <row r="630" ht="15.75" customHeight="1" s="74">
      <c r="B630" s="13" t="n"/>
      <c r="C630" s="24" t="n"/>
      <c r="D630" s="25" t="n"/>
    </row>
    <row r="631" ht="15.75" customHeight="1" s="74">
      <c r="B631" s="13" t="n"/>
      <c r="C631" s="24" t="n"/>
      <c r="D631" s="25" t="n"/>
    </row>
    <row r="632" ht="15.75" customHeight="1" s="74">
      <c r="B632" s="13" t="n"/>
      <c r="C632" s="24" t="n"/>
      <c r="D632" s="25" t="n"/>
    </row>
    <row r="633" ht="15.75" customHeight="1" s="74">
      <c r="B633" s="13" t="n"/>
      <c r="C633" s="24" t="n"/>
      <c r="D633" s="25" t="n"/>
    </row>
    <row r="634" ht="15.75" customHeight="1" s="74">
      <c r="B634" s="13" t="n"/>
      <c r="C634" s="24" t="n"/>
      <c r="D634" s="25" t="n"/>
    </row>
    <row r="635" ht="15.75" customHeight="1" s="74">
      <c r="B635" s="13" t="n"/>
      <c r="C635" s="24" t="n"/>
      <c r="D635" s="25" t="n"/>
    </row>
    <row r="636" ht="15.75" customHeight="1" s="74">
      <c r="B636" s="13" t="n"/>
      <c r="C636" s="24" t="n"/>
      <c r="D636" s="25" t="n"/>
    </row>
    <row r="637" ht="15.75" customHeight="1" s="74">
      <c r="B637" s="13" t="n"/>
      <c r="C637" s="24" t="n"/>
      <c r="D637" s="25" t="n"/>
    </row>
    <row r="638" ht="15.75" customHeight="1" s="74">
      <c r="B638" s="13" t="n"/>
      <c r="C638" s="24" t="n"/>
      <c r="D638" s="25" t="n"/>
    </row>
    <row r="639" ht="15.75" customHeight="1" s="74">
      <c r="B639" s="13" t="n"/>
      <c r="C639" s="24" t="n"/>
      <c r="D639" s="25" t="n"/>
    </row>
    <row r="640" ht="15.75" customHeight="1" s="74">
      <c r="B640" s="13" t="n"/>
      <c r="C640" s="24" t="n"/>
      <c r="D640" s="25" t="n"/>
    </row>
    <row r="641" ht="15.75" customHeight="1" s="74">
      <c r="B641" s="13" t="n"/>
      <c r="C641" s="24" t="n"/>
      <c r="D641" s="25" t="n"/>
    </row>
    <row r="642" ht="15.75" customHeight="1" s="74">
      <c r="B642" s="13" t="n"/>
      <c r="C642" s="24" t="n"/>
      <c r="D642" s="25" t="n"/>
    </row>
    <row r="643" ht="15.75" customHeight="1" s="74">
      <c r="B643" s="13" t="n"/>
      <c r="C643" s="24" t="n"/>
      <c r="D643" s="25" t="n"/>
    </row>
    <row r="644" ht="15.75" customHeight="1" s="74">
      <c r="B644" s="13" t="n"/>
      <c r="C644" s="24" t="n"/>
      <c r="D644" s="25" t="n"/>
    </row>
    <row r="645" ht="15.75" customHeight="1" s="74">
      <c r="B645" s="13" t="n"/>
      <c r="C645" s="24" t="n"/>
      <c r="D645" s="25" t="n"/>
    </row>
    <row r="646" ht="15.75" customHeight="1" s="74">
      <c r="B646" s="13" t="n"/>
      <c r="C646" s="24" t="n"/>
      <c r="D646" s="25" t="n"/>
    </row>
    <row r="647" ht="15.75" customHeight="1" s="74">
      <c r="B647" s="13" t="n"/>
      <c r="C647" s="24" t="n"/>
      <c r="D647" s="25" t="n"/>
    </row>
    <row r="648" ht="15.75" customHeight="1" s="74">
      <c r="B648" s="13" t="n"/>
      <c r="C648" s="24" t="n"/>
      <c r="D648" s="25" t="n"/>
    </row>
    <row r="649" ht="15.75" customHeight="1" s="74">
      <c r="B649" s="13" t="n"/>
      <c r="C649" s="24" t="n"/>
      <c r="D649" s="25" t="n"/>
    </row>
    <row r="650" ht="15.75" customHeight="1" s="74">
      <c r="B650" s="13" t="n"/>
      <c r="C650" s="24" t="n"/>
      <c r="D650" s="25" t="n"/>
    </row>
    <row r="651" ht="15.75" customHeight="1" s="74">
      <c r="B651" s="13" t="n"/>
      <c r="C651" s="24" t="n"/>
      <c r="D651" s="25" t="n"/>
    </row>
    <row r="652" ht="15.75" customHeight="1" s="74">
      <c r="B652" s="13" t="n"/>
      <c r="C652" s="24" t="n"/>
      <c r="D652" s="25" t="n"/>
    </row>
    <row r="653" ht="15.75" customHeight="1" s="74">
      <c r="B653" s="13" t="n"/>
      <c r="C653" s="24" t="n"/>
      <c r="D653" s="25" t="n"/>
    </row>
    <row r="654" ht="15.75" customHeight="1" s="74">
      <c r="B654" s="13" t="n"/>
      <c r="C654" s="24" t="n"/>
      <c r="D654" s="25" t="n"/>
    </row>
    <row r="655" ht="15.75" customHeight="1" s="74">
      <c r="B655" s="13" t="n"/>
      <c r="C655" s="24" t="n"/>
      <c r="D655" s="25" t="n"/>
    </row>
    <row r="656" ht="15.75" customHeight="1" s="74">
      <c r="B656" s="13" t="n"/>
      <c r="C656" s="24" t="n"/>
      <c r="D656" s="25" t="n"/>
    </row>
    <row r="657" ht="15.75" customHeight="1" s="74">
      <c r="B657" s="13" t="n"/>
      <c r="C657" s="24" t="n"/>
      <c r="D657" s="25" t="n"/>
    </row>
    <row r="658" ht="15.75" customHeight="1" s="74">
      <c r="B658" s="13" t="n"/>
      <c r="C658" s="24" t="n"/>
      <c r="D658" s="25" t="n"/>
    </row>
    <row r="659" ht="15.75" customHeight="1" s="74">
      <c r="B659" s="13" t="n"/>
      <c r="C659" s="24" t="n"/>
      <c r="D659" s="25" t="n"/>
    </row>
    <row r="660" ht="15.75" customHeight="1" s="74">
      <c r="B660" s="13" t="n"/>
      <c r="C660" s="24" t="n"/>
      <c r="D660" s="25" t="n"/>
    </row>
    <row r="661" ht="15.75" customHeight="1" s="74">
      <c r="B661" s="13" t="n"/>
      <c r="C661" s="24" t="n"/>
      <c r="D661" s="25" t="n"/>
    </row>
    <row r="662" ht="15.75" customHeight="1" s="74">
      <c r="B662" s="13" t="n"/>
      <c r="C662" s="24" t="n"/>
      <c r="D662" s="25" t="n"/>
    </row>
    <row r="663" ht="15.75" customHeight="1" s="74">
      <c r="B663" s="13" t="n"/>
      <c r="C663" s="24" t="n"/>
      <c r="D663" s="25" t="n"/>
    </row>
    <row r="664" ht="15.75" customHeight="1" s="74">
      <c r="B664" s="13" t="n"/>
      <c r="C664" s="24" t="n"/>
      <c r="D664" s="25" t="n"/>
    </row>
    <row r="665" ht="15.75" customHeight="1" s="74">
      <c r="B665" s="13" t="n"/>
      <c r="C665" s="24" t="n"/>
      <c r="D665" s="25" t="n"/>
    </row>
    <row r="666" ht="15.75" customHeight="1" s="74">
      <c r="B666" s="13" t="n"/>
      <c r="C666" s="24" t="n"/>
      <c r="D666" s="25" t="n"/>
    </row>
    <row r="667" ht="15.75" customHeight="1" s="74">
      <c r="B667" s="13" t="n"/>
      <c r="C667" s="24" t="n"/>
      <c r="D667" s="25" t="n"/>
    </row>
    <row r="668" ht="15.75" customHeight="1" s="74">
      <c r="B668" s="13" t="n"/>
      <c r="C668" s="24" t="n"/>
      <c r="D668" s="25" t="n"/>
    </row>
    <row r="669" ht="15.75" customHeight="1" s="74">
      <c r="B669" s="13" t="n"/>
      <c r="C669" s="24" t="n"/>
      <c r="D669" s="25" t="n"/>
    </row>
    <row r="670" ht="15.75" customHeight="1" s="74">
      <c r="B670" s="13" t="n"/>
      <c r="C670" s="24" t="n"/>
      <c r="D670" s="25" t="n"/>
    </row>
    <row r="671" ht="15.75" customHeight="1" s="74">
      <c r="B671" s="13" t="n"/>
      <c r="C671" s="24" t="n"/>
      <c r="D671" s="25" t="n"/>
    </row>
    <row r="672" ht="15.75" customHeight="1" s="74">
      <c r="B672" s="13" t="n"/>
      <c r="C672" s="24" t="n"/>
      <c r="D672" s="25" t="n"/>
    </row>
    <row r="673" ht="15.75" customHeight="1" s="74">
      <c r="B673" s="13" t="n"/>
      <c r="C673" s="24" t="n"/>
      <c r="D673" s="25" t="n"/>
    </row>
    <row r="674" ht="15.75" customHeight="1" s="74">
      <c r="B674" s="13" t="n"/>
      <c r="C674" s="24" t="n"/>
      <c r="D674" s="25" t="n"/>
    </row>
    <row r="675" ht="15.75" customHeight="1" s="74">
      <c r="B675" s="13" t="n"/>
      <c r="C675" s="24" t="n"/>
      <c r="D675" s="25" t="n"/>
    </row>
    <row r="676" ht="15.75" customHeight="1" s="74">
      <c r="B676" s="13" t="n"/>
      <c r="C676" s="24" t="n"/>
      <c r="D676" s="25" t="n"/>
    </row>
    <row r="677" ht="15.75" customHeight="1" s="74">
      <c r="B677" s="13" t="n"/>
      <c r="C677" s="24" t="n"/>
      <c r="D677" s="25" t="n"/>
    </row>
    <row r="678" ht="15.75" customHeight="1" s="74">
      <c r="B678" s="13" t="n"/>
      <c r="C678" s="24" t="n"/>
      <c r="D678" s="25" t="n"/>
    </row>
    <row r="679" ht="15.75" customHeight="1" s="74">
      <c r="B679" s="13" t="n"/>
      <c r="C679" s="24" t="n"/>
      <c r="D679" s="25" t="n"/>
    </row>
    <row r="680" ht="15.75" customHeight="1" s="74">
      <c r="B680" s="13" t="n"/>
      <c r="C680" s="24" t="n"/>
      <c r="D680" s="25" t="n"/>
    </row>
    <row r="681" ht="15.75" customHeight="1" s="74">
      <c r="B681" s="13" t="n"/>
      <c r="C681" s="24" t="n"/>
      <c r="D681" s="25" t="n"/>
    </row>
    <row r="682" ht="15.75" customHeight="1" s="74">
      <c r="B682" s="13" t="n"/>
      <c r="C682" s="24" t="n"/>
      <c r="D682" s="25" t="n"/>
    </row>
    <row r="683" ht="15.75" customHeight="1" s="74">
      <c r="B683" s="13" t="n"/>
      <c r="C683" s="24" t="n"/>
      <c r="D683" s="25" t="n"/>
    </row>
    <row r="684" ht="15.75" customHeight="1" s="74">
      <c r="B684" s="13" t="n"/>
      <c r="C684" s="24" t="n"/>
      <c r="D684" s="25" t="n"/>
    </row>
    <row r="685" ht="15.75" customHeight="1" s="74">
      <c r="B685" s="13" t="n"/>
      <c r="C685" s="24" t="n"/>
      <c r="D685" s="25" t="n"/>
    </row>
    <row r="686" ht="15.75" customHeight="1" s="74">
      <c r="B686" s="13" t="n"/>
      <c r="C686" s="24" t="n"/>
      <c r="D686" s="25" t="n"/>
    </row>
    <row r="687" ht="15.75" customHeight="1" s="74">
      <c r="B687" s="13" t="n"/>
      <c r="C687" s="24" t="n"/>
      <c r="D687" s="25" t="n"/>
    </row>
    <row r="688" ht="15.75" customHeight="1" s="74">
      <c r="B688" s="13" t="n"/>
      <c r="C688" s="24" t="n"/>
      <c r="D688" s="25" t="n"/>
    </row>
    <row r="689" ht="15.75" customHeight="1" s="74">
      <c r="B689" s="13" t="n"/>
      <c r="C689" s="24" t="n"/>
      <c r="D689" s="25" t="n"/>
    </row>
    <row r="690" ht="15.75" customHeight="1" s="74">
      <c r="B690" s="13" t="n"/>
      <c r="C690" s="24" t="n"/>
      <c r="D690" s="25" t="n"/>
    </row>
    <row r="691" ht="15.75" customHeight="1" s="74">
      <c r="B691" s="13" t="n"/>
      <c r="C691" s="24" t="n"/>
      <c r="D691" s="25" t="n"/>
    </row>
    <row r="692" ht="15.75" customHeight="1" s="74">
      <c r="B692" s="13" t="n"/>
      <c r="C692" s="24" t="n"/>
      <c r="D692" s="25" t="n"/>
    </row>
    <row r="693" ht="15.75" customHeight="1" s="74">
      <c r="B693" s="13" t="n"/>
      <c r="C693" s="24" t="n"/>
      <c r="D693" s="25" t="n"/>
    </row>
    <row r="694" ht="15.75" customHeight="1" s="74">
      <c r="B694" s="13" t="n"/>
      <c r="C694" s="24" t="n"/>
      <c r="D694" s="25" t="n"/>
    </row>
    <row r="695" ht="15.75" customHeight="1" s="74">
      <c r="B695" s="13" t="n"/>
      <c r="C695" s="24" t="n"/>
      <c r="D695" s="25" t="n"/>
    </row>
    <row r="696" ht="15.75" customHeight="1" s="74">
      <c r="B696" s="13" t="n"/>
      <c r="C696" s="24" t="n"/>
      <c r="D696" s="25" t="n"/>
    </row>
    <row r="697" ht="15.75" customHeight="1" s="74">
      <c r="B697" s="13" t="n"/>
      <c r="C697" s="24" t="n"/>
      <c r="D697" s="25" t="n"/>
    </row>
    <row r="698" ht="15.75" customHeight="1" s="74">
      <c r="B698" s="13" t="n"/>
      <c r="C698" s="24" t="n"/>
      <c r="D698" s="25" t="n"/>
    </row>
    <row r="699" ht="15.75" customHeight="1" s="74">
      <c r="B699" s="13" t="n"/>
      <c r="C699" s="24" t="n"/>
      <c r="D699" s="25" t="n"/>
    </row>
    <row r="700" ht="15.75" customHeight="1" s="74">
      <c r="B700" s="13" t="n"/>
      <c r="C700" s="24" t="n"/>
      <c r="D700" s="25" t="n"/>
    </row>
    <row r="701" ht="15.75" customHeight="1" s="74">
      <c r="B701" s="13" t="n"/>
      <c r="C701" s="24" t="n"/>
      <c r="D701" s="25" t="n"/>
    </row>
    <row r="702" ht="15.75" customHeight="1" s="74">
      <c r="B702" s="13" t="n"/>
      <c r="C702" s="24" t="n"/>
      <c r="D702" s="25" t="n"/>
    </row>
    <row r="703" ht="15.75" customHeight="1" s="74">
      <c r="B703" s="13" t="n"/>
      <c r="C703" s="24" t="n"/>
      <c r="D703" s="25" t="n"/>
    </row>
    <row r="704" ht="15.75" customHeight="1" s="74">
      <c r="B704" s="13" t="n"/>
      <c r="C704" s="24" t="n"/>
      <c r="D704" s="25" t="n"/>
    </row>
    <row r="705" ht="15.75" customHeight="1" s="74">
      <c r="B705" s="13" t="n"/>
      <c r="C705" s="24" t="n"/>
      <c r="D705" s="25" t="n"/>
    </row>
    <row r="706" ht="15.75" customHeight="1" s="74">
      <c r="B706" s="13" t="n"/>
      <c r="C706" s="24" t="n"/>
      <c r="D706" s="25" t="n"/>
    </row>
    <row r="707" ht="15.75" customHeight="1" s="74">
      <c r="B707" s="13" t="n"/>
      <c r="C707" s="24" t="n"/>
      <c r="D707" s="25" t="n"/>
    </row>
    <row r="708" ht="15.75" customHeight="1" s="74">
      <c r="B708" s="13" t="n"/>
      <c r="C708" s="24" t="n"/>
      <c r="D708" s="25" t="n"/>
    </row>
    <row r="709" ht="15.75" customHeight="1" s="74">
      <c r="B709" s="13" t="n"/>
      <c r="C709" s="24" t="n"/>
      <c r="D709" s="25" t="n"/>
    </row>
    <row r="710" ht="15.75" customHeight="1" s="74">
      <c r="B710" s="13" t="n"/>
      <c r="C710" s="24" t="n"/>
      <c r="D710" s="25" t="n"/>
    </row>
    <row r="711" ht="15.75" customHeight="1" s="74">
      <c r="B711" s="13" t="n"/>
      <c r="C711" s="24" t="n"/>
      <c r="D711" s="25" t="n"/>
    </row>
    <row r="712" ht="15.75" customHeight="1" s="74">
      <c r="B712" s="13" t="n"/>
      <c r="C712" s="24" t="n"/>
      <c r="D712" s="25" t="n"/>
    </row>
    <row r="713" ht="15.75" customHeight="1" s="74">
      <c r="B713" s="13" t="n"/>
      <c r="C713" s="24" t="n"/>
      <c r="D713" s="25" t="n"/>
    </row>
    <row r="714" ht="15.75" customHeight="1" s="74">
      <c r="B714" s="13" t="n"/>
      <c r="C714" s="24" t="n"/>
      <c r="D714" s="25" t="n"/>
    </row>
    <row r="715" ht="15.75" customHeight="1" s="74">
      <c r="B715" s="13" t="n"/>
      <c r="C715" s="24" t="n"/>
      <c r="D715" s="25" t="n"/>
    </row>
    <row r="716" ht="15.75" customHeight="1" s="74">
      <c r="B716" s="13" t="n"/>
      <c r="C716" s="24" t="n"/>
      <c r="D716" s="25" t="n"/>
    </row>
    <row r="717" ht="15.75" customHeight="1" s="74">
      <c r="B717" s="13" t="n"/>
      <c r="C717" s="24" t="n"/>
      <c r="D717" s="25" t="n"/>
    </row>
    <row r="718" ht="15.75" customHeight="1" s="74">
      <c r="B718" s="13" t="n"/>
      <c r="C718" s="24" t="n"/>
      <c r="D718" s="25" t="n"/>
    </row>
    <row r="719" ht="15.75" customHeight="1" s="74">
      <c r="B719" s="13" t="n"/>
      <c r="C719" s="24" t="n"/>
      <c r="D719" s="25" t="n"/>
    </row>
    <row r="720" ht="15.75" customHeight="1" s="74">
      <c r="B720" s="13" t="n"/>
      <c r="C720" s="24" t="n"/>
      <c r="D720" s="25" t="n"/>
    </row>
    <row r="721" ht="15.75" customHeight="1" s="74">
      <c r="B721" s="13" t="n"/>
      <c r="C721" s="24" t="n"/>
      <c r="D721" s="25" t="n"/>
    </row>
    <row r="722" ht="15.75" customHeight="1" s="74">
      <c r="B722" s="13" t="n"/>
      <c r="C722" s="24" t="n"/>
      <c r="D722" s="25" t="n"/>
    </row>
    <row r="723" ht="15.75" customHeight="1" s="74">
      <c r="B723" s="13" t="n"/>
      <c r="C723" s="24" t="n"/>
      <c r="D723" s="25" t="n"/>
    </row>
    <row r="724" ht="15.75" customHeight="1" s="74">
      <c r="B724" s="13" t="n"/>
      <c r="C724" s="24" t="n"/>
      <c r="D724" s="25" t="n"/>
    </row>
    <row r="725" ht="15.75" customHeight="1" s="74">
      <c r="B725" s="13" t="n"/>
      <c r="C725" s="24" t="n"/>
      <c r="D725" s="25" t="n"/>
    </row>
    <row r="726" ht="15.75" customHeight="1" s="74">
      <c r="B726" s="13" t="n"/>
      <c r="C726" s="24" t="n"/>
      <c r="D726" s="25" t="n"/>
    </row>
    <row r="727" ht="15.75" customHeight="1" s="74">
      <c r="B727" s="13" t="n"/>
      <c r="C727" s="24" t="n"/>
      <c r="D727" s="25" t="n"/>
    </row>
    <row r="728" ht="15.75" customHeight="1" s="74">
      <c r="B728" s="13" t="n"/>
      <c r="C728" s="24" t="n"/>
      <c r="D728" s="25" t="n"/>
    </row>
    <row r="729" ht="15.75" customHeight="1" s="74">
      <c r="B729" s="13" t="n"/>
      <c r="C729" s="24" t="n"/>
      <c r="D729" s="25" t="n"/>
    </row>
    <row r="730" ht="15.75" customHeight="1" s="74">
      <c r="B730" s="13" t="n"/>
      <c r="C730" s="24" t="n"/>
      <c r="D730" s="25" t="n"/>
    </row>
    <row r="731" ht="15.75" customHeight="1" s="74">
      <c r="B731" s="13" t="n"/>
      <c r="C731" s="24" t="n"/>
      <c r="D731" s="25" t="n"/>
    </row>
    <row r="732" ht="15.75" customHeight="1" s="74">
      <c r="B732" s="13" t="n"/>
      <c r="C732" s="24" t="n"/>
      <c r="D732" s="25" t="n"/>
    </row>
    <row r="733" ht="15.75" customHeight="1" s="74">
      <c r="B733" s="13" t="n"/>
      <c r="C733" s="24" t="n"/>
      <c r="D733" s="25" t="n"/>
    </row>
    <row r="734" ht="15.75" customHeight="1" s="74">
      <c r="B734" s="13" t="n"/>
      <c r="C734" s="24" t="n"/>
      <c r="D734" s="25" t="n"/>
    </row>
    <row r="735" ht="15.75" customHeight="1" s="74">
      <c r="B735" s="13" t="n"/>
      <c r="C735" s="24" t="n"/>
      <c r="D735" s="25" t="n"/>
    </row>
    <row r="736" ht="15.75" customHeight="1" s="74">
      <c r="B736" s="13" t="n"/>
      <c r="C736" s="24" t="n"/>
      <c r="D736" s="25" t="n"/>
    </row>
    <row r="737" ht="15.75" customHeight="1" s="74">
      <c r="B737" s="13" t="n"/>
      <c r="C737" s="24" t="n"/>
      <c r="D737" s="25" t="n"/>
    </row>
    <row r="738" ht="15.75" customHeight="1" s="74">
      <c r="B738" s="13" t="n"/>
      <c r="C738" s="24" t="n"/>
      <c r="D738" s="25" t="n"/>
    </row>
    <row r="739" ht="15.75" customHeight="1" s="74">
      <c r="B739" s="13" t="n"/>
      <c r="C739" s="24" t="n"/>
      <c r="D739" s="25" t="n"/>
    </row>
    <row r="740" ht="15.75" customHeight="1" s="74">
      <c r="B740" s="13" t="n"/>
      <c r="C740" s="24" t="n"/>
      <c r="D740" s="25" t="n"/>
    </row>
    <row r="741" ht="15.75" customHeight="1" s="74">
      <c r="B741" s="13" t="n"/>
      <c r="C741" s="24" t="n"/>
      <c r="D741" s="25" t="n"/>
    </row>
    <row r="742" ht="15.75" customHeight="1" s="74">
      <c r="B742" s="13" t="n"/>
      <c r="C742" s="24" t="n"/>
      <c r="D742" s="25" t="n"/>
    </row>
    <row r="743" ht="15.75" customHeight="1" s="74">
      <c r="B743" s="13" t="n"/>
      <c r="C743" s="24" t="n"/>
      <c r="D743" s="25" t="n"/>
    </row>
    <row r="744" ht="15.75" customHeight="1" s="74">
      <c r="B744" s="13" t="n"/>
      <c r="C744" s="24" t="n"/>
      <c r="D744" s="25" t="n"/>
    </row>
    <row r="745" ht="15.75" customHeight="1" s="74">
      <c r="B745" s="13" t="n"/>
      <c r="C745" s="24" t="n"/>
      <c r="D745" s="25" t="n"/>
    </row>
    <row r="746" ht="15.75" customHeight="1" s="74">
      <c r="B746" s="13" t="n"/>
      <c r="C746" s="24" t="n"/>
      <c r="D746" s="25" t="n"/>
    </row>
    <row r="747" ht="15.75" customHeight="1" s="74">
      <c r="B747" s="13" t="n"/>
      <c r="C747" s="24" t="n"/>
      <c r="D747" s="25" t="n"/>
    </row>
    <row r="748" ht="15.75" customHeight="1" s="74">
      <c r="B748" s="13" t="n"/>
      <c r="C748" s="24" t="n"/>
      <c r="D748" s="25" t="n"/>
    </row>
    <row r="749" ht="15.75" customHeight="1" s="74">
      <c r="B749" s="13" t="n"/>
      <c r="C749" s="24" t="n"/>
      <c r="D749" s="25" t="n"/>
    </row>
    <row r="750" ht="15.75" customHeight="1" s="74">
      <c r="B750" s="13" t="n"/>
      <c r="C750" s="24" t="n"/>
      <c r="D750" s="25" t="n"/>
    </row>
    <row r="751" ht="15.75" customHeight="1" s="74">
      <c r="B751" s="13" t="n"/>
      <c r="C751" s="24" t="n"/>
      <c r="D751" s="25" t="n"/>
    </row>
    <row r="752" ht="15.75" customHeight="1" s="74">
      <c r="B752" s="13" t="n"/>
      <c r="C752" s="24" t="n"/>
      <c r="D752" s="25" t="n"/>
    </row>
    <row r="753" ht="15.75" customHeight="1" s="74">
      <c r="B753" s="13" t="n"/>
      <c r="C753" s="24" t="n"/>
      <c r="D753" s="25" t="n"/>
    </row>
    <row r="754" ht="15.75" customHeight="1" s="74">
      <c r="B754" s="13" t="n"/>
      <c r="C754" s="24" t="n"/>
      <c r="D754" s="25" t="n"/>
    </row>
    <row r="755" ht="15.75" customHeight="1" s="74">
      <c r="B755" s="13" t="n"/>
      <c r="C755" s="24" t="n"/>
      <c r="D755" s="25" t="n"/>
    </row>
    <row r="756" ht="15.75" customHeight="1" s="74">
      <c r="B756" s="13" t="n"/>
      <c r="C756" s="24" t="n"/>
      <c r="D756" s="25" t="n"/>
    </row>
    <row r="757" ht="15.75" customHeight="1" s="74">
      <c r="B757" s="13" t="n"/>
      <c r="C757" s="24" t="n"/>
      <c r="D757" s="25" t="n"/>
    </row>
    <row r="758" ht="15.75" customHeight="1" s="74">
      <c r="B758" s="13" t="n"/>
      <c r="C758" s="24" t="n"/>
      <c r="D758" s="25" t="n"/>
    </row>
    <row r="759" ht="15.75" customHeight="1" s="74">
      <c r="B759" s="13" t="n"/>
      <c r="C759" s="24" t="n"/>
      <c r="D759" s="25" t="n"/>
    </row>
    <row r="760" ht="15.75" customHeight="1" s="74">
      <c r="B760" s="13" t="n"/>
      <c r="C760" s="24" t="n"/>
      <c r="D760" s="25" t="n"/>
    </row>
    <row r="761" ht="15.75" customHeight="1" s="74">
      <c r="B761" s="13" t="n"/>
      <c r="C761" s="24" t="n"/>
      <c r="D761" s="25" t="n"/>
    </row>
    <row r="762" ht="15.75" customHeight="1" s="74">
      <c r="B762" s="13" t="n"/>
      <c r="C762" s="24" t="n"/>
      <c r="D762" s="25" t="n"/>
    </row>
    <row r="763" ht="15.75" customHeight="1" s="74">
      <c r="B763" s="13" t="n"/>
      <c r="C763" s="24" t="n"/>
      <c r="D763" s="25" t="n"/>
    </row>
    <row r="764" ht="15.75" customHeight="1" s="74">
      <c r="B764" s="13" t="n"/>
      <c r="C764" s="24" t="n"/>
      <c r="D764" s="25" t="n"/>
    </row>
    <row r="765" ht="15.75" customHeight="1" s="74">
      <c r="B765" s="13" t="n"/>
      <c r="C765" s="24" t="n"/>
      <c r="D765" s="25" t="n"/>
    </row>
    <row r="766" ht="15.75" customHeight="1" s="74">
      <c r="B766" s="13" t="n"/>
      <c r="C766" s="24" t="n"/>
      <c r="D766" s="25" t="n"/>
    </row>
    <row r="767" ht="15.75" customHeight="1" s="74">
      <c r="B767" s="13" t="n"/>
      <c r="C767" s="24" t="n"/>
      <c r="D767" s="25" t="n"/>
    </row>
    <row r="768" ht="15.75" customHeight="1" s="74">
      <c r="B768" s="13" t="n"/>
      <c r="C768" s="24" t="n"/>
      <c r="D768" s="25" t="n"/>
    </row>
    <row r="769" ht="15.75" customHeight="1" s="74">
      <c r="B769" s="13" t="n"/>
      <c r="C769" s="24" t="n"/>
      <c r="D769" s="25" t="n"/>
    </row>
    <row r="770" ht="15.75" customHeight="1" s="74">
      <c r="B770" s="13" t="n"/>
      <c r="C770" s="24" t="n"/>
      <c r="D770" s="25" t="n"/>
    </row>
    <row r="771" ht="15.75" customHeight="1" s="74">
      <c r="B771" s="13" t="n"/>
      <c r="C771" s="24" t="n"/>
      <c r="D771" s="25" t="n"/>
    </row>
    <row r="772" ht="15.75" customHeight="1" s="74">
      <c r="B772" s="13" t="n"/>
      <c r="C772" s="24" t="n"/>
      <c r="D772" s="25" t="n"/>
    </row>
    <row r="773" ht="15.75" customHeight="1" s="74">
      <c r="B773" s="13" t="n"/>
      <c r="C773" s="24" t="n"/>
      <c r="D773" s="25" t="n"/>
    </row>
    <row r="774" ht="15.75" customHeight="1" s="74">
      <c r="B774" s="13" t="n"/>
      <c r="C774" s="24" t="n"/>
      <c r="D774" s="25" t="n"/>
    </row>
    <row r="775" ht="15.75" customHeight="1" s="74">
      <c r="B775" s="13" t="n"/>
      <c r="C775" s="24" t="n"/>
      <c r="D775" s="25" t="n"/>
    </row>
    <row r="776" ht="15.75" customHeight="1" s="74">
      <c r="B776" s="13" t="n"/>
      <c r="C776" s="24" t="n"/>
      <c r="D776" s="25" t="n"/>
    </row>
    <row r="777" ht="15.75" customHeight="1" s="74">
      <c r="B777" s="13" t="n"/>
      <c r="C777" s="24" t="n"/>
      <c r="D777" s="25" t="n"/>
    </row>
    <row r="778" ht="15.75" customHeight="1" s="74">
      <c r="B778" s="13" t="n"/>
      <c r="C778" s="24" t="n"/>
      <c r="D778" s="25" t="n"/>
    </row>
    <row r="779" ht="15.75" customHeight="1" s="74">
      <c r="B779" s="13" t="n"/>
      <c r="C779" s="24" t="n"/>
      <c r="D779" s="25" t="n"/>
    </row>
    <row r="780" ht="15.75" customHeight="1" s="74">
      <c r="B780" s="13" t="n"/>
      <c r="C780" s="24" t="n"/>
      <c r="D780" s="25" t="n"/>
    </row>
    <row r="781" ht="15.75" customHeight="1" s="74">
      <c r="B781" s="13" t="n"/>
      <c r="C781" s="24" t="n"/>
      <c r="D781" s="25" t="n"/>
    </row>
    <row r="782" ht="15.75" customHeight="1" s="74">
      <c r="B782" s="13" t="n"/>
      <c r="C782" s="24" t="n"/>
      <c r="D782" s="25" t="n"/>
    </row>
    <row r="783" ht="15.75" customHeight="1" s="74">
      <c r="B783" s="13" t="n"/>
      <c r="C783" s="24" t="n"/>
      <c r="D783" s="25" t="n"/>
    </row>
    <row r="784" ht="15.75" customHeight="1" s="74">
      <c r="B784" s="13" t="n"/>
      <c r="C784" s="24" t="n"/>
      <c r="D784" s="25" t="n"/>
    </row>
    <row r="785" ht="15.75" customHeight="1" s="74">
      <c r="B785" s="13" t="n"/>
      <c r="C785" s="24" t="n"/>
      <c r="D785" s="25" t="n"/>
    </row>
    <row r="786" ht="15.75" customHeight="1" s="74">
      <c r="B786" s="13" t="n"/>
      <c r="C786" s="24" t="n"/>
      <c r="D786" s="25" t="n"/>
    </row>
    <row r="787" ht="15.75" customHeight="1" s="74">
      <c r="B787" s="13" t="n"/>
      <c r="C787" s="24" t="n"/>
      <c r="D787" s="25" t="n"/>
    </row>
    <row r="788" ht="15.75" customHeight="1" s="74">
      <c r="B788" s="13" t="n"/>
      <c r="C788" s="24" t="n"/>
      <c r="D788" s="25" t="n"/>
    </row>
    <row r="789" ht="15.75" customHeight="1" s="74">
      <c r="B789" s="13" t="n"/>
      <c r="C789" s="24" t="n"/>
      <c r="D789" s="25" t="n"/>
    </row>
    <row r="790" ht="15.75" customHeight="1" s="74">
      <c r="B790" s="13" t="n"/>
      <c r="C790" s="24" t="n"/>
      <c r="D790" s="25" t="n"/>
    </row>
    <row r="791" ht="15.75" customHeight="1" s="74">
      <c r="B791" s="13" t="n"/>
      <c r="C791" s="24" t="n"/>
      <c r="D791" s="25" t="n"/>
    </row>
    <row r="792" ht="15.75" customHeight="1" s="74">
      <c r="B792" s="13" t="n"/>
      <c r="C792" s="24" t="n"/>
      <c r="D792" s="25" t="n"/>
    </row>
    <row r="793" ht="15.75" customHeight="1" s="74">
      <c r="B793" s="13" t="n"/>
      <c r="C793" s="24" t="n"/>
      <c r="D793" s="25" t="n"/>
    </row>
    <row r="794" ht="15.75" customHeight="1" s="74">
      <c r="B794" s="13" t="n"/>
      <c r="C794" s="24" t="n"/>
      <c r="D794" s="25" t="n"/>
    </row>
    <row r="795" ht="15.75" customHeight="1" s="74">
      <c r="B795" s="13" t="n"/>
      <c r="C795" s="24" t="n"/>
      <c r="D795" s="25" t="n"/>
    </row>
    <row r="796" ht="15.75" customHeight="1" s="74">
      <c r="B796" s="13" t="n"/>
      <c r="C796" s="24" t="n"/>
      <c r="D796" s="25" t="n"/>
    </row>
    <row r="797" ht="15.75" customHeight="1" s="74">
      <c r="B797" s="13" t="n"/>
      <c r="C797" s="24" t="n"/>
      <c r="D797" s="25" t="n"/>
    </row>
    <row r="798" ht="15.75" customHeight="1" s="74">
      <c r="B798" s="13" t="n"/>
      <c r="C798" s="24" t="n"/>
      <c r="D798" s="25" t="n"/>
    </row>
    <row r="799" ht="15.75" customHeight="1" s="74">
      <c r="B799" s="13" t="n"/>
      <c r="C799" s="24" t="n"/>
      <c r="D799" s="25" t="n"/>
    </row>
    <row r="800" ht="15.75" customHeight="1" s="74">
      <c r="B800" s="13" t="n"/>
      <c r="C800" s="24" t="n"/>
      <c r="D800" s="25" t="n"/>
    </row>
    <row r="801" ht="15.75" customHeight="1" s="74">
      <c r="B801" s="13" t="n"/>
      <c r="C801" s="24" t="n"/>
      <c r="D801" s="25" t="n"/>
    </row>
    <row r="802" ht="15.75" customHeight="1" s="74">
      <c r="B802" s="13" t="n"/>
      <c r="C802" s="24" t="n"/>
      <c r="D802" s="25" t="n"/>
    </row>
    <row r="803" ht="15.75" customHeight="1" s="74">
      <c r="B803" s="13" t="n"/>
      <c r="C803" s="24" t="n"/>
      <c r="D803" s="25" t="n"/>
    </row>
    <row r="804" ht="15.75" customHeight="1" s="74">
      <c r="B804" s="13" t="n"/>
      <c r="C804" s="24" t="n"/>
      <c r="D804" s="25" t="n"/>
    </row>
    <row r="805" ht="15.75" customHeight="1" s="74">
      <c r="B805" s="13" t="n"/>
      <c r="C805" s="24" t="n"/>
      <c r="D805" s="25" t="n"/>
    </row>
    <row r="806" ht="15.75" customHeight="1" s="74">
      <c r="B806" s="13" t="n"/>
      <c r="C806" s="24" t="n"/>
      <c r="D806" s="25" t="n"/>
    </row>
    <row r="807" ht="15.75" customHeight="1" s="74">
      <c r="B807" s="13" t="n"/>
      <c r="C807" s="24" t="n"/>
      <c r="D807" s="25" t="n"/>
    </row>
    <row r="808" ht="15.75" customHeight="1" s="74">
      <c r="B808" s="13" t="n"/>
      <c r="C808" s="24" t="n"/>
      <c r="D808" s="25" t="n"/>
    </row>
    <row r="809" ht="15.75" customHeight="1" s="74">
      <c r="B809" s="13" t="n"/>
      <c r="C809" s="24" t="n"/>
      <c r="D809" s="25" t="n"/>
    </row>
    <row r="810" ht="15.75" customHeight="1" s="74">
      <c r="B810" s="13" t="n"/>
      <c r="C810" s="24" t="n"/>
      <c r="D810" s="25" t="n"/>
    </row>
    <row r="811" ht="15.75" customHeight="1" s="74">
      <c r="B811" s="13" t="n"/>
      <c r="C811" s="24" t="n"/>
      <c r="D811" s="25" t="n"/>
    </row>
    <row r="812" ht="15.75" customHeight="1" s="74">
      <c r="B812" s="13" t="n"/>
      <c r="C812" s="24" t="n"/>
      <c r="D812" s="25" t="n"/>
    </row>
    <row r="813" ht="15.75" customHeight="1" s="74">
      <c r="B813" s="13" t="n"/>
      <c r="C813" s="24" t="n"/>
      <c r="D813" s="25" t="n"/>
    </row>
    <row r="814" ht="15.75" customHeight="1" s="74">
      <c r="B814" s="13" t="n"/>
      <c r="C814" s="24" t="n"/>
      <c r="D814" s="25" t="n"/>
    </row>
    <row r="815" ht="15.75" customHeight="1" s="74">
      <c r="B815" s="13" t="n"/>
      <c r="C815" s="24" t="n"/>
      <c r="D815" s="25" t="n"/>
    </row>
    <row r="816" ht="15.75" customHeight="1" s="74">
      <c r="B816" s="13" t="n"/>
      <c r="C816" s="24" t="n"/>
      <c r="D816" s="25" t="n"/>
    </row>
    <row r="817" ht="15.75" customHeight="1" s="74">
      <c r="B817" s="13" t="n"/>
      <c r="C817" s="24" t="n"/>
      <c r="D817" s="25" t="n"/>
    </row>
    <row r="818" ht="15.75" customHeight="1" s="74">
      <c r="B818" s="13" t="n"/>
      <c r="C818" s="24" t="n"/>
      <c r="D818" s="25" t="n"/>
    </row>
    <row r="819" ht="15.75" customHeight="1" s="74">
      <c r="B819" s="13" t="n"/>
      <c r="C819" s="24" t="n"/>
      <c r="D819" s="25" t="n"/>
    </row>
    <row r="820" ht="15.75" customHeight="1" s="74">
      <c r="B820" s="13" t="n"/>
      <c r="C820" s="24" t="n"/>
      <c r="D820" s="25" t="n"/>
    </row>
    <row r="821" ht="15.75" customHeight="1" s="74">
      <c r="B821" s="13" t="n"/>
      <c r="C821" s="24" t="n"/>
      <c r="D821" s="25" t="n"/>
    </row>
    <row r="822" ht="15.75" customHeight="1" s="74">
      <c r="B822" s="13" t="n"/>
      <c r="C822" s="24" t="n"/>
      <c r="D822" s="25" t="n"/>
    </row>
    <row r="823" ht="15.75" customHeight="1" s="74">
      <c r="B823" s="13" t="n"/>
      <c r="C823" s="24" t="n"/>
      <c r="D823" s="25" t="n"/>
    </row>
    <row r="824" ht="15.75" customHeight="1" s="74">
      <c r="B824" s="13" t="n"/>
      <c r="C824" s="24" t="n"/>
      <c r="D824" s="25" t="n"/>
    </row>
    <row r="825" ht="15.75" customHeight="1" s="74">
      <c r="B825" s="13" t="n"/>
      <c r="C825" s="24" t="n"/>
      <c r="D825" s="25" t="n"/>
    </row>
    <row r="826" ht="15.75" customHeight="1" s="74">
      <c r="B826" s="13" t="n"/>
      <c r="C826" s="24" t="n"/>
      <c r="D826" s="25" t="n"/>
    </row>
    <row r="827" ht="15.75" customHeight="1" s="74">
      <c r="B827" s="13" t="n"/>
      <c r="C827" s="24" t="n"/>
      <c r="D827" s="25" t="n"/>
    </row>
    <row r="828" ht="15.75" customHeight="1" s="74">
      <c r="B828" s="13" t="n"/>
      <c r="C828" s="24" t="n"/>
      <c r="D828" s="25" t="n"/>
    </row>
    <row r="829" ht="15.75" customHeight="1" s="74">
      <c r="B829" s="13" t="n"/>
      <c r="C829" s="24" t="n"/>
      <c r="D829" s="25" t="n"/>
    </row>
    <row r="830" ht="15.75" customHeight="1" s="74">
      <c r="B830" s="13" t="n"/>
      <c r="C830" s="24" t="n"/>
      <c r="D830" s="25" t="n"/>
    </row>
    <row r="831" ht="15.75" customHeight="1" s="74">
      <c r="B831" s="13" t="n"/>
      <c r="C831" s="24" t="n"/>
      <c r="D831" s="25" t="n"/>
    </row>
    <row r="832" ht="15.75" customHeight="1" s="74">
      <c r="B832" s="13" t="n"/>
      <c r="C832" s="24" t="n"/>
      <c r="D832" s="25" t="n"/>
    </row>
    <row r="833" ht="15.75" customHeight="1" s="74">
      <c r="B833" s="13" t="n"/>
      <c r="C833" s="24" t="n"/>
      <c r="D833" s="25" t="n"/>
    </row>
    <row r="834" ht="15.75" customHeight="1" s="74">
      <c r="B834" s="13" t="n"/>
      <c r="C834" s="24" t="n"/>
      <c r="D834" s="25" t="n"/>
    </row>
    <row r="835" ht="15.75" customHeight="1" s="74">
      <c r="B835" s="13" t="n"/>
      <c r="C835" s="24" t="n"/>
      <c r="D835" s="25" t="n"/>
    </row>
    <row r="836" ht="15.75" customHeight="1" s="74">
      <c r="B836" s="13" t="n"/>
      <c r="C836" s="24" t="n"/>
      <c r="D836" s="25" t="n"/>
    </row>
    <row r="837" ht="15.75" customHeight="1" s="74">
      <c r="B837" s="13" t="n"/>
      <c r="C837" s="24" t="n"/>
      <c r="D837" s="25" t="n"/>
    </row>
    <row r="838" ht="15.75" customHeight="1" s="74">
      <c r="B838" s="13" t="n"/>
      <c r="C838" s="24" t="n"/>
      <c r="D838" s="25" t="n"/>
    </row>
    <row r="839" ht="15.75" customHeight="1" s="74">
      <c r="B839" s="13" t="n"/>
      <c r="C839" s="24" t="n"/>
      <c r="D839" s="25" t="n"/>
    </row>
    <row r="840" ht="15.75" customHeight="1" s="74">
      <c r="B840" s="13" t="n"/>
      <c r="C840" s="24" t="n"/>
      <c r="D840" s="25" t="n"/>
    </row>
    <row r="841" ht="15.75" customHeight="1" s="74">
      <c r="B841" s="13" t="n"/>
      <c r="C841" s="24" t="n"/>
      <c r="D841" s="25" t="n"/>
    </row>
    <row r="842" ht="15.75" customHeight="1" s="74">
      <c r="B842" s="13" t="n"/>
      <c r="C842" s="24" t="n"/>
      <c r="D842" s="25" t="n"/>
    </row>
    <row r="843" ht="15.75" customHeight="1" s="74">
      <c r="B843" s="13" t="n"/>
      <c r="C843" s="24" t="n"/>
      <c r="D843" s="25" t="n"/>
    </row>
    <row r="844" ht="15.75" customHeight="1" s="74">
      <c r="B844" s="13" t="n"/>
      <c r="C844" s="24" t="n"/>
      <c r="D844" s="25" t="n"/>
    </row>
    <row r="845" ht="15.75" customHeight="1" s="74">
      <c r="B845" s="13" t="n"/>
      <c r="C845" s="24" t="n"/>
      <c r="D845" s="25" t="n"/>
    </row>
    <row r="846" ht="15.75" customHeight="1" s="74">
      <c r="B846" s="13" t="n"/>
      <c r="C846" s="24" t="n"/>
      <c r="D846" s="25" t="n"/>
    </row>
    <row r="847" ht="15.75" customHeight="1" s="74">
      <c r="B847" s="13" t="n"/>
      <c r="C847" s="24" t="n"/>
      <c r="D847" s="25" t="n"/>
    </row>
    <row r="848" ht="15.75" customHeight="1" s="74">
      <c r="B848" s="13" t="n"/>
      <c r="C848" s="24" t="n"/>
      <c r="D848" s="25" t="n"/>
    </row>
    <row r="849" ht="15.75" customHeight="1" s="74">
      <c r="B849" s="13" t="n"/>
      <c r="C849" s="24" t="n"/>
      <c r="D849" s="25" t="n"/>
    </row>
    <row r="850" ht="15.75" customHeight="1" s="74">
      <c r="B850" s="13" t="n"/>
      <c r="C850" s="24" t="n"/>
      <c r="D850" s="25" t="n"/>
    </row>
    <row r="851" ht="15.75" customHeight="1" s="74">
      <c r="B851" s="13" t="n"/>
      <c r="C851" s="24" t="n"/>
      <c r="D851" s="25" t="n"/>
    </row>
    <row r="852" ht="15.75" customHeight="1" s="74">
      <c r="B852" s="13" t="n"/>
      <c r="C852" s="24" t="n"/>
      <c r="D852" s="25" t="n"/>
    </row>
    <row r="853" ht="15.75" customHeight="1" s="74">
      <c r="B853" s="13" t="n"/>
      <c r="C853" s="24" t="n"/>
      <c r="D853" s="25" t="n"/>
    </row>
    <row r="854" ht="15.75" customHeight="1" s="74">
      <c r="B854" s="13" t="n"/>
      <c r="C854" s="24" t="n"/>
      <c r="D854" s="25" t="n"/>
    </row>
    <row r="855" ht="15.75" customHeight="1" s="74">
      <c r="B855" s="13" t="n"/>
      <c r="C855" s="24" t="n"/>
      <c r="D855" s="25" t="n"/>
    </row>
    <row r="856" ht="15.75" customHeight="1" s="74">
      <c r="B856" s="13" t="n"/>
      <c r="C856" s="24" t="n"/>
      <c r="D856" s="25" t="n"/>
    </row>
    <row r="857" ht="15.75" customHeight="1" s="74">
      <c r="B857" s="13" t="n"/>
      <c r="C857" s="24" t="n"/>
      <c r="D857" s="25" t="n"/>
    </row>
    <row r="858" ht="15.75" customHeight="1" s="74">
      <c r="B858" s="13" t="n"/>
      <c r="C858" s="24" t="n"/>
      <c r="D858" s="25" t="n"/>
    </row>
    <row r="859" ht="15.75" customHeight="1" s="74">
      <c r="B859" s="13" t="n"/>
      <c r="C859" s="24" t="n"/>
      <c r="D859" s="25" t="n"/>
    </row>
    <row r="860" ht="15.75" customHeight="1" s="74">
      <c r="B860" s="13" t="n"/>
      <c r="C860" s="24" t="n"/>
      <c r="D860" s="25" t="n"/>
    </row>
    <row r="861" ht="15.75" customHeight="1" s="74">
      <c r="B861" s="13" t="n"/>
      <c r="C861" s="24" t="n"/>
      <c r="D861" s="25" t="n"/>
    </row>
    <row r="862" ht="15.75" customHeight="1" s="74">
      <c r="B862" s="13" t="n"/>
      <c r="C862" s="24" t="n"/>
      <c r="D862" s="25" t="n"/>
    </row>
    <row r="863" ht="15.75" customHeight="1" s="74">
      <c r="B863" s="13" t="n"/>
      <c r="C863" s="24" t="n"/>
      <c r="D863" s="25" t="n"/>
    </row>
    <row r="864" ht="15.75" customHeight="1" s="74">
      <c r="B864" s="13" t="n"/>
      <c r="C864" s="24" t="n"/>
      <c r="D864" s="25" t="n"/>
    </row>
    <row r="865" ht="15.75" customHeight="1" s="74">
      <c r="B865" s="13" t="n"/>
      <c r="C865" s="24" t="n"/>
      <c r="D865" s="25" t="n"/>
    </row>
    <row r="866" ht="15.75" customHeight="1" s="74">
      <c r="B866" s="13" t="n"/>
      <c r="C866" s="24" t="n"/>
      <c r="D866" s="25" t="n"/>
    </row>
    <row r="867" ht="15.75" customHeight="1" s="74">
      <c r="B867" s="13" t="n"/>
      <c r="C867" s="24" t="n"/>
      <c r="D867" s="25" t="n"/>
    </row>
    <row r="868" ht="15.75" customHeight="1" s="74">
      <c r="B868" s="13" t="n"/>
      <c r="C868" s="24" t="n"/>
      <c r="D868" s="25" t="n"/>
    </row>
    <row r="869" ht="15.75" customHeight="1" s="74">
      <c r="B869" s="13" t="n"/>
      <c r="C869" s="24" t="n"/>
      <c r="D869" s="25" t="n"/>
    </row>
    <row r="870" ht="15.75" customHeight="1" s="74">
      <c r="B870" s="13" t="n"/>
      <c r="C870" s="24" t="n"/>
      <c r="D870" s="25" t="n"/>
    </row>
    <row r="871" ht="15.75" customHeight="1" s="74">
      <c r="B871" s="13" t="n"/>
      <c r="C871" s="24" t="n"/>
      <c r="D871" s="25" t="n"/>
    </row>
    <row r="872" ht="15.75" customHeight="1" s="74">
      <c r="B872" s="13" t="n"/>
      <c r="C872" s="24" t="n"/>
      <c r="D872" s="25" t="n"/>
    </row>
    <row r="873" ht="15.75" customHeight="1" s="74">
      <c r="B873" s="13" t="n"/>
      <c r="C873" s="24" t="n"/>
      <c r="D873" s="25" t="n"/>
    </row>
    <row r="874" ht="15.75" customHeight="1" s="74">
      <c r="B874" s="13" t="n"/>
      <c r="C874" s="24" t="n"/>
      <c r="D874" s="25" t="n"/>
    </row>
    <row r="875" ht="15.75" customHeight="1" s="74">
      <c r="B875" s="13" t="n"/>
      <c r="C875" s="24" t="n"/>
      <c r="D875" s="25" t="n"/>
    </row>
    <row r="876" ht="15.75" customHeight="1" s="74">
      <c r="B876" s="13" t="n"/>
      <c r="C876" s="24" t="n"/>
      <c r="D876" s="25" t="n"/>
    </row>
    <row r="877" ht="15.75" customHeight="1" s="74">
      <c r="B877" s="13" t="n"/>
      <c r="C877" s="24" t="n"/>
      <c r="D877" s="25" t="n"/>
    </row>
    <row r="878" ht="15.75" customHeight="1" s="74">
      <c r="B878" s="13" t="n"/>
      <c r="C878" s="24" t="n"/>
      <c r="D878" s="25" t="n"/>
    </row>
    <row r="879" ht="15.75" customHeight="1" s="74">
      <c r="B879" s="13" t="n"/>
      <c r="C879" s="24" t="n"/>
      <c r="D879" s="25" t="n"/>
    </row>
    <row r="880" ht="15.75" customHeight="1" s="74">
      <c r="B880" s="13" t="n"/>
      <c r="C880" s="24" t="n"/>
      <c r="D880" s="25" t="n"/>
    </row>
    <row r="881" ht="15.75" customHeight="1" s="74">
      <c r="B881" s="13" t="n"/>
      <c r="C881" s="24" t="n"/>
      <c r="D881" s="25" t="n"/>
    </row>
    <row r="882" ht="15.75" customHeight="1" s="74">
      <c r="B882" s="13" t="n"/>
      <c r="C882" s="24" t="n"/>
      <c r="D882" s="25" t="n"/>
    </row>
    <row r="883" ht="15.75" customHeight="1" s="74">
      <c r="B883" s="13" t="n"/>
      <c r="C883" s="24" t="n"/>
      <c r="D883" s="25" t="n"/>
    </row>
    <row r="884" ht="15.75" customHeight="1" s="74">
      <c r="B884" s="13" t="n"/>
      <c r="C884" s="24" t="n"/>
      <c r="D884" s="25" t="n"/>
    </row>
    <row r="885" ht="15.75" customHeight="1" s="74">
      <c r="B885" s="13" t="n"/>
      <c r="C885" s="24" t="n"/>
      <c r="D885" s="25" t="n"/>
    </row>
    <row r="886" ht="15.75" customHeight="1" s="74">
      <c r="B886" s="13" t="n"/>
      <c r="C886" s="24" t="n"/>
      <c r="D886" s="25" t="n"/>
    </row>
    <row r="887" ht="15.75" customHeight="1" s="74">
      <c r="B887" s="13" t="n"/>
      <c r="C887" s="24" t="n"/>
      <c r="D887" s="25" t="n"/>
    </row>
    <row r="888" ht="15.75" customHeight="1" s="74">
      <c r="B888" s="13" t="n"/>
      <c r="C888" s="24" t="n"/>
      <c r="D888" s="25" t="n"/>
    </row>
    <row r="889" ht="15.75" customHeight="1" s="74">
      <c r="B889" s="13" t="n"/>
      <c r="C889" s="24" t="n"/>
      <c r="D889" s="25" t="n"/>
    </row>
    <row r="890" ht="15.75" customHeight="1" s="74">
      <c r="B890" s="13" t="n"/>
      <c r="C890" s="24" t="n"/>
      <c r="D890" s="25" t="n"/>
    </row>
    <row r="891" ht="15.75" customHeight="1" s="74">
      <c r="B891" s="13" t="n"/>
      <c r="C891" s="24" t="n"/>
      <c r="D891" s="25" t="n"/>
    </row>
    <row r="892" ht="15.75" customHeight="1" s="74">
      <c r="B892" s="13" t="n"/>
      <c r="C892" s="24" t="n"/>
      <c r="D892" s="25" t="n"/>
    </row>
    <row r="893" ht="15.75" customHeight="1" s="74">
      <c r="B893" s="13" t="n"/>
      <c r="C893" s="24" t="n"/>
      <c r="D893" s="25" t="n"/>
    </row>
    <row r="894" ht="15.75" customHeight="1" s="74">
      <c r="B894" s="13" t="n"/>
      <c r="C894" s="24" t="n"/>
      <c r="D894" s="25" t="n"/>
    </row>
    <row r="895" ht="15.75" customHeight="1" s="74">
      <c r="B895" s="13" t="n"/>
      <c r="C895" s="24" t="n"/>
      <c r="D895" s="25" t="n"/>
    </row>
    <row r="896" ht="15.75" customHeight="1" s="74">
      <c r="B896" s="13" t="n"/>
      <c r="C896" s="24" t="n"/>
      <c r="D896" s="25" t="n"/>
    </row>
    <row r="897" ht="15.75" customHeight="1" s="74">
      <c r="B897" s="13" t="n"/>
      <c r="C897" s="24" t="n"/>
      <c r="D897" s="25" t="n"/>
    </row>
    <row r="898" ht="15.75" customHeight="1" s="74">
      <c r="B898" s="13" t="n"/>
      <c r="C898" s="24" t="n"/>
      <c r="D898" s="25" t="n"/>
    </row>
    <row r="899" ht="15.75" customHeight="1" s="74">
      <c r="B899" s="13" t="n"/>
      <c r="C899" s="24" t="n"/>
      <c r="D899" s="25" t="n"/>
    </row>
    <row r="900" ht="15.75" customHeight="1" s="74">
      <c r="B900" s="13" t="n"/>
      <c r="C900" s="24" t="n"/>
      <c r="D900" s="25" t="n"/>
    </row>
    <row r="901" ht="15.75" customHeight="1" s="74">
      <c r="B901" s="13" t="n"/>
      <c r="C901" s="24" t="n"/>
      <c r="D901" s="25" t="n"/>
    </row>
    <row r="902" ht="15.75" customHeight="1" s="74">
      <c r="B902" s="13" t="n"/>
      <c r="C902" s="24" t="n"/>
      <c r="D902" s="25" t="n"/>
    </row>
    <row r="903" ht="15.75" customHeight="1" s="74">
      <c r="B903" s="13" t="n"/>
      <c r="C903" s="24" t="n"/>
      <c r="D903" s="25" t="n"/>
    </row>
    <row r="904" ht="15.75" customHeight="1" s="74">
      <c r="B904" s="13" t="n"/>
      <c r="C904" s="24" t="n"/>
      <c r="D904" s="25" t="n"/>
    </row>
    <row r="905" ht="15.75" customHeight="1" s="74">
      <c r="B905" s="13" t="n"/>
      <c r="C905" s="24" t="n"/>
      <c r="D905" s="25" t="n"/>
    </row>
    <row r="906" ht="15.75" customHeight="1" s="74">
      <c r="B906" s="13" t="n"/>
      <c r="C906" s="24" t="n"/>
      <c r="D906" s="25" t="n"/>
    </row>
    <row r="907" ht="15.75" customHeight="1" s="74">
      <c r="B907" s="13" t="n"/>
      <c r="C907" s="24" t="n"/>
      <c r="D907" s="25" t="n"/>
    </row>
    <row r="908" ht="15.75" customHeight="1" s="74">
      <c r="B908" s="13" t="n"/>
      <c r="C908" s="24" t="n"/>
      <c r="D908" s="25" t="n"/>
    </row>
    <row r="909" ht="15.75" customHeight="1" s="74">
      <c r="B909" s="13" t="n"/>
      <c r="C909" s="24" t="n"/>
      <c r="D909" s="25" t="n"/>
    </row>
    <row r="910" ht="15.75" customHeight="1" s="74">
      <c r="B910" s="13" t="n"/>
      <c r="C910" s="24" t="n"/>
      <c r="D910" s="25" t="n"/>
    </row>
    <row r="911" ht="15.75" customHeight="1" s="74">
      <c r="B911" s="13" t="n"/>
      <c r="C911" s="24" t="n"/>
      <c r="D911" s="25" t="n"/>
    </row>
    <row r="912" ht="15.75" customHeight="1" s="74">
      <c r="B912" s="13" t="n"/>
      <c r="C912" s="24" t="n"/>
      <c r="D912" s="25" t="n"/>
    </row>
    <row r="913" ht="15.75" customHeight="1" s="74">
      <c r="B913" s="13" t="n"/>
      <c r="C913" s="24" t="n"/>
      <c r="D913" s="25" t="n"/>
    </row>
    <row r="914" ht="15.75" customHeight="1" s="74">
      <c r="B914" s="13" t="n"/>
      <c r="C914" s="24" t="n"/>
      <c r="D914" s="25" t="n"/>
    </row>
    <row r="915" ht="15.75" customHeight="1" s="74">
      <c r="B915" s="13" t="n"/>
      <c r="C915" s="24" t="n"/>
      <c r="D915" s="25" t="n"/>
    </row>
    <row r="916" ht="15.75" customHeight="1" s="74">
      <c r="B916" s="13" t="n"/>
      <c r="C916" s="24" t="n"/>
      <c r="D916" s="25" t="n"/>
    </row>
    <row r="917" ht="15.75" customHeight="1" s="74">
      <c r="B917" s="13" t="n"/>
      <c r="C917" s="24" t="n"/>
      <c r="D917" s="25" t="n"/>
    </row>
    <row r="918" ht="15.75" customHeight="1" s="74">
      <c r="B918" s="13" t="n"/>
      <c r="C918" s="24" t="n"/>
      <c r="D918" s="25" t="n"/>
    </row>
    <row r="919" ht="15.75" customHeight="1" s="74">
      <c r="B919" s="13" t="n"/>
      <c r="C919" s="24" t="n"/>
      <c r="D919" s="25" t="n"/>
    </row>
    <row r="920" ht="15.75" customHeight="1" s="74">
      <c r="B920" s="13" t="n"/>
      <c r="C920" s="24" t="n"/>
      <c r="D920" s="25" t="n"/>
    </row>
    <row r="921" ht="15.75" customHeight="1" s="74">
      <c r="B921" s="13" t="n"/>
      <c r="C921" s="24" t="n"/>
      <c r="D921" s="25" t="n"/>
    </row>
    <row r="922" ht="15.75" customHeight="1" s="74">
      <c r="B922" s="13" t="n"/>
      <c r="C922" s="24" t="n"/>
      <c r="D922" s="25" t="n"/>
    </row>
    <row r="923" ht="15.75" customHeight="1" s="74">
      <c r="B923" s="13" t="n"/>
      <c r="C923" s="24" t="n"/>
      <c r="D923" s="25" t="n"/>
    </row>
    <row r="924" ht="15.75" customHeight="1" s="74">
      <c r="B924" s="13" t="n"/>
      <c r="C924" s="24" t="n"/>
      <c r="D924" s="25" t="n"/>
    </row>
    <row r="925" ht="15.75" customHeight="1" s="74">
      <c r="B925" s="13" t="n"/>
      <c r="C925" s="24" t="n"/>
      <c r="D925" s="25" t="n"/>
    </row>
    <row r="926" ht="15.75" customHeight="1" s="74">
      <c r="B926" s="13" t="n"/>
      <c r="C926" s="24" t="n"/>
      <c r="D926" s="25" t="n"/>
    </row>
    <row r="927" ht="15.75" customHeight="1" s="74">
      <c r="B927" s="13" t="n"/>
      <c r="C927" s="24" t="n"/>
      <c r="D927" s="25" t="n"/>
    </row>
    <row r="928" ht="15.75" customHeight="1" s="74">
      <c r="B928" s="13" t="n"/>
      <c r="C928" s="24" t="n"/>
      <c r="D928" s="25" t="n"/>
    </row>
    <row r="929" ht="15.75" customHeight="1" s="74">
      <c r="B929" s="13" t="n"/>
      <c r="C929" s="24" t="n"/>
      <c r="D929" s="25" t="n"/>
    </row>
    <row r="930" ht="15.75" customHeight="1" s="74">
      <c r="B930" s="13" t="n"/>
      <c r="C930" s="24" t="n"/>
      <c r="D930" s="25" t="n"/>
    </row>
    <row r="931" ht="15.75" customHeight="1" s="74">
      <c r="B931" s="13" t="n"/>
      <c r="C931" s="24" t="n"/>
      <c r="D931" s="25" t="n"/>
    </row>
    <row r="932" ht="15.75" customHeight="1" s="74">
      <c r="B932" s="13" t="n"/>
      <c r="C932" s="24" t="n"/>
      <c r="D932" s="25" t="n"/>
    </row>
    <row r="933" ht="15.75" customHeight="1" s="74">
      <c r="B933" s="13" t="n"/>
      <c r="C933" s="24" t="n"/>
      <c r="D933" s="25" t="n"/>
    </row>
    <row r="934" ht="15.75" customHeight="1" s="74">
      <c r="B934" s="13" t="n"/>
      <c r="C934" s="24" t="n"/>
      <c r="D934" s="25" t="n"/>
    </row>
    <row r="935" ht="15.75" customHeight="1" s="74">
      <c r="B935" s="13" t="n"/>
      <c r="C935" s="24" t="n"/>
      <c r="D935" s="25" t="n"/>
    </row>
    <row r="936" ht="15.75" customHeight="1" s="74">
      <c r="B936" s="13" t="n"/>
      <c r="C936" s="24" t="n"/>
      <c r="D936" s="25" t="n"/>
    </row>
    <row r="937" ht="15.75" customHeight="1" s="74">
      <c r="B937" s="13" t="n"/>
      <c r="C937" s="24" t="n"/>
      <c r="D937" s="25" t="n"/>
    </row>
    <row r="938" ht="15.75" customHeight="1" s="74">
      <c r="B938" s="13" t="n"/>
      <c r="C938" s="24" t="n"/>
      <c r="D938" s="25" t="n"/>
    </row>
    <row r="939" ht="15.75" customHeight="1" s="74">
      <c r="B939" s="13" t="n"/>
      <c r="C939" s="24" t="n"/>
      <c r="D939" s="25" t="n"/>
    </row>
    <row r="940" ht="15.75" customHeight="1" s="74">
      <c r="B940" s="13" t="n"/>
      <c r="C940" s="24" t="n"/>
      <c r="D940" s="25" t="n"/>
    </row>
    <row r="941" ht="15.75" customHeight="1" s="74">
      <c r="B941" s="13" t="n"/>
      <c r="C941" s="24" t="n"/>
      <c r="D941" s="25" t="n"/>
    </row>
    <row r="942" ht="15.75" customHeight="1" s="74">
      <c r="B942" s="13" t="n"/>
      <c r="C942" s="24" t="n"/>
      <c r="D942" s="25" t="n"/>
    </row>
    <row r="943" ht="15.75" customHeight="1" s="74">
      <c r="B943" s="13" t="n"/>
      <c r="C943" s="24" t="n"/>
      <c r="D943" s="25" t="n"/>
    </row>
    <row r="944" ht="15.75" customHeight="1" s="74">
      <c r="B944" s="13" t="n"/>
      <c r="C944" s="24" t="n"/>
      <c r="D944" s="25" t="n"/>
    </row>
    <row r="945" ht="15.75" customHeight="1" s="74">
      <c r="B945" s="13" t="n"/>
      <c r="C945" s="24" t="n"/>
      <c r="D945" s="25" t="n"/>
    </row>
    <row r="946" ht="15.75" customHeight="1" s="74">
      <c r="B946" s="13" t="n"/>
      <c r="C946" s="24" t="n"/>
      <c r="D946" s="25" t="n"/>
    </row>
    <row r="947" ht="15.75" customHeight="1" s="74">
      <c r="B947" s="13" t="n"/>
      <c r="C947" s="24" t="n"/>
      <c r="D947" s="25" t="n"/>
    </row>
    <row r="948" ht="15.75" customHeight="1" s="74">
      <c r="B948" s="13" t="n"/>
      <c r="C948" s="24" t="n"/>
      <c r="D948" s="25" t="n"/>
    </row>
    <row r="949" ht="15.75" customHeight="1" s="74">
      <c r="B949" s="13" t="n"/>
      <c r="C949" s="24" t="n"/>
      <c r="D949" s="25" t="n"/>
    </row>
    <row r="950" ht="15.75" customHeight="1" s="74">
      <c r="B950" s="13" t="n"/>
      <c r="C950" s="24" t="n"/>
      <c r="D950" s="25" t="n"/>
    </row>
    <row r="951" ht="15.75" customHeight="1" s="74">
      <c r="B951" s="13" t="n"/>
      <c r="C951" s="24" t="n"/>
      <c r="D951" s="25" t="n"/>
    </row>
    <row r="952" ht="15.75" customHeight="1" s="74">
      <c r="B952" s="13" t="n"/>
      <c r="C952" s="24" t="n"/>
      <c r="D952" s="25" t="n"/>
    </row>
    <row r="953" ht="15.75" customHeight="1" s="74">
      <c r="B953" s="13" t="n"/>
      <c r="C953" s="24" t="n"/>
      <c r="D953" s="25" t="n"/>
    </row>
    <row r="954" ht="15.75" customHeight="1" s="74">
      <c r="B954" s="13" t="n"/>
      <c r="C954" s="24" t="n"/>
      <c r="D954" s="25" t="n"/>
    </row>
    <row r="955" ht="15.75" customHeight="1" s="74">
      <c r="B955" s="13" t="n"/>
      <c r="C955" s="24" t="n"/>
      <c r="D955" s="25" t="n"/>
    </row>
    <row r="956" ht="15.75" customHeight="1" s="74">
      <c r="B956" s="13" t="n"/>
      <c r="C956" s="24" t="n"/>
      <c r="D956" s="25" t="n"/>
    </row>
    <row r="957" ht="15.75" customHeight="1" s="74">
      <c r="B957" s="13" t="n"/>
      <c r="C957" s="24" t="n"/>
      <c r="D957" s="25" t="n"/>
    </row>
    <row r="958" ht="15.75" customHeight="1" s="74">
      <c r="B958" s="13" t="n"/>
      <c r="C958" s="24" t="n"/>
      <c r="D958" s="25" t="n"/>
    </row>
    <row r="959" ht="15.75" customHeight="1" s="74">
      <c r="B959" s="13" t="n"/>
      <c r="C959" s="24" t="n"/>
      <c r="D959" s="25" t="n"/>
    </row>
    <row r="960" ht="15.75" customHeight="1" s="74">
      <c r="B960" s="13" t="n"/>
      <c r="C960" s="24" t="n"/>
      <c r="D960" s="25" t="n"/>
    </row>
    <row r="961" ht="15.75" customHeight="1" s="74">
      <c r="B961" s="13" t="n"/>
      <c r="C961" s="24" t="n"/>
      <c r="D961" s="25" t="n"/>
    </row>
    <row r="962" ht="15.75" customHeight="1" s="74">
      <c r="B962" s="13" t="n"/>
      <c r="C962" s="24" t="n"/>
      <c r="D962" s="25" t="n"/>
    </row>
    <row r="963" ht="15.75" customHeight="1" s="74">
      <c r="B963" s="13" t="n"/>
      <c r="C963" s="24" t="n"/>
      <c r="D963" s="25" t="n"/>
    </row>
    <row r="964" ht="15.75" customHeight="1" s="74">
      <c r="B964" s="13" t="n"/>
      <c r="C964" s="24" t="n"/>
      <c r="D964" s="25" t="n"/>
    </row>
    <row r="965" ht="15.75" customHeight="1" s="74">
      <c r="B965" s="13" t="n"/>
      <c r="C965" s="24" t="n"/>
      <c r="D965" s="25" t="n"/>
    </row>
    <row r="966" ht="15.75" customHeight="1" s="74">
      <c r="B966" s="13" t="n"/>
      <c r="C966" s="24" t="n"/>
      <c r="D966" s="25" t="n"/>
    </row>
    <row r="967" ht="15.75" customHeight="1" s="74">
      <c r="B967" s="13" t="n"/>
      <c r="C967" s="24" t="n"/>
      <c r="D967" s="25" t="n"/>
    </row>
    <row r="968" ht="15.75" customHeight="1" s="74">
      <c r="B968" s="13" t="n"/>
      <c r="C968" s="24" t="n"/>
      <c r="D968" s="25" t="n"/>
    </row>
    <row r="969" ht="15.75" customHeight="1" s="74">
      <c r="B969" s="13" t="n"/>
      <c r="C969" s="24" t="n"/>
      <c r="D969" s="25" t="n"/>
    </row>
    <row r="970" ht="15.75" customHeight="1" s="74">
      <c r="B970" s="13" t="n"/>
      <c r="C970" s="24" t="n"/>
      <c r="D970" s="25" t="n"/>
    </row>
    <row r="971" ht="15.75" customHeight="1" s="74">
      <c r="B971" s="13" t="n"/>
      <c r="C971" s="24" t="n"/>
      <c r="D971" s="25" t="n"/>
    </row>
    <row r="972" ht="15.75" customHeight="1" s="74">
      <c r="B972" s="13" t="n"/>
      <c r="C972" s="24" t="n"/>
      <c r="D972" s="25" t="n"/>
    </row>
    <row r="973" ht="15.75" customHeight="1" s="74">
      <c r="B973" s="13" t="n"/>
      <c r="C973" s="24" t="n"/>
      <c r="D973" s="25" t="n"/>
    </row>
    <row r="974" ht="15.75" customHeight="1" s="74">
      <c r="B974" s="13" t="n"/>
      <c r="C974" s="24" t="n"/>
      <c r="D974" s="25" t="n"/>
    </row>
    <row r="975" ht="15.75" customHeight="1" s="74">
      <c r="B975" s="13" t="n"/>
      <c r="C975" s="24" t="n"/>
      <c r="D975" s="25" t="n"/>
    </row>
    <row r="976" ht="15.75" customHeight="1" s="74">
      <c r="B976" s="13" t="n"/>
      <c r="C976" s="24" t="n"/>
      <c r="D976" s="25" t="n"/>
    </row>
    <row r="977" ht="15.75" customHeight="1" s="74">
      <c r="B977" s="13" t="n"/>
      <c r="C977" s="24" t="n"/>
      <c r="D977" s="25" t="n"/>
    </row>
    <row r="978" ht="15.75" customHeight="1" s="74">
      <c r="B978" s="13" t="n"/>
      <c r="C978" s="24" t="n"/>
      <c r="D978" s="25" t="n"/>
    </row>
    <row r="979" ht="15.75" customHeight="1" s="74">
      <c r="B979" s="13" t="n"/>
      <c r="C979" s="24" t="n"/>
      <c r="D979" s="25" t="n"/>
    </row>
    <row r="980" ht="15.75" customHeight="1" s="74">
      <c r="B980" s="13" t="n"/>
      <c r="C980" s="24" t="n"/>
      <c r="D980" s="25" t="n"/>
    </row>
  </sheetData>
  <dataValidations count="3">
    <dataValidation sqref="A23:A28" showDropDown="0" showInputMessage="0" showErrorMessage="0" allowBlank="1" type="list">
      <formula1>"Vendor,Phase,Role,Annual Licensing Fees,One Time Implementation Fee"</formula1>
    </dataValidation>
    <dataValidation sqref="A4:A9 A14:A18" showDropDown="0" showInputMessage="0" showErrorMessage="0" allowBlank="1" type="list">
      <formula1>"Vendor,Phase,Role,Annual Licensing Fee,One Time Implementation Fee"</formula1>
    </dataValidation>
    <dataValidation sqref="D4:D9 D14:D18 D23:D28" showDropDown="1" showInputMessage="0" showErrorMessage="0" allowBlank="1" type="custom">
      <formula1>AND(ISNUMBER(D4),(NOT(OR(NOT(ISERROR(DATEVALUE(D4))), AND(ISNUMBER(D4), LEFT(CELL("format", D4))="D")))))</formula1>
    </dataValidation>
  </dataValidations>
  <pageMargins left="0.75" right="0.75" top="1" bottom="1" header="0" footer="0"/>
  <pageSetup orientation="landscape"/>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3.xml><?xml version="1.0" encoding="utf-8"?>
<worksheet xmlns="http://schemas.openxmlformats.org/spreadsheetml/2006/main">
  <sheetPr>
    <outlinePr summaryBelow="1" summaryRight="1"/>
    <pageSetUpPr/>
  </sheetPr>
  <dimension ref="A1:AA980"/>
  <sheetViews>
    <sheetView workbookViewId="0">
      <selection activeCell="A1" sqref="A1"/>
    </sheetView>
  </sheetViews>
  <sheetFormatPr baseColWidth="8" defaultColWidth="14.43" defaultRowHeight="15" customHeight="1"/>
  <cols>
    <col width="34.86" customWidth="1" style="74" min="1" max="1"/>
    <col width="26.29" customWidth="1" style="74" min="2" max="2"/>
    <col width="80" customWidth="1" style="74" min="3" max="3"/>
    <col width="19.57" customWidth="1" style="74" min="4" max="4"/>
    <col hidden="1" width="16" customWidth="1" style="74" min="5" max="5"/>
    <col width="8.710000000000001" customWidth="1" style="74" min="6" max="27"/>
  </cols>
  <sheetData>
    <row r="1" ht="15.75" customHeight="1" s="74">
      <c r="B1" s="23" t="n"/>
      <c r="C1" s="24" t="n"/>
      <c r="D1" s="25" t="n"/>
    </row>
    <row r="2" ht="15.75" customHeight="1" s="74">
      <c r="B2" s="23" t="n"/>
      <c r="C2" s="24" t="n"/>
      <c r="D2" s="25" t="n"/>
    </row>
    <row r="3" ht="15.75" customHeight="1" s="74">
      <c r="A3" s="26" t="inlineStr">
        <is>
          <t>Rollup</t>
        </is>
      </c>
      <c r="B3" s="26" t="inlineStr">
        <is>
          <t>Item</t>
        </is>
      </c>
      <c r="C3" s="27" t="inlineStr">
        <is>
          <t>Milestone Deliverables</t>
        </is>
      </c>
      <c r="D3" s="28" t="inlineStr">
        <is>
          <t>Total Cost</t>
        </is>
      </c>
      <c r="E3" s="26" t="inlineStr">
        <is>
          <t>Total Hours</t>
        </is>
      </c>
    </row>
    <row r="4" ht="15.75" customHeight="1" s="74">
      <c r="A4" s="56" t="inlineStr">
        <is>
          <t>Role</t>
        </is>
      </c>
      <c r="B4" s="37" t="inlineStr">
        <is>
          <t>Adobe</t>
        </is>
      </c>
      <c r="C4" s="41">
        <f>IFERROR(__xludf.DUMMYFUNCTION("TEXTJOIN("", "", TRUE, UNIQUE(FILTER('Milestone Plan'!D:D, 'Milestone Plan'!G:G=""Adobe"")))"),"Governance Toolkit + Monthly Summary Reports, Change Management Dashboard, Stakeholder Map, Communication Strategy Draft, Scaled Rollout and Adoption, Internal Communication Plan, Branding Package, Pilot Feedback Summary, Sentiment Dashboard, Persona-Base"&amp;"d Training Modules (UX, Eng, Partner), Unified Enablement Curriculum, Advanced Enablement Program, Awareness Campaign, Success Story Series, Partner Contribution Leaderboard, Recognition Plan, Internal Announcement, Go-Live FAQ, Support Channels, Lessons "&amp;"Learned Summary, KPI Report, Optimization Backlog, Knowledge Transfer Documentation, Ownership Matrix, Future Roadmap, Adoption Dashboards, Sentiment Trend Reports, Internal Case Study + Success Metrics")</f>
        <v/>
      </c>
      <c r="D4" s="42">
        <f>SUMIFS('Milestone Plan'!$R$2:$R$500, 'Milestone Plan'!$G$2:$G$500, "Adobe")</f>
        <v/>
      </c>
      <c r="E4" s="56">
        <f>SUMIFS('Milestone Plan'!$L$2:$L$500, 'Milestone Plan'!$G$2:$G$500, "Adobe")</f>
        <v/>
      </c>
    </row>
    <row r="5" ht="15.75" customHeight="1" s="74">
      <c r="A5" s="56" t="inlineStr">
        <is>
          <t>Role</t>
        </is>
      </c>
      <c r="B5" s="43" t="inlineStr">
        <is>
          <t>Forward Deployed Engineer</t>
        </is>
      </c>
      <c r="C5"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5" s="42">
        <f>SUMIF('Milestone Plan'!F:F, "Senior Solutions Engineer", 'Milestone Plan'!R:R) </f>
        <v/>
      </c>
      <c r="E5" s="56">
        <f>SUMIF('Milestone Plan'!F:F,"Senior Solutions Engineer",'Milestone Plan'!L:L)</f>
        <v/>
      </c>
    </row>
    <row r="6" ht="15.75" customHeight="1" s="74">
      <c r="A6" s="56" t="inlineStr">
        <is>
          <t>Role</t>
        </is>
      </c>
      <c r="B6" s="37" t="inlineStr">
        <is>
          <t>Subject Matter Experts</t>
        </is>
      </c>
      <c r="C6" s="41">
        <f>IFERROR(__xludf.DUMMYFUNCTION("TEXTJOIN("", "", TRUE, FILTER('Milestone Plan'!D:D, 'Milestone Plan'!F:F=""Subject Matter Expert""))
"),"Architecture Validation Log, DevOps Readiness, SSO Integration Checklist")</f>
        <v/>
      </c>
      <c r="D6" s="42">
        <f>SUMIF('Milestone Plan'!H:H, "Subject Matter Expert", 'Milestone Plan'!R:R)</f>
        <v/>
      </c>
      <c r="E6" s="56">
        <f>SUMIF('Milestone Plan'!F:F,"Subject Matter Expert",'Milestone Plan'!L:L)</f>
        <v/>
      </c>
    </row>
    <row r="7" ht="15.75" customHeight="1" s="74">
      <c r="A7" s="56" t="inlineStr">
        <is>
          <t>Role</t>
        </is>
      </c>
      <c r="B7" s="37" t="inlineStr">
        <is>
          <t>CX Partner - Change Management + Coaching for Adobe Team</t>
        </is>
      </c>
      <c r="C7" s="35">
        <f>IFERROR(__xludf.DUMMYFUNCTION("TEXTJOIN("", "", TRUE, FILTER('Milestone Plan'!D:D, 'Milestone Plan'!F:F=""CX Partner - Change Management SME"", 'Milestone Plan'!G:G&lt;&gt;""Adobe""))"),"Change Impact Log, Stakeholder Action Plan, Quarterly Business Review Deck")</f>
        <v/>
      </c>
      <c r="D7" s="47">
        <f>SUMIF('Milestone Plan'!H:H, "CX Partner - Change Management SME", 'Milestone Plan'!R:R)</f>
        <v/>
      </c>
      <c r="E7" s="56">
        <f>SUMIF('Milestone Plan'!H:H,"CX Partner - Change Management SME",'Milestone Plan'!L:L)</f>
        <v/>
      </c>
    </row>
    <row r="8" ht="15.75" customHeight="1" s="74">
      <c r="A8" s="56" t="inlineStr">
        <is>
          <t>One Time Implementation Fee</t>
        </is>
      </c>
      <c r="B8" s="37" t="n"/>
      <c r="C8" s="52" t="n"/>
      <c r="D8" s="47" t="n">
        <v>58380</v>
      </c>
      <c r="E8" s="56" t="n"/>
    </row>
    <row r="9" ht="15.75" customHeight="1" s="74">
      <c r="A9" s="56" t="inlineStr">
        <is>
          <t>Annual Licensing Fee</t>
        </is>
      </c>
      <c r="B9" s="37" t="n"/>
      <c r="C9" s="41" t="n"/>
      <c r="D9" s="42" t="n">
        <v>250000</v>
      </c>
      <c r="E9" s="56" t="n"/>
    </row>
    <row r="10" ht="15.75" customHeight="1" s="74">
      <c r="A10" s="56" t="n"/>
      <c r="B10" s="37" t="inlineStr">
        <is>
          <t xml:space="preserve">Non-Subscription Price </t>
        </is>
      </c>
      <c r="C10" s="41" t="n"/>
      <c r="D10" s="42">
        <f>sum(CX_Coaching_3[Total Cost])</f>
        <v/>
      </c>
      <c r="E10" s="56">
        <f>sum(CX_Coaching_3[Total Hours])</f>
        <v/>
      </c>
    </row>
    <row r="11" ht="15.75" customHeight="1" s="74">
      <c r="B11" s="13" t="n"/>
      <c r="C11" s="24" t="n"/>
      <c r="D11" s="25" t="n"/>
    </row>
    <row r="12" hidden="1" ht="15.75" customHeight="1" s="74">
      <c r="B12" s="23" t="n"/>
      <c r="C12" s="24" t="n"/>
      <c r="D12" s="25" t="n"/>
    </row>
    <row r="13" hidden="1" ht="15.75" customHeight="1" s="74">
      <c r="A13" s="26" t="inlineStr">
        <is>
          <t>Rollup</t>
        </is>
      </c>
      <c r="B13" s="26" t="inlineStr">
        <is>
          <t>Item</t>
        </is>
      </c>
      <c r="C13" s="27" t="inlineStr">
        <is>
          <t>Count of Milestone Deliverables</t>
        </is>
      </c>
      <c r="D13" s="28" t="inlineStr">
        <is>
          <t>Total Cost</t>
        </is>
      </c>
      <c r="E13" s="26" t="inlineStr">
        <is>
          <t>Total Hours</t>
        </is>
      </c>
    </row>
    <row r="14" hidden="1" ht="15.75" customHeight="1" s="74">
      <c r="A14" s="56" t="inlineStr">
        <is>
          <t>Role</t>
        </is>
      </c>
      <c r="B14" s="37" t="inlineStr">
        <is>
          <t>Adobe</t>
        </is>
      </c>
      <c r="C14" s="41">
        <f>IFERROR(__xludf.DUMMYFUNCTION("TEXTJOIN("", "", TRUE, FILTER('Milestone Plan'!D:D, 'Milestone Plan'!F:F=""Project Manager""))"),"Governance Toolkit + Monthly Summary Reports, Project Governance Tracker, Phase 1 Exit Report, Technical Readiness Checklist, Internal Announcement, Go-Live FAQ, Support Channels, Lessons Learned Summary, KPI Report, Optimization Backlog")</f>
        <v/>
      </c>
      <c r="D14" s="42">
        <f>SUMIFS('Milestone Plan'!$R$2:$R$500, 'Milestone Plan'!$G$2:$G$500, "Adobe")</f>
        <v/>
      </c>
      <c r="E14" s="56">
        <f>SUM(SUMIF('Milestone Plan'!H:H,"Project Manager",'Milestone Plan'!L:L),SUMIF('Milestone Plan'!H:H,"CX Partner - Change Management SME",'Milestone Plan'!L:L),SUMIF('Milestone Plan'!H:H,"Design System Lead",'Milestone Plan'!L:L))</f>
        <v/>
      </c>
    </row>
    <row r="15" hidden="1" ht="15.75" customHeight="1" s="74">
      <c r="A15" s="56" t="inlineStr">
        <is>
          <t>Role</t>
        </is>
      </c>
      <c r="B15" s="51" t="inlineStr">
        <is>
          <t>Forward Deployed Engineer</t>
        </is>
      </c>
      <c r="C15"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15" s="42">
        <f>SUMIF('Milestone Plan'!F:F, "Senior Solutions Engineer", 'Milestone Plan'!R:R) </f>
        <v/>
      </c>
      <c r="E15" s="56">
        <f>SUMIF('Milestone Plan'!F:F,"Senior Solutions Engineer",'Milestone Plan'!L:L)</f>
        <v/>
      </c>
    </row>
    <row r="16" hidden="1" ht="15.75" customHeight="1" s="74">
      <c r="A16" s="56" t="inlineStr">
        <is>
          <t>Role</t>
        </is>
      </c>
      <c r="B16" s="37" t="inlineStr">
        <is>
          <t>Subject Matter Experts</t>
        </is>
      </c>
      <c r="C16" s="41">
        <f>IFERROR(__xludf.DUMMYFUNCTION("TEXTJOIN("", "", TRUE, FILTER('Milestone Plan'!D:D, 'Milestone Plan'!F:F=""Subject Matter Expert""))
"),"Architecture Validation Log, DevOps Readiness, SSO Integration Checklist")</f>
        <v/>
      </c>
      <c r="D16" s="42">
        <f>SUMIF('Milestone Plan'!H:H, "Subject Matter Expert", 'Milestone Plan'!R:R)</f>
        <v/>
      </c>
      <c r="E16" s="56">
        <f>SUMIF('Milestone Plan'!F:F,"Subject Matter Expert",'Milestone Plan'!L:L)</f>
        <v/>
      </c>
    </row>
    <row r="17" hidden="1" ht="15.75" customHeight="1" s="74">
      <c r="A17" s="56" t="inlineStr">
        <is>
          <t>One Time Implementation Fee</t>
        </is>
      </c>
      <c r="B17" s="37" t="n"/>
      <c r="C17" s="52" t="n"/>
      <c r="D17" s="47" t="n">
        <v>58380</v>
      </c>
      <c r="E17" s="56" t="n"/>
    </row>
    <row r="18" hidden="1" ht="15.75" customHeight="1" s="74">
      <c r="A18" s="56" t="inlineStr">
        <is>
          <t>Annual Licensing Fee</t>
        </is>
      </c>
      <c r="B18" s="37" t="n"/>
      <c r="C18" s="41" t="n"/>
      <c r="D18" s="42" t="n">
        <v>250000</v>
      </c>
      <c r="E18" s="56" t="n"/>
    </row>
    <row r="19" hidden="1" ht="15.75" customHeight="1" s="74">
      <c r="A19" s="56" t="n"/>
      <c r="B19" s="37" t="inlineStr">
        <is>
          <t xml:space="preserve">Non-Subscription Price </t>
        </is>
      </c>
      <c r="C19" s="41" t="n"/>
      <c r="D19" s="42">
        <f>sum(FDE_Only_3[Total Cost])</f>
        <v/>
      </c>
      <c r="E19" s="56">
        <f>sum(FDE_Only_3[Total Hours])</f>
        <v/>
      </c>
    </row>
    <row r="20" hidden="1" ht="15.75" customHeight="1" s="74">
      <c r="B20" s="13" t="n"/>
      <c r="C20" s="24" t="n"/>
      <c r="D20" s="25" t="n"/>
    </row>
    <row r="21" hidden="1" ht="15.75" customHeight="1" s="74">
      <c r="B21" s="23" t="n"/>
      <c r="C21" s="24" t="n"/>
      <c r="D21" s="25" t="n"/>
    </row>
    <row r="22" hidden="1" ht="15.75" customHeight="1" s="74">
      <c r="A22" s="26" t="inlineStr">
        <is>
          <t>Rollup</t>
        </is>
      </c>
      <c r="B22" s="26" t="inlineStr">
        <is>
          <t>Item</t>
        </is>
      </c>
      <c r="C22" s="27" t="inlineStr">
        <is>
          <t>Count of Milestone Deliverables</t>
        </is>
      </c>
      <c r="D22" s="28" t="inlineStr">
        <is>
          <t>Total Cost</t>
        </is>
      </c>
      <c r="E22" s="26" t="inlineStr">
        <is>
          <t>Total Hours</t>
        </is>
      </c>
    </row>
    <row r="23" hidden="1" ht="15.75" customHeight="1" s="74">
      <c r="A23" s="56" t="inlineStr">
        <is>
          <t>Role</t>
        </is>
      </c>
      <c r="B23" s="51" t="inlineStr">
        <is>
          <t>Project Manager</t>
        </is>
      </c>
      <c r="C23" s="41">
        <f>IFERROR(__xludf.DUMMYFUNCTION("TEXTJOIN("", "", TRUE, FILTER('Milestone Plan'!D:D, 'Milestone Plan'!F:F=""Project Manager""))"),"Governance Toolkit + Monthly Summary Reports, Project Governance Tracker, Phase 1 Exit Report, Technical Readiness Checklist, Internal Announcement, Go-Live FAQ, Support Channels, Lessons Learned Summary, KPI Report, Optimization Backlog")</f>
        <v/>
      </c>
      <c r="D23" s="47" t="n">
        <v>18720</v>
      </c>
      <c r="E23" s="56" t="n">
        <v>104</v>
      </c>
    </row>
    <row r="24" hidden="1" ht="15.75" customHeight="1" s="74">
      <c r="A24" s="56" t="inlineStr">
        <is>
          <t>Role</t>
        </is>
      </c>
      <c r="B24" s="51" t="inlineStr">
        <is>
          <t>Forward Deployed Engineer</t>
        </is>
      </c>
      <c r="C24"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24" s="47" t="n">
        <v>220220</v>
      </c>
      <c r="E24" s="56" t="n">
        <v>911</v>
      </c>
    </row>
    <row r="25" hidden="1" ht="15.75" customHeight="1" s="74">
      <c r="A25" s="56" t="inlineStr">
        <is>
          <t>Role</t>
        </is>
      </c>
      <c r="B25" s="37" t="inlineStr">
        <is>
          <t>CX Partner - Change Management SME</t>
        </is>
      </c>
      <c r="C25" s="41">
        <f>IFERROR(__xludf.DUMMYFUNCTION("TEXTJOIN("", "", TRUE, FILTER('Milestone Plan'!D:D, 'Milestone Plan'!F:F=""CX Partner - Change Management SME""))"),"Change Management Dashboard, Stakeholder Map, Communication Strategy Draft, Scaled Rollout and Adoption, Internal Communication Plan, Branding Package, Pilot Feedback Summary, Sentiment Dashboard, Persona-Based Training Modules (UX, Eng, Partner), Change "&amp;"Impact Log, Stakeholder Action Plan, Awareness Campaign, Success Story Series, Partner Contribution Leaderboard, Recognition Plan, Adoption Dashboards, Sentiment Trend Reports, Quarterly Business Review Deck, Internal Case Study + Success Metrics")</f>
        <v/>
      </c>
      <c r="D25" s="47" t="n">
        <v>187200</v>
      </c>
      <c r="E25" s="56" t="n">
        <v>362</v>
      </c>
    </row>
    <row r="26" hidden="1" ht="15.75" customHeight="1" s="74">
      <c r="A26" s="56" t="inlineStr">
        <is>
          <t>Role</t>
        </is>
      </c>
      <c r="B26" s="37" t="inlineStr">
        <is>
          <t xml:space="preserve">Subject Matter Experts - included in ProServices Subscription </t>
        </is>
      </c>
      <c r="C26" s="56">
        <f>IFERROR(__xludf.DUMMYFUNCTION("TEXTJOIN("", "", TRUE, FILTER('Milestone Plan'!D:D, 'Milestone Plan'!F:F=""Subject Matter Expert""))
"),"Architecture Validation Log, DevOps Readiness, SSO Integration Checklist")</f>
        <v/>
      </c>
      <c r="D26" s="47" t="n">
        <v>0</v>
      </c>
      <c r="E26" s="56">
        <f>E16</f>
        <v/>
      </c>
    </row>
    <row r="27" hidden="1" ht="15.75" customHeight="1" s="74">
      <c r="A27" s="56" t="inlineStr">
        <is>
          <t>One Time Implementation Fee</t>
        </is>
      </c>
      <c r="B27" s="37" t="n"/>
      <c r="C27" s="52" t="n"/>
      <c r="D27" s="47" t="n">
        <v>58380</v>
      </c>
      <c r="E27" s="56" t="n"/>
    </row>
    <row r="28" hidden="1" ht="15.75" customHeight="1" s="74">
      <c r="A28" s="56" t="inlineStr">
        <is>
          <t>Annual Licensing Fees</t>
        </is>
      </c>
      <c r="B28" s="37" t="n"/>
      <c r="C28" s="41" t="n"/>
      <c r="D28" s="42" t="n">
        <v>250000</v>
      </c>
      <c r="E28" s="56" t="n"/>
    </row>
    <row r="29" hidden="1" ht="15.75" customHeight="1" s="74">
      <c r="A29" s="56" t="n"/>
      <c r="B29" s="37" t="inlineStr">
        <is>
          <t xml:space="preserve">Non-Subscription Price </t>
        </is>
      </c>
      <c r="C29" s="41" t="n"/>
      <c r="D29" s="42">
        <f>sum(Proposal_3[Total Cost])</f>
        <v/>
      </c>
      <c r="E29" s="56">
        <f>sum(Proposal_3[Total Hours])</f>
        <v/>
      </c>
    </row>
    <row r="30" hidden="1" ht="15.75" customHeight="1" s="74">
      <c r="C30" s="46" t="inlineStr">
        <is>
          <t>Total Year 1 Software and Implementation + Pro Services</t>
        </is>
      </c>
      <c r="D30" s="47">
        <f>Proposal_3[[#TOTALS],[Total Cost]]</f>
        <v/>
      </c>
    </row>
    <row r="31" hidden="1" ht="15.75" customHeight="1" s="74">
      <c r="A31" s="48" t="n"/>
      <c r="C31" s="49" t="inlineStr">
        <is>
          <t>Discount 15% for ProServcies Subscription</t>
        </is>
      </c>
      <c r="D31" s="50">
        <f>0.1505377662</f>
        <v/>
      </c>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c r="AA31" s="48" t="n"/>
    </row>
    <row r="32" hidden="1" ht="15.75" customHeight="1" s="74">
      <c r="C32" s="46" t="inlineStr">
        <is>
          <t>Discounted Total Year 1 Software and Implementation + Pro Services</t>
        </is>
      </c>
      <c r="D32" s="47">
        <f>Proposal_3[[#TOTALS],[Total Cost]]-(D30*D31)</f>
        <v/>
      </c>
    </row>
    <row r="33" ht="15.75" customHeight="1" s="74">
      <c r="B33" s="13" t="n"/>
      <c r="C33" s="24" t="n"/>
      <c r="D33" s="25" t="n"/>
    </row>
    <row r="34" ht="15.75" customHeight="1" s="74">
      <c r="B34" s="13" t="n"/>
      <c r="C34" s="24" t="n"/>
      <c r="D34" s="25" t="n"/>
    </row>
    <row r="35" ht="15.75" customHeight="1" s="74">
      <c r="B35" s="51" t="n"/>
      <c r="C35" s="52" t="n"/>
      <c r="D35" s="47" t="n"/>
    </row>
    <row r="36" ht="15.75" customHeight="1" s="74">
      <c r="B36" s="51" t="n"/>
      <c r="C36" s="52" t="n"/>
      <c r="D36" s="47" t="n"/>
    </row>
    <row r="37" ht="15.75" customHeight="1" s="74">
      <c r="B37" s="51" t="n"/>
      <c r="C37" s="52" t="n"/>
      <c r="D37" s="47" t="n"/>
    </row>
    <row r="38" ht="15.75" customHeight="1" s="74">
      <c r="B38" s="13" t="n"/>
      <c r="C38" s="24" t="n"/>
      <c r="D38" s="25" t="n"/>
    </row>
    <row r="39" ht="15.75" customHeight="1" s="74">
      <c r="B39" s="13" t="n"/>
      <c r="C39" s="24" t="n"/>
      <c r="D39" s="25" t="n"/>
    </row>
    <row r="40" ht="15.75" customHeight="1" s="74">
      <c r="B40" s="13" t="n"/>
      <c r="C40" s="24" t="n"/>
      <c r="D40" s="25" t="n"/>
    </row>
    <row r="41" ht="15.75" customHeight="1" s="74">
      <c r="B41" s="13" t="n"/>
      <c r="C41" s="24" t="n"/>
      <c r="D41" s="25" t="n"/>
    </row>
    <row r="42" ht="15.75" customHeight="1" s="74">
      <c r="B42" s="13" t="n"/>
      <c r="C42" s="24" t="n"/>
      <c r="D42" s="25" t="n"/>
    </row>
    <row r="43" ht="15.75" customHeight="1" s="74">
      <c r="B43" s="13" t="n"/>
      <c r="C43" s="24" t="n"/>
      <c r="D43" s="25" t="n"/>
    </row>
    <row r="44" ht="15.75" customHeight="1" s="74">
      <c r="B44" s="13" t="n"/>
      <c r="C44" s="24" t="n"/>
      <c r="D44" s="25" t="n"/>
    </row>
    <row r="45" ht="15.75" customHeight="1" s="74">
      <c r="B45" s="13" t="n"/>
      <c r="C45" s="24" t="n"/>
      <c r="D45" s="25" t="n"/>
    </row>
    <row r="46" ht="15.75" customHeight="1" s="74">
      <c r="B46" s="13" t="n"/>
      <c r="C46" s="24" t="n"/>
      <c r="D46" s="25" t="n"/>
    </row>
    <row r="47" ht="15.75" customHeight="1" s="74">
      <c r="B47" s="13" t="n"/>
      <c r="C47" s="24" t="n"/>
      <c r="D47" s="25" t="n"/>
    </row>
    <row r="48" ht="15.75" customHeight="1" s="74">
      <c r="B48" s="13" t="n"/>
      <c r="C48" s="24" t="n"/>
      <c r="D48" s="25" t="n"/>
    </row>
    <row r="49" ht="15.75" customHeight="1" s="74">
      <c r="B49" s="13" t="n"/>
      <c r="C49" s="24" t="n"/>
      <c r="D49" s="25" t="n"/>
    </row>
    <row r="50" ht="15.75" customHeight="1" s="74">
      <c r="B50" s="13" t="n"/>
      <c r="C50" s="24" t="n"/>
      <c r="D50" s="25" t="n"/>
    </row>
    <row r="51" ht="15.75" customHeight="1" s="74">
      <c r="B51" s="13" t="n"/>
      <c r="C51" s="24" t="n"/>
      <c r="D51" s="25" t="n"/>
    </row>
    <row r="52" ht="15.75" customHeight="1" s="74">
      <c r="B52" s="13" t="n"/>
      <c r="C52" s="24" t="n"/>
      <c r="D52" s="25" t="n"/>
    </row>
    <row r="53" ht="15.75" customHeight="1" s="74">
      <c r="B53" s="13" t="n"/>
      <c r="C53" s="24" t="n"/>
      <c r="D53" s="25" t="n"/>
    </row>
    <row r="54" ht="15.75" customHeight="1" s="74">
      <c r="B54" s="13" t="n"/>
      <c r="C54" s="24" t="n"/>
      <c r="D54" s="25" t="n"/>
    </row>
    <row r="55" ht="15.75" customHeight="1" s="74">
      <c r="B55" s="13" t="n"/>
      <c r="C55" s="24" t="n"/>
      <c r="D55" s="25" t="n"/>
    </row>
    <row r="56" ht="15.75" customHeight="1" s="74">
      <c r="B56" s="13" t="n"/>
      <c r="C56" s="24" t="n"/>
      <c r="D56" s="25" t="n"/>
    </row>
    <row r="57" ht="15.75" customHeight="1" s="74">
      <c r="B57" s="13" t="n"/>
      <c r="C57" s="24" t="n"/>
      <c r="D57" s="25" t="n"/>
    </row>
    <row r="58" ht="15.75" customHeight="1" s="74">
      <c r="B58" s="13" t="n"/>
      <c r="C58" s="24" t="n"/>
      <c r="D58" s="25" t="n"/>
    </row>
    <row r="59" ht="15.75" customHeight="1" s="74">
      <c r="B59" s="13" t="n"/>
      <c r="C59" s="24" t="n"/>
      <c r="D59" s="25" t="n"/>
    </row>
    <row r="60" ht="15.75" customHeight="1" s="74">
      <c r="B60" s="13" t="n"/>
      <c r="C60" s="24" t="n"/>
      <c r="D60" s="25" t="n"/>
    </row>
    <row r="61" ht="15.75" customHeight="1" s="74">
      <c r="B61" s="13" t="n"/>
      <c r="C61" s="24" t="n"/>
      <c r="D61" s="25" t="n"/>
    </row>
    <row r="62" ht="15.75" customHeight="1" s="74">
      <c r="B62" s="13" t="n"/>
      <c r="C62" s="24" t="n"/>
      <c r="D62" s="25" t="n"/>
    </row>
    <row r="63" ht="15.75" customHeight="1" s="74">
      <c r="B63" s="13" t="n"/>
      <c r="C63" s="24" t="n"/>
      <c r="D63" s="25" t="n"/>
    </row>
    <row r="64" ht="15.75" customHeight="1" s="74">
      <c r="B64" s="13" t="n"/>
      <c r="C64" s="24" t="n"/>
      <c r="D64" s="25" t="n"/>
    </row>
    <row r="65" ht="15.75" customHeight="1" s="74">
      <c r="B65" s="13" t="n"/>
      <c r="C65" s="24" t="n"/>
      <c r="D65" s="25" t="n"/>
    </row>
    <row r="66" ht="15.75" customHeight="1" s="74">
      <c r="B66" s="13" t="n"/>
      <c r="C66" s="24" t="n"/>
      <c r="D66" s="25" t="n"/>
    </row>
    <row r="67" ht="15.75" customHeight="1" s="74">
      <c r="B67" s="13" t="n"/>
      <c r="C67" s="24" t="n"/>
      <c r="D67" s="25" t="n"/>
    </row>
    <row r="68" ht="15.75" customHeight="1" s="74">
      <c r="B68" s="13" t="n"/>
      <c r="C68" s="24" t="n"/>
      <c r="D68" s="25" t="n"/>
    </row>
    <row r="69" ht="15.75" customHeight="1" s="74">
      <c r="B69" s="13" t="n"/>
      <c r="C69" s="24" t="n"/>
      <c r="D69" s="25" t="n"/>
    </row>
    <row r="70" ht="15.75" customHeight="1" s="74">
      <c r="B70" s="13" t="n"/>
      <c r="C70" s="24" t="n"/>
      <c r="D70" s="25" t="n"/>
    </row>
    <row r="71" ht="15.75" customHeight="1" s="74">
      <c r="B71" s="13" t="n"/>
      <c r="C71" s="24" t="n"/>
      <c r="D71" s="25" t="n"/>
    </row>
    <row r="72" ht="15.75" customHeight="1" s="74">
      <c r="B72" s="13" t="n"/>
      <c r="C72" s="24" t="n"/>
      <c r="D72" s="25" t="n"/>
    </row>
    <row r="73" ht="15.75" customHeight="1" s="74">
      <c r="B73" s="13" t="n"/>
      <c r="C73" s="24" t="n"/>
      <c r="D73" s="25" t="n"/>
    </row>
    <row r="74" ht="15.75" customHeight="1" s="74">
      <c r="B74" s="13" t="n"/>
      <c r="C74" s="24" t="n"/>
      <c r="D74" s="25" t="n"/>
    </row>
    <row r="75" ht="15.75" customHeight="1" s="74">
      <c r="B75" s="13" t="n"/>
      <c r="C75" s="24" t="n"/>
      <c r="D75" s="25" t="n"/>
    </row>
    <row r="76" ht="15.75" customHeight="1" s="74">
      <c r="B76" s="13" t="n"/>
      <c r="C76" s="24" t="n"/>
      <c r="D76" s="25" t="n"/>
    </row>
    <row r="77" ht="15.75" customHeight="1" s="74">
      <c r="B77" s="13" t="n"/>
      <c r="C77" s="24" t="n"/>
      <c r="D77" s="25" t="n"/>
    </row>
    <row r="78" ht="15.75" customHeight="1" s="74">
      <c r="B78" s="13" t="n"/>
      <c r="C78" s="24" t="n"/>
      <c r="D78" s="25" t="n"/>
    </row>
    <row r="79" ht="15.75" customHeight="1" s="74">
      <c r="B79" s="13" t="n"/>
      <c r="C79" s="24" t="n"/>
      <c r="D79" s="25" t="n"/>
    </row>
    <row r="80" ht="15.75" customHeight="1" s="74">
      <c r="B80" s="13" t="n"/>
      <c r="C80" s="24" t="n"/>
      <c r="D80" s="25" t="n"/>
    </row>
    <row r="81" ht="15.75" customHeight="1" s="74">
      <c r="B81" s="13" t="n"/>
      <c r="C81" s="24" t="n"/>
      <c r="D81" s="25" t="n"/>
    </row>
    <row r="82" ht="15.75" customHeight="1" s="74">
      <c r="B82" s="13" t="n"/>
      <c r="C82" s="24" t="n"/>
      <c r="D82" s="25" t="n"/>
    </row>
    <row r="83" ht="15.75" customHeight="1" s="74">
      <c r="B83" s="13" t="n"/>
      <c r="C83" s="24" t="n"/>
      <c r="D83" s="25" t="n"/>
    </row>
    <row r="84" ht="15.75" customHeight="1" s="74">
      <c r="B84" s="13" t="n"/>
      <c r="C84" s="24" t="n"/>
      <c r="D84" s="25" t="n"/>
    </row>
    <row r="85" ht="15.75" customHeight="1" s="74">
      <c r="B85" s="13" t="n"/>
      <c r="C85" s="24" t="n"/>
      <c r="D85" s="25" t="n"/>
    </row>
    <row r="86" ht="15.75" customHeight="1" s="74">
      <c r="B86" s="13" t="n"/>
      <c r="C86" s="24" t="n"/>
      <c r="D86" s="25" t="n"/>
    </row>
    <row r="87" ht="15.75" customHeight="1" s="74">
      <c r="B87" s="13" t="n"/>
      <c r="C87" s="24" t="n"/>
      <c r="D87" s="25" t="n"/>
    </row>
    <row r="88" ht="15.75" customHeight="1" s="74">
      <c r="B88" s="13" t="n"/>
      <c r="C88" s="24" t="n"/>
      <c r="D88" s="25" t="n"/>
    </row>
    <row r="89" ht="15.75" customHeight="1" s="74">
      <c r="B89" s="13" t="n"/>
      <c r="C89" s="24" t="n"/>
      <c r="D89" s="25" t="n"/>
    </row>
    <row r="90" ht="15.75" customHeight="1" s="74">
      <c r="B90" s="13" t="n"/>
      <c r="C90" s="24" t="n"/>
      <c r="D90" s="25" t="n"/>
    </row>
    <row r="91" ht="15.75" customHeight="1" s="74">
      <c r="B91" s="13" t="n"/>
      <c r="C91" s="24" t="n"/>
      <c r="D91" s="25" t="n"/>
    </row>
    <row r="92" ht="15.75" customHeight="1" s="74">
      <c r="B92" s="13" t="n"/>
      <c r="C92" s="24" t="n"/>
      <c r="D92" s="25" t="n"/>
    </row>
    <row r="93" ht="15.75" customHeight="1" s="74">
      <c r="B93" s="13" t="n"/>
      <c r="C93" s="24" t="n"/>
      <c r="D93" s="25" t="n"/>
    </row>
    <row r="94" ht="15.75" customHeight="1" s="74">
      <c r="B94" s="13" t="n"/>
      <c r="C94" s="24" t="n"/>
      <c r="D94" s="25" t="n"/>
    </row>
    <row r="95" ht="15.75" customHeight="1" s="74">
      <c r="B95" s="13" t="n"/>
      <c r="C95" s="24" t="n"/>
      <c r="D95" s="25" t="n"/>
    </row>
    <row r="96" ht="15.75" customHeight="1" s="74">
      <c r="B96" s="13" t="n"/>
      <c r="C96" s="24" t="n"/>
      <c r="D96" s="25" t="n"/>
    </row>
    <row r="97" ht="15.75" customHeight="1" s="74">
      <c r="B97" s="13" t="n"/>
      <c r="C97" s="24" t="n"/>
      <c r="D97" s="25" t="n"/>
    </row>
    <row r="98" ht="15.75" customHeight="1" s="74">
      <c r="B98" s="13" t="n"/>
      <c r="C98" s="24" t="n"/>
      <c r="D98" s="25" t="n"/>
    </row>
    <row r="99" ht="15.75" customHeight="1" s="74">
      <c r="B99" s="13" t="n"/>
      <c r="C99" s="24" t="n"/>
      <c r="D99" s="25" t="n"/>
    </row>
    <row r="100" ht="15.75" customHeight="1" s="74">
      <c r="B100" s="13" t="n"/>
      <c r="C100" s="24" t="n"/>
      <c r="D100" s="25" t="n"/>
    </row>
    <row r="101" ht="15.75" customHeight="1" s="74">
      <c r="B101" s="13" t="n"/>
      <c r="C101" s="24" t="n"/>
      <c r="D101" s="25" t="n"/>
    </row>
    <row r="102" ht="15.75" customHeight="1" s="74">
      <c r="B102" s="13" t="n"/>
      <c r="C102" s="24" t="n"/>
      <c r="D102" s="25" t="n"/>
    </row>
    <row r="103" ht="15.75" customHeight="1" s="74">
      <c r="B103" s="13" t="n"/>
      <c r="C103" s="24" t="n"/>
      <c r="D103" s="25" t="n"/>
    </row>
    <row r="104" ht="15.75" customHeight="1" s="74">
      <c r="B104" s="13" t="n"/>
      <c r="C104" s="24" t="n"/>
      <c r="D104" s="25" t="n"/>
    </row>
    <row r="105" ht="15.75" customHeight="1" s="74">
      <c r="B105" s="13" t="n"/>
      <c r="C105" s="24" t="n"/>
      <c r="D105" s="25" t="n"/>
    </row>
    <row r="106" ht="15.75" customHeight="1" s="74">
      <c r="B106" s="13" t="n"/>
      <c r="C106" s="24" t="n"/>
      <c r="D106" s="25" t="n"/>
    </row>
    <row r="107" ht="15.75" customHeight="1" s="74">
      <c r="B107" s="13" t="n"/>
      <c r="C107" s="24" t="n"/>
      <c r="D107" s="25" t="n"/>
    </row>
    <row r="108" ht="15.75" customHeight="1" s="74">
      <c r="B108" s="13" t="n"/>
      <c r="C108" s="24" t="n"/>
      <c r="D108" s="25" t="n"/>
    </row>
    <row r="109" ht="15.75" customHeight="1" s="74">
      <c r="B109" s="13" t="n"/>
      <c r="C109" s="24" t="n"/>
      <c r="D109" s="25" t="n"/>
    </row>
    <row r="110" ht="15.75" customHeight="1" s="74">
      <c r="B110" s="13" t="n"/>
      <c r="C110" s="24" t="n"/>
      <c r="D110" s="25" t="n"/>
    </row>
    <row r="111" ht="15.75" customHeight="1" s="74">
      <c r="B111" s="13" t="n"/>
      <c r="C111" s="24" t="n"/>
      <c r="D111" s="25" t="n"/>
    </row>
    <row r="112" ht="15.75" customHeight="1" s="74">
      <c r="B112" s="13" t="n"/>
      <c r="C112" s="24" t="n"/>
      <c r="D112" s="25" t="n"/>
    </row>
    <row r="113" ht="15.75" customHeight="1" s="74">
      <c r="B113" s="13" t="n"/>
      <c r="C113" s="24" t="n"/>
      <c r="D113" s="25" t="n"/>
    </row>
    <row r="114" ht="15.75" customHeight="1" s="74">
      <c r="B114" s="13" t="n"/>
      <c r="C114" s="24" t="n"/>
      <c r="D114" s="25" t="n"/>
    </row>
    <row r="115" ht="15.75" customHeight="1" s="74">
      <c r="B115" s="13" t="n"/>
      <c r="C115" s="24" t="n"/>
      <c r="D115" s="25" t="n"/>
    </row>
    <row r="116" ht="15.75" customHeight="1" s="74">
      <c r="B116" s="13" t="n"/>
      <c r="C116" s="24" t="n"/>
      <c r="D116" s="25" t="n"/>
    </row>
    <row r="117" ht="15.75" customHeight="1" s="74">
      <c r="B117" s="13" t="n"/>
      <c r="C117" s="24" t="n"/>
      <c r="D117" s="25" t="n"/>
    </row>
    <row r="118" ht="15.75" customHeight="1" s="74">
      <c r="B118" s="13" t="n"/>
      <c r="C118" s="24" t="n"/>
      <c r="D118" s="25" t="n"/>
    </row>
    <row r="119" ht="15.75" customHeight="1" s="74">
      <c r="B119" s="13" t="n"/>
      <c r="C119" s="24" t="n"/>
      <c r="D119" s="25" t="n"/>
    </row>
    <row r="120" ht="15.75" customHeight="1" s="74">
      <c r="B120" s="13" t="n"/>
      <c r="C120" s="24" t="n"/>
      <c r="D120" s="25" t="n"/>
    </row>
    <row r="121" ht="15.75" customHeight="1" s="74">
      <c r="B121" s="13" t="n"/>
      <c r="C121" s="24" t="n"/>
      <c r="D121" s="25" t="n"/>
    </row>
    <row r="122" ht="15.75" customHeight="1" s="74">
      <c r="B122" s="13" t="n"/>
      <c r="C122" s="24" t="n"/>
      <c r="D122" s="25" t="n"/>
    </row>
    <row r="123" ht="15.75" customHeight="1" s="74">
      <c r="B123" s="13" t="n"/>
      <c r="C123" s="24" t="n"/>
      <c r="D123" s="25" t="n"/>
    </row>
    <row r="124" ht="15.75" customHeight="1" s="74">
      <c r="B124" s="13" t="n"/>
      <c r="C124" s="24" t="n"/>
      <c r="D124" s="25" t="n"/>
    </row>
    <row r="125" ht="15.75" customHeight="1" s="74">
      <c r="B125" s="13" t="n"/>
      <c r="C125" s="24" t="n"/>
      <c r="D125" s="25" t="n"/>
    </row>
    <row r="126" ht="15.75" customHeight="1" s="74">
      <c r="B126" s="13" t="n"/>
      <c r="C126" s="24" t="n"/>
      <c r="D126" s="25" t="n"/>
    </row>
    <row r="127" ht="15.75" customHeight="1" s="74">
      <c r="B127" s="13" t="n"/>
      <c r="C127" s="24" t="n"/>
      <c r="D127" s="25" t="n"/>
    </row>
    <row r="128" ht="15.75" customHeight="1" s="74">
      <c r="B128" s="13" t="n"/>
      <c r="C128" s="24" t="n"/>
      <c r="D128" s="25" t="n"/>
    </row>
    <row r="129" ht="15.75" customHeight="1" s="74">
      <c r="B129" s="13" t="n"/>
      <c r="C129" s="24" t="n"/>
      <c r="D129" s="25" t="n"/>
    </row>
    <row r="130" ht="15.75" customHeight="1" s="74">
      <c r="B130" s="13" t="n"/>
      <c r="C130" s="24" t="n"/>
      <c r="D130" s="25" t="n"/>
    </row>
    <row r="131" ht="15.75" customHeight="1" s="74">
      <c r="B131" s="13" t="n"/>
      <c r="C131" s="24" t="n"/>
      <c r="D131" s="25" t="n"/>
    </row>
    <row r="132" ht="15.75" customHeight="1" s="74">
      <c r="B132" s="13" t="n"/>
      <c r="C132" s="24" t="n"/>
      <c r="D132" s="25" t="n"/>
    </row>
    <row r="133" ht="15.75" customHeight="1" s="74">
      <c r="B133" s="13" t="n"/>
      <c r="C133" s="24" t="n"/>
      <c r="D133" s="25" t="n"/>
    </row>
    <row r="134" ht="15.75" customHeight="1" s="74">
      <c r="B134" s="13" t="n"/>
      <c r="C134" s="24" t="n"/>
      <c r="D134" s="25" t="n"/>
    </row>
    <row r="135" ht="15.75" customHeight="1" s="74">
      <c r="B135" s="13" t="n"/>
      <c r="C135" s="24" t="n"/>
      <c r="D135" s="25" t="n"/>
    </row>
    <row r="136" ht="15.75" customHeight="1" s="74">
      <c r="B136" s="13" t="n"/>
      <c r="C136" s="24" t="n"/>
      <c r="D136" s="25" t="n"/>
    </row>
    <row r="137" ht="15.75" customHeight="1" s="74">
      <c r="B137" s="13" t="n"/>
      <c r="C137" s="24" t="n"/>
      <c r="D137" s="25" t="n"/>
    </row>
    <row r="138" ht="15.75" customHeight="1" s="74">
      <c r="B138" s="13" t="n"/>
      <c r="C138" s="24" t="n"/>
      <c r="D138" s="25" t="n"/>
    </row>
    <row r="139" ht="15.75" customHeight="1" s="74">
      <c r="B139" s="13" t="n"/>
      <c r="C139" s="24" t="n"/>
      <c r="D139" s="25" t="n"/>
    </row>
    <row r="140" ht="15.75" customHeight="1" s="74">
      <c r="B140" s="13" t="n"/>
      <c r="C140" s="24" t="n"/>
      <c r="D140" s="25" t="n"/>
    </row>
    <row r="141" ht="15.75" customHeight="1" s="74">
      <c r="B141" s="13" t="n"/>
      <c r="C141" s="24" t="n"/>
      <c r="D141" s="25" t="n"/>
    </row>
    <row r="142" ht="15.75" customHeight="1" s="74">
      <c r="B142" s="13" t="n"/>
      <c r="C142" s="24" t="n"/>
      <c r="D142" s="25" t="n"/>
    </row>
    <row r="143" ht="15.75" customHeight="1" s="74">
      <c r="B143" s="13" t="n"/>
      <c r="C143" s="24" t="n"/>
      <c r="D143" s="25" t="n"/>
    </row>
    <row r="144" ht="15.75" customHeight="1" s="74">
      <c r="B144" s="13" t="n"/>
      <c r="C144" s="24" t="n"/>
      <c r="D144" s="25" t="n"/>
    </row>
    <row r="145" ht="15.75" customHeight="1" s="74">
      <c r="B145" s="13" t="n"/>
      <c r="C145" s="24" t="n"/>
      <c r="D145" s="25" t="n"/>
    </row>
    <row r="146" ht="15.75" customHeight="1" s="74">
      <c r="B146" s="13" t="n"/>
      <c r="C146" s="24" t="n"/>
      <c r="D146" s="25" t="n"/>
    </row>
    <row r="147" ht="15.75" customHeight="1" s="74">
      <c r="B147" s="13" t="n"/>
      <c r="C147" s="24" t="n"/>
      <c r="D147" s="25" t="n"/>
    </row>
    <row r="148" ht="15.75" customHeight="1" s="74">
      <c r="B148" s="13" t="n"/>
      <c r="C148" s="24" t="n"/>
      <c r="D148" s="25" t="n"/>
    </row>
    <row r="149" ht="15.75" customHeight="1" s="74">
      <c r="B149" s="13" t="n"/>
      <c r="C149" s="24" t="n"/>
      <c r="D149" s="25" t="n"/>
    </row>
    <row r="150" ht="15.75" customHeight="1" s="74">
      <c r="B150" s="13" t="n"/>
      <c r="C150" s="24" t="n"/>
      <c r="D150" s="25" t="n"/>
    </row>
    <row r="151" ht="15.75" customHeight="1" s="74">
      <c r="B151" s="13" t="n"/>
      <c r="C151" s="24" t="n"/>
      <c r="D151" s="25" t="n"/>
    </row>
    <row r="152" ht="15.75" customHeight="1" s="74">
      <c r="B152" s="13" t="n"/>
      <c r="C152" s="24" t="n"/>
      <c r="D152" s="25" t="n"/>
    </row>
    <row r="153" ht="15.75" customHeight="1" s="74">
      <c r="B153" s="13" t="n"/>
      <c r="C153" s="24" t="n"/>
      <c r="D153" s="25" t="n"/>
    </row>
    <row r="154" ht="15.75" customHeight="1" s="74">
      <c r="B154" s="13" t="n"/>
      <c r="C154" s="24" t="n"/>
      <c r="D154" s="25" t="n"/>
    </row>
    <row r="155" ht="15.75" customHeight="1" s="74">
      <c r="B155" s="13" t="n"/>
      <c r="C155" s="24" t="n"/>
      <c r="D155" s="25" t="n"/>
    </row>
    <row r="156" ht="15.75" customHeight="1" s="74">
      <c r="B156" s="13" t="n"/>
      <c r="C156" s="24" t="n"/>
      <c r="D156" s="25" t="n"/>
    </row>
    <row r="157" ht="15.75" customHeight="1" s="74">
      <c r="B157" s="13" t="n"/>
      <c r="C157" s="24" t="n"/>
      <c r="D157" s="25" t="n"/>
    </row>
    <row r="158" ht="15.75" customHeight="1" s="74">
      <c r="B158" s="13" t="n"/>
      <c r="C158" s="24" t="n"/>
      <c r="D158" s="25" t="n"/>
    </row>
    <row r="159" ht="15.75" customHeight="1" s="74">
      <c r="B159" s="13" t="n"/>
      <c r="C159" s="24" t="n"/>
      <c r="D159" s="25" t="n"/>
    </row>
    <row r="160" ht="15.75" customHeight="1" s="74">
      <c r="B160" s="13" t="n"/>
      <c r="C160" s="24" t="n"/>
      <c r="D160" s="25" t="n"/>
    </row>
    <row r="161" ht="15.75" customHeight="1" s="74">
      <c r="B161" s="13" t="n"/>
      <c r="C161" s="24" t="n"/>
      <c r="D161" s="25" t="n"/>
    </row>
    <row r="162" ht="15.75" customHeight="1" s="74">
      <c r="B162" s="13" t="n"/>
      <c r="C162" s="24" t="n"/>
      <c r="D162" s="25" t="n"/>
    </row>
    <row r="163" ht="15.75" customHeight="1" s="74">
      <c r="B163" s="13" t="n"/>
      <c r="C163" s="24" t="n"/>
      <c r="D163" s="25" t="n"/>
    </row>
    <row r="164" ht="15.75" customHeight="1" s="74">
      <c r="B164" s="13" t="n"/>
      <c r="C164" s="24" t="n"/>
      <c r="D164" s="25" t="n"/>
    </row>
    <row r="165" ht="15.75" customHeight="1" s="74">
      <c r="B165" s="13" t="n"/>
      <c r="C165" s="24" t="n"/>
      <c r="D165" s="25" t="n"/>
    </row>
    <row r="166" ht="15.75" customHeight="1" s="74">
      <c r="B166" s="13" t="n"/>
      <c r="C166" s="24" t="n"/>
      <c r="D166" s="25" t="n"/>
    </row>
    <row r="167" ht="15.75" customHeight="1" s="74">
      <c r="B167" s="13" t="n"/>
      <c r="C167" s="24" t="n"/>
      <c r="D167" s="25" t="n"/>
    </row>
    <row r="168" ht="15.75" customHeight="1" s="74">
      <c r="B168" s="13" t="n"/>
      <c r="C168" s="24" t="n"/>
      <c r="D168" s="25" t="n"/>
    </row>
    <row r="169" ht="15.75" customHeight="1" s="74">
      <c r="B169" s="13" t="n"/>
      <c r="C169" s="24" t="n"/>
      <c r="D169" s="25" t="n"/>
    </row>
    <row r="170" ht="15.75" customHeight="1" s="74">
      <c r="B170" s="13" t="n"/>
      <c r="C170" s="24" t="n"/>
      <c r="D170" s="25" t="n"/>
    </row>
    <row r="171" ht="15.75" customHeight="1" s="74">
      <c r="B171" s="13" t="n"/>
      <c r="C171" s="24" t="n"/>
      <c r="D171" s="25" t="n"/>
    </row>
    <row r="172" ht="15.75" customHeight="1" s="74">
      <c r="B172" s="13" t="n"/>
      <c r="C172" s="24" t="n"/>
      <c r="D172" s="25" t="n"/>
    </row>
    <row r="173" ht="15.75" customHeight="1" s="74">
      <c r="B173" s="13" t="n"/>
      <c r="C173" s="24" t="n"/>
      <c r="D173" s="25" t="n"/>
    </row>
    <row r="174" ht="15.75" customHeight="1" s="74">
      <c r="B174" s="13" t="n"/>
      <c r="C174" s="24" t="n"/>
      <c r="D174" s="25" t="n"/>
    </row>
    <row r="175" ht="15.75" customHeight="1" s="74">
      <c r="B175" s="13" t="n"/>
      <c r="C175" s="24" t="n"/>
      <c r="D175" s="25" t="n"/>
    </row>
    <row r="176" ht="15.75" customHeight="1" s="74">
      <c r="B176" s="13" t="n"/>
      <c r="C176" s="24" t="n"/>
      <c r="D176" s="25" t="n"/>
    </row>
    <row r="177" ht="15.75" customHeight="1" s="74">
      <c r="B177" s="13" t="n"/>
      <c r="C177" s="24" t="n"/>
      <c r="D177" s="25" t="n"/>
    </row>
    <row r="178" ht="15.75" customHeight="1" s="74">
      <c r="B178" s="13" t="n"/>
      <c r="C178" s="24" t="n"/>
      <c r="D178" s="25" t="n"/>
    </row>
    <row r="179" ht="15.75" customHeight="1" s="74">
      <c r="B179" s="13" t="n"/>
      <c r="C179" s="24" t="n"/>
      <c r="D179" s="25" t="n"/>
    </row>
    <row r="180" ht="15.75" customHeight="1" s="74">
      <c r="B180" s="13" t="n"/>
      <c r="C180" s="24" t="n"/>
      <c r="D180" s="25" t="n"/>
    </row>
    <row r="181" ht="15.75" customHeight="1" s="74">
      <c r="B181" s="13" t="n"/>
      <c r="C181" s="24" t="n"/>
      <c r="D181" s="25" t="n"/>
    </row>
    <row r="182" ht="15.75" customHeight="1" s="74">
      <c r="B182" s="13" t="n"/>
      <c r="C182" s="24" t="n"/>
      <c r="D182" s="25" t="n"/>
    </row>
    <row r="183" ht="15.75" customHeight="1" s="74">
      <c r="B183" s="13" t="n"/>
      <c r="C183" s="24" t="n"/>
      <c r="D183" s="25" t="n"/>
    </row>
    <row r="184" ht="15.75" customHeight="1" s="74">
      <c r="B184" s="13" t="n"/>
      <c r="C184" s="24" t="n"/>
      <c r="D184" s="25" t="n"/>
    </row>
    <row r="185" ht="15.75" customHeight="1" s="74">
      <c r="B185" s="13" t="n"/>
      <c r="C185" s="24" t="n"/>
      <c r="D185" s="25" t="n"/>
    </row>
    <row r="186" ht="15.75" customHeight="1" s="74">
      <c r="B186" s="13" t="n"/>
      <c r="C186" s="24" t="n"/>
      <c r="D186" s="25" t="n"/>
    </row>
    <row r="187" ht="15.75" customHeight="1" s="74">
      <c r="B187" s="13" t="n"/>
      <c r="C187" s="24" t="n"/>
      <c r="D187" s="25" t="n"/>
    </row>
    <row r="188" ht="15.75" customHeight="1" s="74">
      <c r="B188" s="13" t="n"/>
      <c r="C188" s="24" t="n"/>
      <c r="D188" s="25" t="n"/>
    </row>
    <row r="189" ht="15.75" customHeight="1" s="74">
      <c r="B189" s="13" t="n"/>
      <c r="C189" s="24" t="n"/>
      <c r="D189" s="25" t="n"/>
    </row>
    <row r="190" ht="15.75" customHeight="1" s="74">
      <c r="B190" s="13" t="n"/>
      <c r="C190" s="24" t="n"/>
      <c r="D190" s="25" t="n"/>
    </row>
    <row r="191" ht="15.75" customHeight="1" s="74">
      <c r="B191" s="13" t="n"/>
      <c r="C191" s="24" t="n"/>
      <c r="D191" s="25" t="n"/>
    </row>
    <row r="192" ht="15.75" customHeight="1" s="74">
      <c r="B192" s="13" t="n"/>
      <c r="C192" s="24" t="n"/>
      <c r="D192" s="25" t="n"/>
    </row>
    <row r="193" ht="15.75" customHeight="1" s="74">
      <c r="B193" s="13" t="n"/>
      <c r="C193" s="24" t="n"/>
      <c r="D193" s="25" t="n"/>
    </row>
    <row r="194" ht="15.75" customHeight="1" s="74">
      <c r="B194" s="13" t="n"/>
      <c r="C194" s="24" t="n"/>
      <c r="D194" s="25" t="n"/>
    </row>
    <row r="195" ht="15.75" customHeight="1" s="74">
      <c r="B195" s="13" t="n"/>
      <c r="C195" s="24" t="n"/>
      <c r="D195" s="25" t="n"/>
    </row>
    <row r="196" ht="15.75" customHeight="1" s="74">
      <c r="B196" s="13" t="n"/>
      <c r="C196" s="24" t="n"/>
      <c r="D196" s="25" t="n"/>
    </row>
    <row r="197" ht="15.75" customHeight="1" s="74">
      <c r="B197" s="13" t="n"/>
      <c r="C197" s="24" t="n"/>
      <c r="D197" s="25" t="n"/>
    </row>
    <row r="198" ht="15.75" customHeight="1" s="74">
      <c r="B198" s="13" t="n"/>
      <c r="C198" s="24" t="n"/>
      <c r="D198" s="25" t="n"/>
    </row>
    <row r="199" ht="15.75" customHeight="1" s="74">
      <c r="B199" s="13" t="n"/>
      <c r="C199" s="24" t="n"/>
      <c r="D199" s="25" t="n"/>
    </row>
    <row r="200" ht="15.75" customHeight="1" s="74">
      <c r="B200" s="13" t="n"/>
      <c r="C200" s="24" t="n"/>
      <c r="D200" s="25" t="n"/>
    </row>
    <row r="201" ht="15.75" customHeight="1" s="74">
      <c r="B201" s="13" t="n"/>
      <c r="C201" s="24" t="n"/>
      <c r="D201" s="25" t="n"/>
    </row>
    <row r="202" ht="15.75" customHeight="1" s="74">
      <c r="B202" s="13" t="n"/>
      <c r="C202" s="24" t="n"/>
      <c r="D202" s="25" t="n"/>
    </row>
    <row r="203" ht="15.75" customHeight="1" s="74">
      <c r="B203" s="13" t="n"/>
      <c r="C203" s="24" t="n"/>
      <c r="D203" s="25" t="n"/>
    </row>
    <row r="204" ht="15.75" customHeight="1" s="74">
      <c r="B204" s="13" t="n"/>
      <c r="C204" s="24" t="n"/>
      <c r="D204" s="25" t="n"/>
    </row>
    <row r="205" ht="15.75" customHeight="1" s="74">
      <c r="B205" s="13" t="n"/>
      <c r="C205" s="24" t="n"/>
      <c r="D205" s="25" t="n"/>
    </row>
    <row r="206" ht="15.75" customHeight="1" s="74">
      <c r="B206" s="13" t="n"/>
      <c r="C206" s="24" t="n"/>
      <c r="D206" s="25" t="n"/>
    </row>
    <row r="207" ht="15.75" customHeight="1" s="74">
      <c r="B207" s="13" t="n"/>
      <c r="C207" s="24" t="n"/>
      <c r="D207" s="25" t="n"/>
    </row>
    <row r="208" ht="15.75" customHeight="1" s="74">
      <c r="B208" s="13" t="n"/>
      <c r="C208" s="24" t="n"/>
      <c r="D208" s="25" t="n"/>
    </row>
    <row r="209" ht="15.75" customHeight="1" s="74">
      <c r="B209" s="13" t="n"/>
      <c r="C209" s="24" t="n"/>
      <c r="D209" s="25" t="n"/>
    </row>
    <row r="210" ht="15.75" customHeight="1" s="74">
      <c r="B210" s="13" t="n"/>
      <c r="C210" s="24" t="n"/>
      <c r="D210" s="25" t="n"/>
    </row>
    <row r="211" ht="15.75" customHeight="1" s="74">
      <c r="B211" s="13" t="n"/>
      <c r="C211" s="24" t="n"/>
      <c r="D211" s="25" t="n"/>
    </row>
    <row r="212" ht="15.75" customHeight="1" s="74">
      <c r="B212" s="13" t="n"/>
      <c r="C212" s="24" t="n"/>
      <c r="D212" s="25" t="n"/>
    </row>
    <row r="213" ht="15.75" customHeight="1" s="74">
      <c r="B213" s="13" t="n"/>
      <c r="C213" s="24" t="n"/>
      <c r="D213" s="25" t="n"/>
    </row>
    <row r="214" ht="15.75" customHeight="1" s="74">
      <c r="B214" s="13" t="n"/>
      <c r="C214" s="24" t="n"/>
      <c r="D214" s="25" t="n"/>
    </row>
    <row r="215" ht="15.75" customHeight="1" s="74">
      <c r="B215" s="13" t="n"/>
      <c r="C215" s="24" t="n"/>
      <c r="D215" s="25" t="n"/>
    </row>
    <row r="216" ht="15.75" customHeight="1" s="74">
      <c r="B216" s="13" t="n"/>
      <c r="C216" s="24" t="n"/>
      <c r="D216" s="25" t="n"/>
    </row>
    <row r="217" ht="15.75" customHeight="1" s="74">
      <c r="B217" s="13" t="n"/>
      <c r="C217" s="24" t="n"/>
      <c r="D217" s="25" t="n"/>
    </row>
    <row r="218" ht="15.75" customHeight="1" s="74">
      <c r="B218" s="13" t="n"/>
      <c r="C218" s="24" t="n"/>
      <c r="D218" s="25" t="n"/>
    </row>
    <row r="219" ht="15.75" customHeight="1" s="74">
      <c r="B219" s="13" t="n"/>
      <c r="C219" s="24" t="n"/>
      <c r="D219" s="25" t="n"/>
    </row>
    <row r="220" ht="15.75" customHeight="1" s="74">
      <c r="B220" s="13" t="n"/>
      <c r="C220" s="24" t="n"/>
      <c r="D220" s="25" t="n"/>
    </row>
    <row r="221" ht="15.75" customHeight="1" s="74">
      <c r="B221" s="13" t="n"/>
      <c r="C221" s="24" t="n"/>
      <c r="D221" s="25" t="n"/>
    </row>
    <row r="222" ht="15.75" customHeight="1" s="74">
      <c r="B222" s="13" t="n"/>
      <c r="C222" s="24" t="n"/>
      <c r="D222" s="25" t="n"/>
    </row>
    <row r="223" ht="15.75" customHeight="1" s="74">
      <c r="B223" s="13" t="n"/>
      <c r="C223" s="24" t="n"/>
      <c r="D223" s="25" t="n"/>
    </row>
    <row r="224" ht="15.75" customHeight="1" s="74">
      <c r="B224" s="13" t="n"/>
      <c r="C224" s="24" t="n"/>
      <c r="D224" s="25" t="n"/>
    </row>
    <row r="225" ht="15.75" customHeight="1" s="74">
      <c r="B225" s="13" t="n"/>
      <c r="C225" s="24" t="n"/>
      <c r="D225" s="25" t="n"/>
    </row>
    <row r="226" ht="15.75" customHeight="1" s="74">
      <c r="B226" s="13" t="n"/>
      <c r="C226" s="24" t="n"/>
      <c r="D226" s="25" t="n"/>
    </row>
    <row r="227" ht="15.75" customHeight="1" s="74">
      <c r="B227" s="13" t="n"/>
      <c r="C227" s="24" t="n"/>
      <c r="D227" s="25" t="n"/>
    </row>
    <row r="228" ht="15.75" customHeight="1" s="74">
      <c r="B228" s="13" t="n"/>
      <c r="C228" s="24" t="n"/>
      <c r="D228" s="25" t="n"/>
    </row>
    <row r="229" ht="15.75" customHeight="1" s="74">
      <c r="B229" s="13" t="n"/>
      <c r="C229" s="24" t="n"/>
      <c r="D229" s="25" t="n"/>
    </row>
    <row r="230" ht="15.75" customHeight="1" s="74">
      <c r="B230" s="13" t="n"/>
      <c r="C230" s="24" t="n"/>
      <c r="D230" s="25" t="n"/>
    </row>
    <row r="231" ht="15.75" customHeight="1" s="74">
      <c r="B231" s="13" t="n"/>
      <c r="C231" s="24" t="n"/>
      <c r="D231" s="25" t="n"/>
    </row>
    <row r="232" ht="15.75" customHeight="1" s="74">
      <c r="B232" s="13" t="n"/>
      <c r="C232" s="24" t="n"/>
      <c r="D232" s="25" t="n"/>
    </row>
    <row r="233" ht="15.75" customHeight="1" s="74">
      <c r="B233" s="13" t="n"/>
      <c r="C233" s="24" t="n"/>
      <c r="D233" s="25" t="n"/>
    </row>
    <row r="234" ht="15.75" customHeight="1" s="74">
      <c r="B234" s="13" t="n"/>
      <c r="C234" s="24" t="n"/>
      <c r="D234" s="25" t="n"/>
    </row>
    <row r="235" ht="15.75" customHeight="1" s="74">
      <c r="B235" s="13" t="n"/>
      <c r="C235" s="24" t="n"/>
      <c r="D235" s="25" t="n"/>
    </row>
    <row r="236" ht="15.75" customHeight="1" s="74">
      <c r="B236" s="13" t="n"/>
      <c r="C236" s="24" t="n"/>
      <c r="D236" s="25" t="n"/>
    </row>
    <row r="237" ht="15.75" customHeight="1" s="74">
      <c r="B237" s="13" t="n"/>
      <c r="C237" s="24" t="n"/>
      <c r="D237" s="25" t="n"/>
    </row>
    <row r="238" ht="15.75" customHeight="1" s="74">
      <c r="B238" s="13" t="n"/>
      <c r="C238" s="24" t="n"/>
      <c r="D238" s="25" t="n"/>
    </row>
    <row r="239" ht="15.75" customHeight="1" s="74">
      <c r="B239" s="13" t="n"/>
      <c r="C239" s="24" t="n"/>
      <c r="D239" s="25" t="n"/>
    </row>
    <row r="240" ht="15.75" customHeight="1" s="74">
      <c r="B240" s="13" t="n"/>
      <c r="C240" s="24" t="n"/>
      <c r="D240" s="25" t="n"/>
    </row>
    <row r="241" ht="15.75" customHeight="1" s="74">
      <c r="B241" s="13" t="n"/>
      <c r="C241" s="24" t="n"/>
      <c r="D241" s="25" t="n"/>
    </row>
    <row r="242" ht="15.75" customHeight="1" s="74">
      <c r="B242" s="13" t="n"/>
      <c r="C242" s="24" t="n"/>
      <c r="D242" s="25" t="n"/>
    </row>
    <row r="243" ht="15.75" customHeight="1" s="74">
      <c r="B243" s="13" t="n"/>
      <c r="C243" s="24" t="n"/>
      <c r="D243" s="25" t="n"/>
    </row>
    <row r="244" ht="15.75" customHeight="1" s="74">
      <c r="B244" s="13" t="n"/>
      <c r="C244" s="24" t="n"/>
      <c r="D244" s="25" t="n"/>
    </row>
    <row r="245" ht="15.75" customHeight="1" s="74">
      <c r="B245" s="13" t="n"/>
      <c r="C245" s="24" t="n"/>
      <c r="D245" s="25" t="n"/>
    </row>
    <row r="246" ht="15.75" customHeight="1" s="74">
      <c r="B246" s="13" t="n"/>
      <c r="C246" s="24" t="n"/>
      <c r="D246" s="25" t="n"/>
    </row>
    <row r="247" ht="15.75" customHeight="1" s="74">
      <c r="B247" s="13" t="n"/>
      <c r="C247" s="24" t="n"/>
      <c r="D247" s="25" t="n"/>
    </row>
    <row r="248" ht="15.75" customHeight="1" s="74">
      <c r="B248" s="13" t="n"/>
      <c r="C248" s="24" t="n"/>
      <c r="D248" s="25" t="n"/>
    </row>
    <row r="249" ht="15.75" customHeight="1" s="74">
      <c r="B249" s="13" t="n"/>
      <c r="C249" s="24" t="n"/>
      <c r="D249" s="25" t="n"/>
    </row>
    <row r="250" ht="15.75" customHeight="1" s="74">
      <c r="B250" s="13" t="n"/>
      <c r="C250" s="24" t="n"/>
      <c r="D250" s="25" t="n"/>
    </row>
    <row r="251" ht="15.75" customHeight="1" s="74">
      <c r="B251" s="13" t="n"/>
      <c r="C251" s="24" t="n"/>
      <c r="D251" s="25" t="n"/>
    </row>
    <row r="252" ht="15.75" customHeight="1" s="74">
      <c r="B252" s="13" t="n"/>
      <c r="C252" s="24" t="n"/>
      <c r="D252" s="25" t="n"/>
    </row>
    <row r="253" ht="15.75" customHeight="1" s="74">
      <c r="B253" s="13" t="n"/>
      <c r="C253" s="24" t="n"/>
      <c r="D253" s="25" t="n"/>
    </row>
    <row r="254" ht="15.75" customHeight="1" s="74">
      <c r="B254" s="13" t="n"/>
      <c r="C254" s="24" t="n"/>
      <c r="D254" s="25" t="n"/>
    </row>
    <row r="255" ht="15.75" customHeight="1" s="74">
      <c r="B255" s="13" t="n"/>
      <c r="C255" s="24" t="n"/>
      <c r="D255" s="25" t="n"/>
    </row>
    <row r="256" ht="15.75" customHeight="1" s="74">
      <c r="B256" s="13" t="n"/>
      <c r="C256" s="24" t="n"/>
      <c r="D256" s="25" t="n"/>
    </row>
    <row r="257" ht="15.75" customHeight="1" s="74">
      <c r="B257" s="13" t="n"/>
      <c r="C257" s="24" t="n"/>
      <c r="D257" s="25" t="n"/>
    </row>
    <row r="258" ht="15.75" customHeight="1" s="74">
      <c r="B258" s="13" t="n"/>
      <c r="C258" s="24" t="n"/>
      <c r="D258" s="25" t="n"/>
    </row>
    <row r="259" ht="15.75" customHeight="1" s="74">
      <c r="B259" s="13" t="n"/>
      <c r="C259" s="24" t="n"/>
      <c r="D259" s="25" t="n"/>
    </row>
    <row r="260" ht="15.75" customHeight="1" s="74">
      <c r="B260" s="13" t="n"/>
      <c r="C260" s="24" t="n"/>
      <c r="D260" s="25" t="n"/>
    </row>
    <row r="261" ht="15.75" customHeight="1" s="74">
      <c r="B261" s="13" t="n"/>
      <c r="C261" s="24" t="n"/>
      <c r="D261" s="25" t="n"/>
    </row>
    <row r="262" ht="15.75" customHeight="1" s="74">
      <c r="B262" s="13" t="n"/>
      <c r="C262" s="24" t="n"/>
      <c r="D262" s="25" t="n"/>
    </row>
    <row r="263" ht="15.75" customHeight="1" s="74">
      <c r="B263" s="13" t="n"/>
      <c r="C263" s="24" t="n"/>
      <c r="D263" s="25" t="n"/>
    </row>
    <row r="264" ht="15.75" customHeight="1" s="74">
      <c r="B264" s="13" t="n"/>
      <c r="C264" s="24" t="n"/>
      <c r="D264" s="25" t="n"/>
    </row>
    <row r="265" ht="15.75" customHeight="1" s="74">
      <c r="B265" s="13" t="n"/>
      <c r="C265" s="24" t="n"/>
      <c r="D265" s="25" t="n"/>
    </row>
    <row r="266" ht="15.75" customHeight="1" s="74">
      <c r="B266" s="13" t="n"/>
      <c r="C266" s="24" t="n"/>
      <c r="D266" s="25" t="n"/>
    </row>
    <row r="267" ht="15.75" customHeight="1" s="74">
      <c r="B267" s="13" t="n"/>
      <c r="C267" s="24" t="n"/>
      <c r="D267" s="25" t="n"/>
    </row>
    <row r="268" ht="15.75" customHeight="1" s="74">
      <c r="B268" s="13" t="n"/>
      <c r="C268" s="24" t="n"/>
      <c r="D268" s="25" t="n"/>
    </row>
    <row r="269" ht="15.75" customHeight="1" s="74">
      <c r="B269" s="13" t="n"/>
      <c r="C269" s="24" t="n"/>
      <c r="D269" s="25" t="n"/>
    </row>
    <row r="270" ht="15.75" customHeight="1" s="74">
      <c r="B270" s="13" t="n"/>
      <c r="C270" s="24" t="n"/>
      <c r="D270" s="25" t="n"/>
    </row>
    <row r="271" ht="15.75" customHeight="1" s="74">
      <c r="B271" s="13" t="n"/>
      <c r="C271" s="24" t="n"/>
      <c r="D271" s="25" t="n"/>
    </row>
    <row r="272" ht="15.75" customHeight="1" s="74">
      <c r="B272" s="13" t="n"/>
      <c r="C272" s="24" t="n"/>
      <c r="D272" s="25" t="n"/>
    </row>
    <row r="273" ht="15.75" customHeight="1" s="74">
      <c r="B273" s="13" t="n"/>
      <c r="C273" s="24" t="n"/>
      <c r="D273" s="25" t="n"/>
    </row>
    <row r="274" ht="15.75" customHeight="1" s="74">
      <c r="B274" s="13" t="n"/>
      <c r="C274" s="24" t="n"/>
      <c r="D274" s="25" t="n"/>
    </row>
    <row r="275" ht="15.75" customHeight="1" s="74">
      <c r="B275" s="13" t="n"/>
      <c r="C275" s="24" t="n"/>
      <c r="D275" s="25" t="n"/>
    </row>
    <row r="276" ht="15.75" customHeight="1" s="74">
      <c r="B276" s="13" t="n"/>
      <c r="C276" s="24" t="n"/>
      <c r="D276" s="25" t="n"/>
    </row>
    <row r="277" ht="15.75" customHeight="1" s="74">
      <c r="B277" s="13" t="n"/>
      <c r="C277" s="24" t="n"/>
      <c r="D277" s="25" t="n"/>
    </row>
    <row r="278" ht="15.75" customHeight="1" s="74">
      <c r="B278" s="13" t="n"/>
      <c r="C278" s="24" t="n"/>
      <c r="D278" s="25" t="n"/>
    </row>
    <row r="279" ht="15.75" customHeight="1" s="74">
      <c r="B279" s="13" t="n"/>
      <c r="C279" s="24" t="n"/>
      <c r="D279" s="25" t="n"/>
    </row>
    <row r="280" ht="15.75" customHeight="1" s="74">
      <c r="B280" s="13" t="n"/>
      <c r="C280" s="24" t="n"/>
      <c r="D280" s="25" t="n"/>
    </row>
    <row r="281" ht="15.75" customHeight="1" s="74">
      <c r="B281" s="13" t="n"/>
      <c r="C281" s="24" t="n"/>
      <c r="D281" s="25" t="n"/>
    </row>
    <row r="282" ht="15.75" customHeight="1" s="74">
      <c r="B282" s="13" t="n"/>
      <c r="C282" s="24" t="n"/>
      <c r="D282" s="25" t="n"/>
    </row>
    <row r="283" ht="15.75" customHeight="1" s="74">
      <c r="B283" s="13" t="n"/>
      <c r="C283" s="24" t="n"/>
      <c r="D283" s="25" t="n"/>
    </row>
    <row r="284" ht="15.75" customHeight="1" s="74">
      <c r="B284" s="13" t="n"/>
      <c r="C284" s="24" t="n"/>
      <c r="D284" s="25" t="n"/>
    </row>
    <row r="285" ht="15.75" customHeight="1" s="74">
      <c r="B285" s="13" t="n"/>
      <c r="C285" s="24" t="n"/>
      <c r="D285" s="25" t="n"/>
    </row>
    <row r="286" ht="15.75" customHeight="1" s="74">
      <c r="B286" s="13" t="n"/>
      <c r="C286" s="24" t="n"/>
      <c r="D286" s="25" t="n"/>
    </row>
    <row r="287" ht="15.75" customHeight="1" s="74">
      <c r="B287" s="13" t="n"/>
      <c r="C287" s="24" t="n"/>
      <c r="D287" s="25" t="n"/>
    </row>
    <row r="288" ht="15.75" customHeight="1" s="74">
      <c r="B288" s="13" t="n"/>
      <c r="C288" s="24" t="n"/>
      <c r="D288" s="25" t="n"/>
    </row>
    <row r="289" ht="15.75" customHeight="1" s="74">
      <c r="B289" s="13" t="n"/>
      <c r="C289" s="24" t="n"/>
      <c r="D289" s="25" t="n"/>
    </row>
    <row r="290" ht="15.75" customHeight="1" s="74">
      <c r="B290" s="13" t="n"/>
      <c r="C290" s="24" t="n"/>
      <c r="D290" s="25" t="n"/>
    </row>
    <row r="291" ht="15.75" customHeight="1" s="74">
      <c r="B291" s="13" t="n"/>
      <c r="C291" s="24" t="n"/>
      <c r="D291" s="25" t="n"/>
    </row>
    <row r="292" ht="15.75" customHeight="1" s="74">
      <c r="B292" s="13" t="n"/>
      <c r="C292" s="24" t="n"/>
      <c r="D292" s="25" t="n"/>
    </row>
    <row r="293" ht="15.75" customHeight="1" s="74">
      <c r="B293" s="13" t="n"/>
      <c r="C293" s="24" t="n"/>
      <c r="D293" s="25" t="n"/>
    </row>
    <row r="294" ht="15.75" customHeight="1" s="74">
      <c r="B294" s="13" t="n"/>
      <c r="C294" s="24" t="n"/>
      <c r="D294" s="25" t="n"/>
    </row>
    <row r="295" ht="15.75" customHeight="1" s="74">
      <c r="B295" s="13" t="n"/>
      <c r="C295" s="24" t="n"/>
      <c r="D295" s="25" t="n"/>
    </row>
    <row r="296" ht="15.75" customHeight="1" s="74">
      <c r="B296" s="13" t="n"/>
      <c r="C296" s="24" t="n"/>
      <c r="D296" s="25" t="n"/>
    </row>
    <row r="297" ht="15.75" customHeight="1" s="74">
      <c r="B297" s="13" t="n"/>
      <c r="C297" s="24" t="n"/>
      <c r="D297" s="25" t="n"/>
    </row>
    <row r="298" ht="15.75" customHeight="1" s="74">
      <c r="B298" s="13" t="n"/>
      <c r="C298" s="24" t="n"/>
      <c r="D298" s="25" t="n"/>
    </row>
    <row r="299" ht="15.75" customHeight="1" s="74">
      <c r="B299" s="13" t="n"/>
      <c r="C299" s="24" t="n"/>
      <c r="D299" s="25" t="n"/>
    </row>
    <row r="300" ht="15.75" customHeight="1" s="74">
      <c r="B300" s="13" t="n"/>
      <c r="C300" s="24" t="n"/>
      <c r="D300" s="25" t="n"/>
    </row>
    <row r="301" ht="15.75" customHeight="1" s="74">
      <c r="B301" s="13" t="n"/>
      <c r="C301" s="24" t="n"/>
      <c r="D301" s="25" t="n"/>
    </row>
    <row r="302" ht="15.75" customHeight="1" s="74">
      <c r="B302" s="13" t="n"/>
      <c r="C302" s="24" t="n"/>
      <c r="D302" s="25" t="n"/>
    </row>
    <row r="303" ht="15.75" customHeight="1" s="74">
      <c r="B303" s="13" t="n"/>
      <c r="C303" s="24" t="n"/>
      <c r="D303" s="25" t="n"/>
    </row>
    <row r="304" ht="15.75" customHeight="1" s="74">
      <c r="B304" s="13" t="n"/>
      <c r="C304" s="24" t="n"/>
      <c r="D304" s="25" t="n"/>
    </row>
    <row r="305" ht="15.75" customHeight="1" s="74">
      <c r="B305" s="13" t="n"/>
      <c r="C305" s="24" t="n"/>
      <c r="D305" s="25" t="n"/>
    </row>
    <row r="306" ht="15.75" customHeight="1" s="74">
      <c r="B306" s="13" t="n"/>
      <c r="C306" s="24" t="n"/>
      <c r="D306" s="25" t="n"/>
    </row>
    <row r="307" ht="15.75" customHeight="1" s="74">
      <c r="B307" s="13" t="n"/>
      <c r="C307" s="24" t="n"/>
      <c r="D307" s="25" t="n"/>
    </row>
    <row r="308" ht="15.75" customHeight="1" s="74">
      <c r="B308" s="13" t="n"/>
      <c r="C308" s="24" t="n"/>
      <c r="D308" s="25" t="n"/>
    </row>
    <row r="309" ht="15.75" customHeight="1" s="74">
      <c r="B309" s="13" t="n"/>
      <c r="C309" s="24" t="n"/>
      <c r="D309" s="25" t="n"/>
    </row>
    <row r="310" ht="15.75" customHeight="1" s="74">
      <c r="B310" s="13" t="n"/>
      <c r="C310" s="24" t="n"/>
      <c r="D310" s="25" t="n"/>
    </row>
    <row r="311" ht="15.75" customHeight="1" s="74">
      <c r="B311" s="13" t="n"/>
      <c r="C311" s="24" t="n"/>
      <c r="D311" s="25" t="n"/>
    </row>
    <row r="312" ht="15.75" customHeight="1" s="74">
      <c r="B312" s="13" t="n"/>
      <c r="C312" s="24" t="n"/>
      <c r="D312" s="25" t="n"/>
    </row>
    <row r="313" ht="15.75" customHeight="1" s="74">
      <c r="B313" s="13" t="n"/>
      <c r="C313" s="24" t="n"/>
      <c r="D313" s="25" t="n"/>
    </row>
    <row r="314" ht="15.75" customHeight="1" s="74">
      <c r="B314" s="13" t="n"/>
      <c r="C314" s="24" t="n"/>
      <c r="D314" s="25" t="n"/>
    </row>
    <row r="315" ht="15.75" customHeight="1" s="74">
      <c r="B315" s="13" t="n"/>
      <c r="C315" s="24" t="n"/>
      <c r="D315" s="25" t="n"/>
    </row>
    <row r="316" ht="15.75" customHeight="1" s="74">
      <c r="B316" s="13" t="n"/>
      <c r="C316" s="24" t="n"/>
      <c r="D316" s="25" t="n"/>
    </row>
    <row r="317" ht="15.75" customHeight="1" s="74">
      <c r="B317" s="13" t="n"/>
      <c r="C317" s="24" t="n"/>
      <c r="D317" s="25" t="n"/>
    </row>
    <row r="318" ht="15.75" customHeight="1" s="74">
      <c r="B318" s="13" t="n"/>
      <c r="C318" s="24" t="n"/>
      <c r="D318" s="25" t="n"/>
    </row>
    <row r="319" ht="15.75" customHeight="1" s="74">
      <c r="B319" s="13" t="n"/>
      <c r="C319" s="24" t="n"/>
      <c r="D319" s="25" t="n"/>
    </row>
    <row r="320" ht="15.75" customHeight="1" s="74">
      <c r="B320" s="13" t="n"/>
      <c r="C320" s="24" t="n"/>
      <c r="D320" s="25" t="n"/>
    </row>
    <row r="321" ht="15.75" customHeight="1" s="74">
      <c r="B321" s="13" t="n"/>
      <c r="C321" s="24" t="n"/>
      <c r="D321" s="25" t="n"/>
    </row>
    <row r="322" ht="15.75" customHeight="1" s="74">
      <c r="B322" s="13" t="n"/>
      <c r="C322" s="24" t="n"/>
      <c r="D322" s="25" t="n"/>
    </row>
    <row r="323" ht="15.75" customHeight="1" s="74">
      <c r="B323" s="13" t="n"/>
      <c r="C323" s="24" t="n"/>
      <c r="D323" s="25" t="n"/>
    </row>
    <row r="324" ht="15.75" customHeight="1" s="74">
      <c r="B324" s="13" t="n"/>
      <c r="C324" s="24" t="n"/>
      <c r="D324" s="25" t="n"/>
    </row>
    <row r="325" ht="15.75" customHeight="1" s="74">
      <c r="B325" s="13" t="n"/>
      <c r="C325" s="24" t="n"/>
      <c r="D325" s="25" t="n"/>
    </row>
    <row r="326" ht="15.75" customHeight="1" s="74">
      <c r="B326" s="13" t="n"/>
      <c r="C326" s="24" t="n"/>
      <c r="D326" s="25" t="n"/>
    </row>
    <row r="327" ht="15.75" customHeight="1" s="74">
      <c r="B327" s="13" t="n"/>
      <c r="C327" s="24" t="n"/>
      <c r="D327" s="25" t="n"/>
    </row>
    <row r="328" ht="15.75" customHeight="1" s="74">
      <c r="B328" s="13" t="n"/>
      <c r="C328" s="24" t="n"/>
      <c r="D328" s="25" t="n"/>
    </row>
    <row r="329" ht="15.75" customHeight="1" s="74">
      <c r="B329" s="13" t="n"/>
      <c r="C329" s="24" t="n"/>
      <c r="D329" s="25" t="n"/>
    </row>
    <row r="330" ht="15.75" customHeight="1" s="74">
      <c r="B330" s="13" t="n"/>
      <c r="C330" s="24" t="n"/>
      <c r="D330" s="25" t="n"/>
    </row>
    <row r="331" ht="15.75" customHeight="1" s="74">
      <c r="B331" s="13" t="n"/>
      <c r="C331" s="24" t="n"/>
      <c r="D331" s="25" t="n"/>
    </row>
    <row r="332" ht="15.75" customHeight="1" s="74">
      <c r="B332" s="13" t="n"/>
      <c r="C332" s="24" t="n"/>
      <c r="D332" s="25" t="n"/>
    </row>
    <row r="333" ht="15.75" customHeight="1" s="74">
      <c r="B333" s="13" t="n"/>
      <c r="C333" s="24" t="n"/>
      <c r="D333" s="25" t="n"/>
    </row>
    <row r="334" ht="15.75" customHeight="1" s="74">
      <c r="B334" s="13" t="n"/>
      <c r="C334" s="24" t="n"/>
      <c r="D334" s="25" t="n"/>
    </row>
    <row r="335" ht="15.75" customHeight="1" s="74">
      <c r="B335" s="13" t="n"/>
      <c r="C335" s="24" t="n"/>
      <c r="D335" s="25" t="n"/>
    </row>
    <row r="336" ht="15.75" customHeight="1" s="74">
      <c r="B336" s="13" t="n"/>
      <c r="C336" s="24" t="n"/>
      <c r="D336" s="25" t="n"/>
    </row>
    <row r="337" ht="15.75" customHeight="1" s="74">
      <c r="B337" s="13" t="n"/>
      <c r="C337" s="24" t="n"/>
      <c r="D337" s="25" t="n"/>
    </row>
    <row r="338" ht="15.75" customHeight="1" s="74">
      <c r="B338" s="13" t="n"/>
      <c r="C338" s="24" t="n"/>
      <c r="D338" s="25" t="n"/>
    </row>
    <row r="339" ht="15.75" customHeight="1" s="74">
      <c r="B339" s="13" t="n"/>
      <c r="C339" s="24" t="n"/>
      <c r="D339" s="25" t="n"/>
    </row>
    <row r="340" ht="15.75" customHeight="1" s="74">
      <c r="B340" s="13" t="n"/>
      <c r="C340" s="24" t="n"/>
      <c r="D340" s="25" t="n"/>
    </row>
    <row r="341" ht="15.75" customHeight="1" s="74">
      <c r="B341" s="13" t="n"/>
      <c r="C341" s="24" t="n"/>
      <c r="D341" s="25" t="n"/>
    </row>
    <row r="342" ht="15.75" customHeight="1" s="74">
      <c r="B342" s="13" t="n"/>
      <c r="C342" s="24" t="n"/>
      <c r="D342" s="25" t="n"/>
    </row>
    <row r="343" ht="15.75" customHeight="1" s="74">
      <c r="B343" s="13" t="n"/>
      <c r="C343" s="24" t="n"/>
      <c r="D343" s="25" t="n"/>
    </row>
    <row r="344" ht="15.75" customHeight="1" s="74">
      <c r="B344" s="13" t="n"/>
      <c r="C344" s="24" t="n"/>
      <c r="D344" s="25" t="n"/>
    </row>
    <row r="345" ht="15.75" customHeight="1" s="74">
      <c r="B345" s="13" t="n"/>
      <c r="C345" s="24" t="n"/>
      <c r="D345" s="25" t="n"/>
    </row>
    <row r="346" ht="15.75" customHeight="1" s="74">
      <c r="B346" s="13" t="n"/>
      <c r="C346" s="24" t="n"/>
      <c r="D346" s="25" t="n"/>
    </row>
    <row r="347" ht="15.75" customHeight="1" s="74">
      <c r="B347" s="13" t="n"/>
      <c r="C347" s="24" t="n"/>
      <c r="D347" s="25" t="n"/>
    </row>
    <row r="348" ht="15.75" customHeight="1" s="74">
      <c r="B348" s="13" t="n"/>
      <c r="C348" s="24" t="n"/>
      <c r="D348" s="25" t="n"/>
    </row>
    <row r="349" ht="15.75" customHeight="1" s="74">
      <c r="B349" s="13" t="n"/>
      <c r="C349" s="24" t="n"/>
      <c r="D349" s="25" t="n"/>
    </row>
    <row r="350" ht="15.75" customHeight="1" s="74">
      <c r="B350" s="13" t="n"/>
      <c r="C350" s="24" t="n"/>
      <c r="D350" s="25" t="n"/>
    </row>
    <row r="351" ht="15.75" customHeight="1" s="74">
      <c r="B351" s="13" t="n"/>
      <c r="C351" s="24" t="n"/>
      <c r="D351" s="25" t="n"/>
    </row>
    <row r="352" ht="15.75" customHeight="1" s="74">
      <c r="B352" s="13" t="n"/>
      <c r="C352" s="24" t="n"/>
      <c r="D352" s="25" t="n"/>
    </row>
    <row r="353" ht="15.75" customHeight="1" s="74">
      <c r="B353" s="13" t="n"/>
      <c r="C353" s="24" t="n"/>
      <c r="D353" s="25" t="n"/>
    </row>
    <row r="354" ht="15.75" customHeight="1" s="74">
      <c r="B354" s="13" t="n"/>
      <c r="C354" s="24" t="n"/>
      <c r="D354" s="25" t="n"/>
    </row>
    <row r="355" ht="15.75" customHeight="1" s="74">
      <c r="B355" s="13" t="n"/>
      <c r="C355" s="24" t="n"/>
      <c r="D355" s="25" t="n"/>
    </row>
    <row r="356" ht="15.75" customHeight="1" s="74">
      <c r="B356" s="13" t="n"/>
      <c r="C356" s="24" t="n"/>
      <c r="D356" s="25" t="n"/>
    </row>
    <row r="357" ht="15.75" customHeight="1" s="74">
      <c r="B357" s="13" t="n"/>
      <c r="C357" s="24" t="n"/>
      <c r="D357" s="25" t="n"/>
    </row>
    <row r="358" ht="15.75" customHeight="1" s="74">
      <c r="B358" s="13" t="n"/>
      <c r="C358" s="24" t="n"/>
      <c r="D358" s="25" t="n"/>
    </row>
    <row r="359" ht="15.75" customHeight="1" s="74">
      <c r="B359" s="13" t="n"/>
      <c r="C359" s="24" t="n"/>
      <c r="D359" s="25" t="n"/>
    </row>
    <row r="360" ht="15.75" customHeight="1" s="74">
      <c r="B360" s="13" t="n"/>
      <c r="C360" s="24" t="n"/>
      <c r="D360" s="25" t="n"/>
    </row>
    <row r="361" ht="15.75" customHeight="1" s="74">
      <c r="B361" s="13" t="n"/>
      <c r="C361" s="24" t="n"/>
      <c r="D361" s="25" t="n"/>
    </row>
    <row r="362" ht="15.75" customHeight="1" s="74">
      <c r="B362" s="13" t="n"/>
      <c r="C362" s="24" t="n"/>
      <c r="D362" s="25" t="n"/>
    </row>
    <row r="363" ht="15.75" customHeight="1" s="74">
      <c r="B363" s="13" t="n"/>
      <c r="C363" s="24" t="n"/>
      <c r="D363" s="25" t="n"/>
    </row>
    <row r="364" ht="15.75" customHeight="1" s="74">
      <c r="B364" s="13" t="n"/>
      <c r="C364" s="24" t="n"/>
      <c r="D364" s="25" t="n"/>
    </row>
    <row r="365" ht="15.75" customHeight="1" s="74">
      <c r="B365" s="13" t="n"/>
      <c r="C365" s="24" t="n"/>
      <c r="D365" s="25" t="n"/>
    </row>
    <row r="366" ht="15.75" customHeight="1" s="74">
      <c r="B366" s="13" t="n"/>
      <c r="C366" s="24" t="n"/>
      <c r="D366" s="25" t="n"/>
    </row>
    <row r="367" ht="15.75" customHeight="1" s="74">
      <c r="B367" s="13" t="n"/>
      <c r="C367" s="24" t="n"/>
      <c r="D367" s="25" t="n"/>
    </row>
    <row r="368" ht="15.75" customHeight="1" s="74">
      <c r="B368" s="13" t="n"/>
      <c r="C368" s="24" t="n"/>
      <c r="D368" s="25" t="n"/>
    </row>
    <row r="369" ht="15.75" customHeight="1" s="74">
      <c r="B369" s="13" t="n"/>
      <c r="C369" s="24" t="n"/>
      <c r="D369" s="25" t="n"/>
    </row>
    <row r="370" ht="15.75" customHeight="1" s="74">
      <c r="B370" s="13" t="n"/>
      <c r="C370" s="24" t="n"/>
      <c r="D370" s="25" t="n"/>
    </row>
    <row r="371" ht="15.75" customHeight="1" s="74">
      <c r="B371" s="13" t="n"/>
      <c r="C371" s="24" t="n"/>
      <c r="D371" s="25" t="n"/>
    </row>
    <row r="372" ht="15.75" customHeight="1" s="74">
      <c r="B372" s="13" t="n"/>
      <c r="C372" s="24" t="n"/>
      <c r="D372" s="25" t="n"/>
    </row>
    <row r="373" ht="15.75" customHeight="1" s="74">
      <c r="B373" s="13" t="n"/>
      <c r="C373" s="24" t="n"/>
      <c r="D373" s="25" t="n"/>
    </row>
    <row r="374" ht="15.75" customHeight="1" s="74">
      <c r="B374" s="13" t="n"/>
      <c r="C374" s="24" t="n"/>
      <c r="D374" s="25" t="n"/>
    </row>
    <row r="375" ht="15.75" customHeight="1" s="74">
      <c r="B375" s="13" t="n"/>
      <c r="C375" s="24" t="n"/>
      <c r="D375" s="25" t="n"/>
    </row>
    <row r="376" ht="15.75" customHeight="1" s="74">
      <c r="B376" s="13" t="n"/>
      <c r="C376" s="24" t="n"/>
      <c r="D376" s="25" t="n"/>
    </row>
    <row r="377" ht="15.75" customHeight="1" s="74">
      <c r="B377" s="13" t="n"/>
      <c r="C377" s="24" t="n"/>
      <c r="D377" s="25" t="n"/>
    </row>
    <row r="378" ht="15.75" customHeight="1" s="74">
      <c r="B378" s="13" t="n"/>
      <c r="C378" s="24" t="n"/>
      <c r="D378" s="25" t="n"/>
    </row>
    <row r="379" ht="15.75" customHeight="1" s="74">
      <c r="B379" s="13" t="n"/>
      <c r="C379" s="24" t="n"/>
      <c r="D379" s="25" t="n"/>
    </row>
    <row r="380" ht="15.75" customHeight="1" s="74">
      <c r="B380" s="13" t="n"/>
      <c r="C380" s="24" t="n"/>
      <c r="D380" s="25" t="n"/>
    </row>
    <row r="381" ht="15.75" customHeight="1" s="74">
      <c r="B381" s="13" t="n"/>
      <c r="C381" s="24" t="n"/>
      <c r="D381" s="25" t="n"/>
    </row>
    <row r="382" ht="15.75" customHeight="1" s="74">
      <c r="B382" s="13" t="n"/>
      <c r="C382" s="24" t="n"/>
      <c r="D382" s="25" t="n"/>
    </row>
    <row r="383" ht="15.75" customHeight="1" s="74">
      <c r="B383" s="13" t="n"/>
      <c r="C383" s="24" t="n"/>
      <c r="D383" s="25" t="n"/>
    </row>
    <row r="384" ht="15.75" customHeight="1" s="74">
      <c r="B384" s="13" t="n"/>
      <c r="C384" s="24" t="n"/>
      <c r="D384" s="25" t="n"/>
    </row>
    <row r="385" ht="15.75" customHeight="1" s="74">
      <c r="B385" s="13" t="n"/>
      <c r="C385" s="24" t="n"/>
      <c r="D385" s="25" t="n"/>
    </row>
    <row r="386" ht="15.75" customHeight="1" s="74">
      <c r="B386" s="13" t="n"/>
      <c r="C386" s="24" t="n"/>
      <c r="D386" s="25" t="n"/>
    </row>
    <row r="387" ht="15.75" customHeight="1" s="74">
      <c r="B387" s="13" t="n"/>
      <c r="C387" s="24" t="n"/>
      <c r="D387" s="25" t="n"/>
    </row>
    <row r="388" ht="15.75" customHeight="1" s="74">
      <c r="B388" s="13" t="n"/>
      <c r="C388" s="24" t="n"/>
      <c r="D388" s="25" t="n"/>
    </row>
    <row r="389" ht="15.75" customHeight="1" s="74">
      <c r="B389" s="13" t="n"/>
      <c r="C389" s="24" t="n"/>
      <c r="D389" s="25" t="n"/>
    </row>
    <row r="390" ht="15.75" customHeight="1" s="74">
      <c r="B390" s="13" t="n"/>
      <c r="C390" s="24" t="n"/>
      <c r="D390" s="25" t="n"/>
    </row>
    <row r="391" ht="15.75" customHeight="1" s="74">
      <c r="B391" s="13" t="n"/>
      <c r="C391" s="24" t="n"/>
      <c r="D391" s="25" t="n"/>
    </row>
    <row r="392" ht="15.75" customHeight="1" s="74">
      <c r="B392" s="13" t="n"/>
      <c r="C392" s="24" t="n"/>
      <c r="D392" s="25" t="n"/>
    </row>
    <row r="393" ht="15.75" customHeight="1" s="74">
      <c r="B393" s="13" t="n"/>
      <c r="C393" s="24" t="n"/>
      <c r="D393" s="25" t="n"/>
    </row>
    <row r="394" ht="15.75" customHeight="1" s="74">
      <c r="B394" s="13" t="n"/>
      <c r="C394" s="24" t="n"/>
      <c r="D394" s="25" t="n"/>
    </row>
    <row r="395" ht="15.75" customHeight="1" s="74">
      <c r="B395" s="13" t="n"/>
      <c r="C395" s="24" t="n"/>
      <c r="D395" s="25" t="n"/>
    </row>
    <row r="396" ht="15.75" customHeight="1" s="74">
      <c r="B396" s="13" t="n"/>
      <c r="C396" s="24" t="n"/>
      <c r="D396" s="25" t="n"/>
    </row>
    <row r="397" ht="15.75" customHeight="1" s="74">
      <c r="B397" s="13" t="n"/>
      <c r="C397" s="24" t="n"/>
      <c r="D397" s="25" t="n"/>
    </row>
    <row r="398" ht="15.75" customHeight="1" s="74">
      <c r="B398" s="13" t="n"/>
      <c r="C398" s="24" t="n"/>
      <c r="D398" s="25" t="n"/>
    </row>
    <row r="399" ht="15.75" customHeight="1" s="74">
      <c r="B399" s="13" t="n"/>
      <c r="C399" s="24" t="n"/>
      <c r="D399" s="25" t="n"/>
    </row>
    <row r="400" ht="15.75" customHeight="1" s="74">
      <c r="B400" s="13" t="n"/>
      <c r="C400" s="24" t="n"/>
      <c r="D400" s="25" t="n"/>
    </row>
    <row r="401" ht="15.75" customHeight="1" s="74">
      <c r="B401" s="13" t="n"/>
      <c r="C401" s="24" t="n"/>
      <c r="D401" s="25" t="n"/>
    </row>
    <row r="402" ht="15.75" customHeight="1" s="74">
      <c r="B402" s="13" t="n"/>
      <c r="C402" s="24" t="n"/>
      <c r="D402" s="25" t="n"/>
    </row>
    <row r="403" ht="15.75" customHeight="1" s="74">
      <c r="B403" s="13" t="n"/>
      <c r="C403" s="24" t="n"/>
      <c r="D403" s="25" t="n"/>
    </row>
    <row r="404" ht="15.75" customHeight="1" s="74">
      <c r="B404" s="13" t="n"/>
      <c r="C404" s="24" t="n"/>
      <c r="D404" s="25" t="n"/>
    </row>
    <row r="405" ht="15.75" customHeight="1" s="74">
      <c r="B405" s="13" t="n"/>
      <c r="C405" s="24" t="n"/>
      <c r="D405" s="25" t="n"/>
    </row>
    <row r="406" ht="15.75" customHeight="1" s="74">
      <c r="B406" s="13" t="n"/>
      <c r="C406" s="24" t="n"/>
      <c r="D406" s="25" t="n"/>
    </row>
    <row r="407" ht="15.75" customHeight="1" s="74">
      <c r="B407" s="13" t="n"/>
      <c r="C407" s="24" t="n"/>
      <c r="D407" s="25" t="n"/>
    </row>
    <row r="408" ht="15.75" customHeight="1" s="74">
      <c r="B408" s="13" t="n"/>
      <c r="C408" s="24" t="n"/>
      <c r="D408" s="25" t="n"/>
    </row>
    <row r="409" ht="15.75" customHeight="1" s="74">
      <c r="B409" s="13" t="n"/>
      <c r="C409" s="24" t="n"/>
      <c r="D409" s="25" t="n"/>
    </row>
    <row r="410" ht="15.75" customHeight="1" s="74">
      <c r="B410" s="13" t="n"/>
      <c r="C410" s="24" t="n"/>
      <c r="D410" s="25" t="n"/>
    </row>
    <row r="411" ht="15.75" customHeight="1" s="74">
      <c r="B411" s="13" t="n"/>
      <c r="C411" s="24" t="n"/>
      <c r="D411" s="25" t="n"/>
    </row>
    <row r="412" ht="15.75" customHeight="1" s="74">
      <c r="B412" s="13" t="n"/>
      <c r="C412" s="24" t="n"/>
      <c r="D412" s="25" t="n"/>
    </row>
    <row r="413" ht="15.75" customHeight="1" s="74">
      <c r="B413" s="13" t="n"/>
      <c r="C413" s="24" t="n"/>
      <c r="D413" s="25" t="n"/>
    </row>
    <row r="414" ht="15.75" customHeight="1" s="74">
      <c r="B414" s="13" t="n"/>
      <c r="C414" s="24" t="n"/>
      <c r="D414" s="25" t="n"/>
    </row>
    <row r="415" ht="15.75" customHeight="1" s="74">
      <c r="B415" s="13" t="n"/>
      <c r="C415" s="24" t="n"/>
      <c r="D415" s="25" t="n"/>
    </row>
    <row r="416" ht="15.75" customHeight="1" s="74">
      <c r="B416" s="13" t="n"/>
      <c r="C416" s="24" t="n"/>
      <c r="D416" s="25" t="n"/>
    </row>
    <row r="417" ht="15.75" customHeight="1" s="74">
      <c r="B417" s="13" t="n"/>
      <c r="C417" s="24" t="n"/>
      <c r="D417" s="25" t="n"/>
    </row>
    <row r="418" ht="15.75" customHeight="1" s="74">
      <c r="B418" s="13" t="n"/>
      <c r="C418" s="24" t="n"/>
      <c r="D418" s="25" t="n"/>
    </row>
    <row r="419" ht="15.75" customHeight="1" s="74">
      <c r="B419" s="13" t="n"/>
      <c r="C419" s="24" t="n"/>
      <c r="D419" s="25" t="n"/>
    </row>
    <row r="420" ht="15.75" customHeight="1" s="74">
      <c r="B420" s="13" t="n"/>
      <c r="C420" s="24" t="n"/>
      <c r="D420" s="25" t="n"/>
    </row>
    <row r="421" ht="15.75" customHeight="1" s="74">
      <c r="B421" s="13" t="n"/>
      <c r="C421" s="24" t="n"/>
      <c r="D421" s="25" t="n"/>
    </row>
    <row r="422" ht="15.75" customHeight="1" s="74">
      <c r="B422" s="13" t="n"/>
      <c r="C422" s="24" t="n"/>
      <c r="D422" s="25" t="n"/>
    </row>
    <row r="423" ht="15.75" customHeight="1" s="74">
      <c r="B423" s="13" t="n"/>
      <c r="C423" s="24" t="n"/>
      <c r="D423" s="25" t="n"/>
    </row>
    <row r="424" ht="15.75" customHeight="1" s="74">
      <c r="B424" s="13" t="n"/>
      <c r="C424" s="24" t="n"/>
      <c r="D424" s="25" t="n"/>
    </row>
    <row r="425" ht="15.75" customHeight="1" s="74">
      <c r="B425" s="13" t="n"/>
      <c r="C425" s="24" t="n"/>
      <c r="D425" s="25" t="n"/>
    </row>
    <row r="426" ht="15.75" customHeight="1" s="74">
      <c r="B426" s="13" t="n"/>
      <c r="C426" s="24" t="n"/>
      <c r="D426" s="25" t="n"/>
    </row>
    <row r="427" ht="15.75" customHeight="1" s="74">
      <c r="B427" s="13" t="n"/>
      <c r="C427" s="24" t="n"/>
      <c r="D427" s="25" t="n"/>
    </row>
    <row r="428" ht="15.75" customHeight="1" s="74">
      <c r="B428" s="13" t="n"/>
      <c r="C428" s="24" t="n"/>
      <c r="D428" s="25" t="n"/>
    </row>
    <row r="429" ht="15.75" customHeight="1" s="74">
      <c r="B429" s="13" t="n"/>
      <c r="C429" s="24" t="n"/>
      <c r="D429" s="25" t="n"/>
    </row>
    <row r="430" ht="15.75" customHeight="1" s="74">
      <c r="B430" s="13" t="n"/>
      <c r="C430" s="24" t="n"/>
      <c r="D430" s="25" t="n"/>
    </row>
    <row r="431" ht="15.75" customHeight="1" s="74">
      <c r="B431" s="13" t="n"/>
      <c r="C431" s="24" t="n"/>
      <c r="D431" s="25" t="n"/>
    </row>
    <row r="432" ht="15.75" customHeight="1" s="74">
      <c r="B432" s="13" t="n"/>
      <c r="C432" s="24" t="n"/>
      <c r="D432" s="25" t="n"/>
    </row>
    <row r="433" ht="15.75" customHeight="1" s="74">
      <c r="B433" s="13" t="n"/>
      <c r="C433" s="24" t="n"/>
      <c r="D433" s="25" t="n"/>
    </row>
    <row r="434" ht="15.75" customHeight="1" s="74">
      <c r="B434" s="13" t="n"/>
      <c r="C434" s="24" t="n"/>
      <c r="D434" s="25" t="n"/>
    </row>
    <row r="435" ht="15.75" customHeight="1" s="74">
      <c r="B435" s="13" t="n"/>
      <c r="C435" s="24" t="n"/>
      <c r="D435" s="25" t="n"/>
    </row>
    <row r="436" ht="15.75" customHeight="1" s="74">
      <c r="B436" s="13" t="n"/>
      <c r="C436" s="24" t="n"/>
      <c r="D436" s="25" t="n"/>
    </row>
    <row r="437" ht="15.75" customHeight="1" s="74">
      <c r="B437" s="13" t="n"/>
      <c r="C437" s="24" t="n"/>
      <c r="D437" s="25" t="n"/>
    </row>
    <row r="438" ht="15.75" customHeight="1" s="74">
      <c r="B438" s="13" t="n"/>
      <c r="C438" s="24" t="n"/>
      <c r="D438" s="25" t="n"/>
    </row>
    <row r="439" ht="15.75" customHeight="1" s="74">
      <c r="B439" s="13" t="n"/>
      <c r="C439" s="24" t="n"/>
      <c r="D439" s="25" t="n"/>
    </row>
    <row r="440" ht="15.75" customHeight="1" s="74">
      <c r="B440" s="13" t="n"/>
      <c r="C440" s="24" t="n"/>
      <c r="D440" s="25" t="n"/>
    </row>
    <row r="441" ht="15.75" customHeight="1" s="74">
      <c r="B441" s="13" t="n"/>
      <c r="C441" s="24" t="n"/>
      <c r="D441" s="25" t="n"/>
    </row>
    <row r="442" ht="15.75" customHeight="1" s="74">
      <c r="B442" s="13" t="n"/>
      <c r="C442" s="24" t="n"/>
      <c r="D442" s="25" t="n"/>
    </row>
    <row r="443" ht="15.75" customHeight="1" s="74">
      <c r="B443" s="13" t="n"/>
      <c r="C443" s="24" t="n"/>
      <c r="D443" s="25" t="n"/>
    </row>
    <row r="444" ht="15.75" customHeight="1" s="74">
      <c r="B444" s="13" t="n"/>
      <c r="C444" s="24" t="n"/>
      <c r="D444" s="25" t="n"/>
    </row>
    <row r="445" ht="15.75" customHeight="1" s="74">
      <c r="B445" s="13" t="n"/>
      <c r="C445" s="24" t="n"/>
      <c r="D445" s="25" t="n"/>
    </row>
    <row r="446" ht="15.75" customHeight="1" s="74">
      <c r="B446" s="13" t="n"/>
      <c r="C446" s="24" t="n"/>
      <c r="D446" s="25" t="n"/>
    </row>
    <row r="447" ht="15.75" customHeight="1" s="74">
      <c r="B447" s="13" t="n"/>
      <c r="C447" s="24" t="n"/>
      <c r="D447" s="25" t="n"/>
    </row>
    <row r="448" ht="15.75" customHeight="1" s="74">
      <c r="B448" s="13" t="n"/>
      <c r="C448" s="24" t="n"/>
      <c r="D448" s="25" t="n"/>
    </row>
    <row r="449" ht="15.75" customHeight="1" s="74">
      <c r="B449" s="13" t="n"/>
      <c r="C449" s="24" t="n"/>
      <c r="D449" s="25" t="n"/>
    </row>
    <row r="450" ht="15.75" customHeight="1" s="74">
      <c r="B450" s="13" t="n"/>
      <c r="C450" s="24" t="n"/>
      <c r="D450" s="25" t="n"/>
    </row>
    <row r="451" ht="15.75" customHeight="1" s="74">
      <c r="B451" s="13" t="n"/>
      <c r="C451" s="24" t="n"/>
      <c r="D451" s="25" t="n"/>
    </row>
    <row r="452" ht="15.75" customHeight="1" s="74">
      <c r="B452" s="13" t="n"/>
      <c r="C452" s="24" t="n"/>
      <c r="D452" s="25" t="n"/>
    </row>
    <row r="453" ht="15.75" customHeight="1" s="74">
      <c r="B453" s="13" t="n"/>
      <c r="C453" s="24" t="n"/>
      <c r="D453" s="25" t="n"/>
    </row>
    <row r="454" ht="15.75" customHeight="1" s="74">
      <c r="B454" s="13" t="n"/>
      <c r="C454" s="24" t="n"/>
      <c r="D454" s="25" t="n"/>
    </row>
    <row r="455" ht="15.75" customHeight="1" s="74">
      <c r="B455" s="13" t="n"/>
      <c r="C455" s="24" t="n"/>
      <c r="D455" s="25" t="n"/>
    </row>
    <row r="456" ht="15.75" customHeight="1" s="74">
      <c r="B456" s="13" t="n"/>
      <c r="C456" s="24" t="n"/>
      <c r="D456" s="25" t="n"/>
    </row>
    <row r="457" ht="15.75" customHeight="1" s="74">
      <c r="B457" s="13" t="n"/>
      <c r="C457" s="24" t="n"/>
      <c r="D457" s="25" t="n"/>
    </row>
    <row r="458" ht="15.75" customHeight="1" s="74">
      <c r="B458" s="13" t="n"/>
      <c r="C458" s="24" t="n"/>
      <c r="D458" s="25" t="n"/>
    </row>
    <row r="459" ht="15.75" customHeight="1" s="74">
      <c r="B459" s="13" t="n"/>
      <c r="C459" s="24" t="n"/>
      <c r="D459" s="25" t="n"/>
    </row>
    <row r="460" ht="15.75" customHeight="1" s="74">
      <c r="B460" s="13" t="n"/>
      <c r="C460" s="24" t="n"/>
      <c r="D460" s="25" t="n"/>
    </row>
    <row r="461" ht="15.75" customHeight="1" s="74">
      <c r="B461" s="13" t="n"/>
      <c r="C461" s="24" t="n"/>
      <c r="D461" s="25" t="n"/>
    </row>
    <row r="462" ht="15.75" customHeight="1" s="74">
      <c r="B462" s="13" t="n"/>
      <c r="C462" s="24" t="n"/>
      <c r="D462" s="25" t="n"/>
    </row>
    <row r="463" ht="15.75" customHeight="1" s="74">
      <c r="B463" s="13" t="n"/>
      <c r="C463" s="24" t="n"/>
      <c r="D463" s="25" t="n"/>
    </row>
    <row r="464" ht="15.75" customHeight="1" s="74">
      <c r="B464" s="13" t="n"/>
      <c r="C464" s="24" t="n"/>
      <c r="D464" s="25" t="n"/>
    </row>
    <row r="465" ht="15.75" customHeight="1" s="74">
      <c r="B465" s="13" t="n"/>
      <c r="C465" s="24" t="n"/>
      <c r="D465" s="25" t="n"/>
    </row>
    <row r="466" ht="15.75" customHeight="1" s="74">
      <c r="B466" s="13" t="n"/>
      <c r="C466" s="24" t="n"/>
      <c r="D466" s="25" t="n"/>
    </row>
    <row r="467" ht="15.75" customHeight="1" s="74">
      <c r="B467" s="13" t="n"/>
      <c r="C467" s="24" t="n"/>
      <c r="D467" s="25" t="n"/>
    </row>
    <row r="468" ht="15.75" customHeight="1" s="74">
      <c r="B468" s="13" t="n"/>
      <c r="C468" s="24" t="n"/>
      <c r="D468" s="25" t="n"/>
    </row>
    <row r="469" ht="15.75" customHeight="1" s="74">
      <c r="B469" s="13" t="n"/>
      <c r="C469" s="24" t="n"/>
      <c r="D469" s="25" t="n"/>
    </row>
    <row r="470" ht="15.75" customHeight="1" s="74">
      <c r="B470" s="13" t="n"/>
      <c r="C470" s="24" t="n"/>
      <c r="D470" s="25" t="n"/>
    </row>
    <row r="471" ht="15.75" customHeight="1" s="74">
      <c r="B471" s="13" t="n"/>
      <c r="C471" s="24" t="n"/>
      <c r="D471" s="25" t="n"/>
    </row>
    <row r="472" ht="15.75" customHeight="1" s="74">
      <c r="B472" s="13" t="n"/>
      <c r="C472" s="24" t="n"/>
      <c r="D472" s="25" t="n"/>
    </row>
    <row r="473" ht="15.75" customHeight="1" s="74">
      <c r="B473" s="13" t="n"/>
      <c r="C473" s="24" t="n"/>
      <c r="D473" s="25" t="n"/>
    </row>
    <row r="474" ht="15.75" customHeight="1" s="74">
      <c r="B474" s="13" t="n"/>
      <c r="C474" s="24" t="n"/>
      <c r="D474" s="25" t="n"/>
    </row>
    <row r="475" ht="15.75" customHeight="1" s="74">
      <c r="B475" s="13" t="n"/>
      <c r="C475" s="24" t="n"/>
      <c r="D475" s="25" t="n"/>
    </row>
    <row r="476" ht="15.75" customHeight="1" s="74">
      <c r="B476" s="13" t="n"/>
      <c r="C476" s="24" t="n"/>
      <c r="D476" s="25" t="n"/>
    </row>
    <row r="477" ht="15.75" customHeight="1" s="74">
      <c r="B477" s="13" t="n"/>
      <c r="C477" s="24" t="n"/>
      <c r="D477" s="25" t="n"/>
    </row>
    <row r="478" ht="15.75" customHeight="1" s="74">
      <c r="B478" s="13" t="n"/>
      <c r="C478" s="24" t="n"/>
      <c r="D478" s="25" t="n"/>
    </row>
    <row r="479" ht="15.75" customHeight="1" s="74">
      <c r="B479" s="13" t="n"/>
      <c r="C479" s="24" t="n"/>
      <c r="D479" s="25" t="n"/>
    </row>
    <row r="480" ht="15.75" customHeight="1" s="74">
      <c r="B480" s="13" t="n"/>
      <c r="C480" s="24" t="n"/>
      <c r="D480" s="25" t="n"/>
    </row>
    <row r="481" ht="15.75" customHeight="1" s="74">
      <c r="B481" s="13" t="n"/>
      <c r="C481" s="24" t="n"/>
      <c r="D481" s="25" t="n"/>
    </row>
    <row r="482" ht="15.75" customHeight="1" s="74">
      <c r="B482" s="13" t="n"/>
      <c r="C482" s="24" t="n"/>
      <c r="D482" s="25" t="n"/>
    </row>
    <row r="483" ht="15.75" customHeight="1" s="74">
      <c r="B483" s="13" t="n"/>
      <c r="C483" s="24" t="n"/>
      <c r="D483" s="25" t="n"/>
    </row>
    <row r="484" ht="15.75" customHeight="1" s="74">
      <c r="B484" s="13" t="n"/>
      <c r="C484" s="24" t="n"/>
      <c r="D484" s="25" t="n"/>
    </row>
    <row r="485" ht="15.75" customHeight="1" s="74">
      <c r="B485" s="13" t="n"/>
      <c r="C485" s="24" t="n"/>
      <c r="D485" s="25" t="n"/>
    </row>
    <row r="486" ht="15.75" customHeight="1" s="74">
      <c r="B486" s="13" t="n"/>
      <c r="C486" s="24" t="n"/>
      <c r="D486" s="25" t="n"/>
    </row>
    <row r="487" ht="15.75" customHeight="1" s="74">
      <c r="B487" s="13" t="n"/>
      <c r="C487" s="24" t="n"/>
      <c r="D487" s="25" t="n"/>
    </row>
    <row r="488" ht="15.75" customHeight="1" s="74">
      <c r="B488" s="13" t="n"/>
      <c r="C488" s="24" t="n"/>
      <c r="D488" s="25" t="n"/>
    </row>
    <row r="489" ht="15.75" customHeight="1" s="74">
      <c r="B489" s="13" t="n"/>
      <c r="C489" s="24" t="n"/>
      <c r="D489" s="25" t="n"/>
    </row>
    <row r="490" ht="15.75" customHeight="1" s="74">
      <c r="B490" s="13" t="n"/>
      <c r="C490" s="24" t="n"/>
      <c r="D490" s="25" t="n"/>
    </row>
    <row r="491" ht="15.75" customHeight="1" s="74">
      <c r="B491" s="13" t="n"/>
      <c r="C491" s="24" t="n"/>
      <c r="D491" s="25" t="n"/>
    </row>
    <row r="492" ht="15.75" customHeight="1" s="74">
      <c r="B492" s="13" t="n"/>
      <c r="C492" s="24" t="n"/>
      <c r="D492" s="25" t="n"/>
    </row>
    <row r="493" ht="15.75" customHeight="1" s="74">
      <c r="B493" s="13" t="n"/>
      <c r="C493" s="24" t="n"/>
      <c r="D493" s="25" t="n"/>
    </row>
    <row r="494" ht="15.75" customHeight="1" s="74">
      <c r="B494" s="13" t="n"/>
      <c r="C494" s="24" t="n"/>
      <c r="D494" s="25" t="n"/>
    </row>
    <row r="495" ht="15.75" customHeight="1" s="74">
      <c r="B495" s="13" t="n"/>
      <c r="C495" s="24" t="n"/>
      <c r="D495" s="25" t="n"/>
    </row>
    <row r="496" ht="15.75" customHeight="1" s="74">
      <c r="B496" s="13" t="n"/>
      <c r="C496" s="24" t="n"/>
      <c r="D496" s="25" t="n"/>
    </row>
    <row r="497" ht="15.75" customHeight="1" s="74">
      <c r="B497" s="13" t="n"/>
      <c r="C497" s="24" t="n"/>
      <c r="D497" s="25" t="n"/>
    </row>
    <row r="498" ht="15.75" customHeight="1" s="74">
      <c r="B498" s="13" t="n"/>
      <c r="C498" s="24" t="n"/>
      <c r="D498" s="25" t="n"/>
    </row>
    <row r="499" ht="15.75" customHeight="1" s="74">
      <c r="B499" s="13" t="n"/>
      <c r="C499" s="24" t="n"/>
      <c r="D499" s="25" t="n"/>
    </row>
    <row r="500" ht="15.75" customHeight="1" s="74">
      <c r="B500" s="13" t="n"/>
      <c r="C500" s="24" t="n"/>
      <c r="D500" s="25" t="n"/>
    </row>
    <row r="501" ht="15.75" customHeight="1" s="74">
      <c r="B501" s="13" t="n"/>
      <c r="C501" s="24" t="n"/>
      <c r="D501" s="25" t="n"/>
    </row>
    <row r="502" ht="15.75" customHeight="1" s="74">
      <c r="B502" s="13" t="n"/>
      <c r="C502" s="24" t="n"/>
      <c r="D502" s="25" t="n"/>
    </row>
    <row r="503" ht="15.75" customHeight="1" s="74">
      <c r="B503" s="13" t="n"/>
      <c r="C503" s="24" t="n"/>
      <c r="D503" s="25" t="n"/>
    </row>
    <row r="504" ht="15.75" customHeight="1" s="74">
      <c r="B504" s="13" t="n"/>
      <c r="C504" s="24" t="n"/>
      <c r="D504" s="25" t="n"/>
    </row>
    <row r="505" ht="15.75" customHeight="1" s="74">
      <c r="B505" s="13" t="n"/>
      <c r="C505" s="24" t="n"/>
      <c r="D505" s="25" t="n"/>
    </row>
    <row r="506" ht="15.75" customHeight="1" s="74">
      <c r="B506" s="13" t="n"/>
      <c r="C506" s="24" t="n"/>
      <c r="D506" s="25" t="n"/>
    </row>
    <row r="507" ht="15.75" customHeight="1" s="74">
      <c r="B507" s="13" t="n"/>
      <c r="C507" s="24" t="n"/>
      <c r="D507" s="25" t="n"/>
    </row>
    <row r="508" ht="15.75" customHeight="1" s="74">
      <c r="B508" s="13" t="n"/>
      <c r="C508" s="24" t="n"/>
      <c r="D508" s="25" t="n"/>
    </row>
    <row r="509" ht="15.75" customHeight="1" s="74">
      <c r="B509" s="13" t="n"/>
      <c r="C509" s="24" t="n"/>
      <c r="D509" s="25" t="n"/>
    </row>
    <row r="510" ht="15.75" customHeight="1" s="74">
      <c r="B510" s="13" t="n"/>
      <c r="C510" s="24" t="n"/>
      <c r="D510" s="25" t="n"/>
    </row>
    <row r="511" ht="15.75" customHeight="1" s="74">
      <c r="B511" s="13" t="n"/>
      <c r="C511" s="24" t="n"/>
      <c r="D511" s="25" t="n"/>
    </row>
    <row r="512" ht="15.75" customHeight="1" s="74">
      <c r="B512" s="13" t="n"/>
      <c r="C512" s="24" t="n"/>
      <c r="D512" s="25" t="n"/>
    </row>
    <row r="513" ht="15.75" customHeight="1" s="74">
      <c r="B513" s="13" t="n"/>
      <c r="C513" s="24" t="n"/>
      <c r="D513" s="25" t="n"/>
    </row>
    <row r="514" ht="15.75" customHeight="1" s="74">
      <c r="B514" s="13" t="n"/>
      <c r="C514" s="24" t="n"/>
      <c r="D514" s="25" t="n"/>
    </row>
    <row r="515" ht="15.75" customHeight="1" s="74">
      <c r="B515" s="13" t="n"/>
      <c r="C515" s="24" t="n"/>
      <c r="D515" s="25" t="n"/>
    </row>
    <row r="516" ht="15.75" customHeight="1" s="74">
      <c r="B516" s="13" t="n"/>
      <c r="C516" s="24" t="n"/>
      <c r="D516" s="25" t="n"/>
    </row>
    <row r="517" ht="15.75" customHeight="1" s="74">
      <c r="B517" s="13" t="n"/>
      <c r="C517" s="24" t="n"/>
      <c r="D517" s="25" t="n"/>
    </row>
    <row r="518" ht="15.75" customHeight="1" s="74">
      <c r="B518" s="13" t="n"/>
      <c r="C518" s="24" t="n"/>
      <c r="D518" s="25" t="n"/>
    </row>
    <row r="519" ht="15.75" customHeight="1" s="74">
      <c r="B519" s="13" t="n"/>
      <c r="C519" s="24" t="n"/>
      <c r="D519" s="25" t="n"/>
    </row>
    <row r="520" ht="15.75" customHeight="1" s="74">
      <c r="B520" s="13" t="n"/>
      <c r="C520" s="24" t="n"/>
      <c r="D520" s="25" t="n"/>
    </row>
    <row r="521" ht="15.75" customHeight="1" s="74">
      <c r="B521" s="13" t="n"/>
      <c r="C521" s="24" t="n"/>
      <c r="D521" s="25" t="n"/>
    </row>
    <row r="522" ht="15.75" customHeight="1" s="74">
      <c r="B522" s="13" t="n"/>
      <c r="C522" s="24" t="n"/>
      <c r="D522" s="25" t="n"/>
    </row>
    <row r="523" ht="15.75" customHeight="1" s="74">
      <c r="B523" s="13" t="n"/>
      <c r="C523" s="24" t="n"/>
      <c r="D523" s="25" t="n"/>
    </row>
    <row r="524" ht="15.75" customHeight="1" s="74">
      <c r="B524" s="13" t="n"/>
      <c r="C524" s="24" t="n"/>
      <c r="D524" s="25" t="n"/>
    </row>
    <row r="525" ht="15.75" customHeight="1" s="74">
      <c r="B525" s="13" t="n"/>
      <c r="C525" s="24" t="n"/>
      <c r="D525" s="25" t="n"/>
    </row>
    <row r="526" ht="15.75" customHeight="1" s="74">
      <c r="B526" s="13" t="n"/>
      <c r="C526" s="24" t="n"/>
      <c r="D526" s="25" t="n"/>
    </row>
    <row r="527" ht="15.75" customHeight="1" s="74">
      <c r="B527" s="13" t="n"/>
      <c r="C527" s="24" t="n"/>
      <c r="D527" s="25" t="n"/>
    </row>
    <row r="528" ht="15.75" customHeight="1" s="74">
      <c r="B528" s="13" t="n"/>
      <c r="C528" s="24" t="n"/>
      <c r="D528" s="25" t="n"/>
    </row>
    <row r="529" ht="15.75" customHeight="1" s="74">
      <c r="B529" s="13" t="n"/>
      <c r="C529" s="24" t="n"/>
      <c r="D529" s="25" t="n"/>
    </row>
    <row r="530" ht="15.75" customHeight="1" s="74">
      <c r="B530" s="13" t="n"/>
      <c r="C530" s="24" t="n"/>
      <c r="D530" s="25" t="n"/>
    </row>
    <row r="531" ht="15.75" customHeight="1" s="74">
      <c r="B531" s="13" t="n"/>
      <c r="C531" s="24" t="n"/>
      <c r="D531" s="25" t="n"/>
    </row>
    <row r="532" ht="15.75" customHeight="1" s="74">
      <c r="B532" s="13" t="n"/>
      <c r="C532" s="24" t="n"/>
      <c r="D532" s="25" t="n"/>
    </row>
    <row r="533" ht="15.75" customHeight="1" s="74">
      <c r="B533" s="13" t="n"/>
      <c r="C533" s="24" t="n"/>
      <c r="D533" s="25" t="n"/>
    </row>
    <row r="534" ht="15.75" customHeight="1" s="74">
      <c r="B534" s="13" t="n"/>
      <c r="C534" s="24" t="n"/>
      <c r="D534" s="25" t="n"/>
    </row>
    <row r="535" ht="15.75" customHeight="1" s="74">
      <c r="B535" s="13" t="n"/>
      <c r="C535" s="24" t="n"/>
      <c r="D535" s="25" t="n"/>
    </row>
    <row r="536" ht="15.75" customHeight="1" s="74">
      <c r="B536" s="13" t="n"/>
      <c r="C536" s="24" t="n"/>
      <c r="D536" s="25" t="n"/>
    </row>
    <row r="537" ht="15.75" customHeight="1" s="74">
      <c r="B537" s="13" t="n"/>
      <c r="C537" s="24" t="n"/>
      <c r="D537" s="25" t="n"/>
    </row>
    <row r="538" ht="15.75" customHeight="1" s="74">
      <c r="B538" s="13" t="n"/>
      <c r="C538" s="24" t="n"/>
      <c r="D538" s="25" t="n"/>
    </row>
    <row r="539" ht="15.75" customHeight="1" s="74">
      <c r="B539" s="13" t="n"/>
      <c r="C539" s="24" t="n"/>
      <c r="D539" s="25" t="n"/>
    </row>
    <row r="540" ht="15.75" customHeight="1" s="74">
      <c r="B540" s="13" t="n"/>
      <c r="C540" s="24" t="n"/>
      <c r="D540" s="25" t="n"/>
    </row>
    <row r="541" ht="15.75" customHeight="1" s="74">
      <c r="B541" s="13" t="n"/>
      <c r="C541" s="24" t="n"/>
      <c r="D541" s="25" t="n"/>
    </row>
    <row r="542" ht="15.75" customHeight="1" s="74">
      <c r="B542" s="13" t="n"/>
      <c r="C542" s="24" t="n"/>
      <c r="D542" s="25" t="n"/>
    </row>
    <row r="543" ht="15.75" customHeight="1" s="74">
      <c r="B543" s="13" t="n"/>
      <c r="C543" s="24" t="n"/>
      <c r="D543" s="25" t="n"/>
    </row>
    <row r="544" ht="15.75" customHeight="1" s="74">
      <c r="B544" s="13" t="n"/>
      <c r="C544" s="24" t="n"/>
      <c r="D544" s="25" t="n"/>
    </row>
    <row r="545" ht="15.75" customHeight="1" s="74">
      <c r="B545" s="13" t="n"/>
      <c r="C545" s="24" t="n"/>
      <c r="D545" s="25" t="n"/>
    </row>
    <row r="546" ht="15.75" customHeight="1" s="74">
      <c r="B546" s="13" t="n"/>
      <c r="C546" s="24" t="n"/>
      <c r="D546" s="25" t="n"/>
    </row>
    <row r="547" ht="15.75" customHeight="1" s="74">
      <c r="B547" s="13" t="n"/>
      <c r="C547" s="24" t="n"/>
      <c r="D547" s="25" t="n"/>
    </row>
    <row r="548" ht="15.75" customHeight="1" s="74">
      <c r="B548" s="13" t="n"/>
      <c r="C548" s="24" t="n"/>
      <c r="D548" s="25" t="n"/>
    </row>
    <row r="549" ht="15.75" customHeight="1" s="74">
      <c r="B549" s="13" t="n"/>
      <c r="C549" s="24" t="n"/>
      <c r="D549" s="25" t="n"/>
    </row>
    <row r="550" ht="15.75" customHeight="1" s="74">
      <c r="B550" s="13" t="n"/>
      <c r="C550" s="24" t="n"/>
      <c r="D550" s="25" t="n"/>
    </row>
    <row r="551" ht="15.75" customHeight="1" s="74">
      <c r="B551" s="13" t="n"/>
      <c r="C551" s="24" t="n"/>
      <c r="D551" s="25" t="n"/>
    </row>
    <row r="552" ht="15.75" customHeight="1" s="74">
      <c r="B552" s="13" t="n"/>
      <c r="C552" s="24" t="n"/>
      <c r="D552" s="25" t="n"/>
    </row>
    <row r="553" ht="15.75" customHeight="1" s="74">
      <c r="B553" s="13" t="n"/>
      <c r="C553" s="24" t="n"/>
      <c r="D553" s="25" t="n"/>
    </row>
    <row r="554" ht="15.75" customHeight="1" s="74">
      <c r="B554" s="13" t="n"/>
      <c r="C554" s="24" t="n"/>
      <c r="D554" s="25" t="n"/>
    </row>
    <row r="555" ht="15.75" customHeight="1" s="74">
      <c r="B555" s="13" t="n"/>
      <c r="C555" s="24" t="n"/>
      <c r="D555" s="25" t="n"/>
    </row>
    <row r="556" ht="15.75" customHeight="1" s="74">
      <c r="B556" s="13" t="n"/>
      <c r="C556" s="24" t="n"/>
      <c r="D556" s="25" t="n"/>
    </row>
    <row r="557" ht="15.75" customHeight="1" s="74">
      <c r="B557" s="13" t="n"/>
      <c r="C557" s="24" t="n"/>
      <c r="D557" s="25" t="n"/>
    </row>
    <row r="558" ht="15.75" customHeight="1" s="74">
      <c r="B558" s="13" t="n"/>
      <c r="C558" s="24" t="n"/>
      <c r="D558" s="25" t="n"/>
    </row>
    <row r="559" ht="15.75" customHeight="1" s="74">
      <c r="B559" s="13" t="n"/>
      <c r="C559" s="24" t="n"/>
      <c r="D559" s="25" t="n"/>
    </row>
    <row r="560" ht="15.75" customHeight="1" s="74">
      <c r="B560" s="13" t="n"/>
      <c r="C560" s="24" t="n"/>
      <c r="D560" s="25" t="n"/>
    </row>
    <row r="561" ht="15.75" customHeight="1" s="74">
      <c r="B561" s="13" t="n"/>
      <c r="C561" s="24" t="n"/>
      <c r="D561" s="25" t="n"/>
    </row>
    <row r="562" ht="15.75" customHeight="1" s="74">
      <c r="B562" s="13" t="n"/>
      <c r="C562" s="24" t="n"/>
      <c r="D562" s="25" t="n"/>
    </row>
    <row r="563" ht="15.75" customHeight="1" s="74">
      <c r="B563" s="13" t="n"/>
      <c r="C563" s="24" t="n"/>
      <c r="D563" s="25" t="n"/>
    </row>
    <row r="564" ht="15.75" customHeight="1" s="74">
      <c r="B564" s="13" t="n"/>
      <c r="C564" s="24" t="n"/>
      <c r="D564" s="25" t="n"/>
    </row>
    <row r="565" ht="15.75" customHeight="1" s="74">
      <c r="B565" s="13" t="n"/>
      <c r="C565" s="24" t="n"/>
      <c r="D565" s="25" t="n"/>
    </row>
    <row r="566" ht="15.75" customHeight="1" s="74">
      <c r="B566" s="13" t="n"/>
      <c r="C566" s="24" t="n"/>
      <c r="D566" s="25" t="n"/>
    </row>
    <row r="567" ht="15.75" customHeight="1" s="74">
      <c r="B567" s="13" t="n"/>
      <c r="C567" s="24" t="n"/>
      <c r="D567" s="25" t="n"/>
    </row>
    <row r="568" ht="15.75" customHeight="1" s="74">
      <c r="B568" s="13" t="n"/>
      <c r="C568" s="24" t="n"/>
      <c r="D568" s="25" t="n"/>
    </row>
    <row r="569" ht="15.75" customHeight="1" s="74">
      <c r="B569" s="13" t="n"/>
      <c r="C569" s="24" t="n"/>
      <c r="D569" s="25" t="n"/>
    </row>
    <row r="570" ht="15.75" customHeight="1" s="74">
      <c r="B570" s="13" t="n"/>
      <c r="C570" s="24" t="n"/>
      <c r="D570" s="25" t="n"/>
    </row>
    <row r="571" ht="15.75" customHeight="1" s="74">
      <c r="B571" s="13" t="n"/>
      <c r="C571" s="24" t="n"/>
      <c r="D571" s="25" t="n"/>
    </row>
    <row r="572" ht="15.75" customHeight="1" s="74">
      <c r="B572" s="13" t="n"/>
      <c r="C572" s="24" t="n"/>
      <c r="D572" s="25" t="n"/>
    </row>
    <row r="573" ht="15.75" customHeight="1" s="74">
      <c r="B573" s="13" t="n"/>
      <c r="C573" s="24" t="n"/>
      <c r="D573" s="25" t="n"/>
    </row>
    <row r="574" ht="15.75" customHeight="1" s="74">
      <c r="B574" s="13" t="n"/>
      <c r="C574" s="24" t="n"/>
      <c r="D574" s="25" t="n"/>
    </row>
    <row r="575" ht="15.75" customHeight="1" s="74">
      <c r="B575" s="13" t="n"/>
      <c r="C575" s="24" t="n"/>
      <c r="D575" s="25" t="n"/>
    </row>
    <row r="576" ht="15.75" customHeight="1" s="74">
      <c r="B576" s="13" t="n"/>
      <c r="C576" s="24" t="n"/>
      <c r="D576" s="25" t="n"/>
    </row>
    <row r="577" ht="15.75" customHeight="1" s="74">
      <c r="B577" s="13" t="n"/>
      <c r="C577" s="24" t="n"/>
      <c r="D577" s="25" t="n"/>
    </row>
    <row r="578" ht="15.75" customHeight="1" s="74">
      <c r="B578" s="13" t="n"/>
      <c r="C578" s="24" t="n"/>
      <c r="D578" s="25" t="n"/>
    </row>
    <row r="579" ht="15.75" customHeight="1" s="74">
      <c r="B579" s="13" t="n"/>
      <c r="C579" s="24" t="n"/>
      <c r="D579" s="25" t="n"/>
    </row>
    <row r="580" ht="15.75" customHeight="1" s="74">
      <c r="B580" s="13" t="n"/>
      <c r="C580" s="24" t="n"/>
      <c r="D580" s="25" t="n"/>
    </row>
    <row r="581" ht="15.75" customHeight="1" s="74">
      <c r="B581" s="13" t="n"/>
      <c r="C581" s="24" t="n"/>
      <c r="D581" s="25" t="n"/>
    </row>
    <row r="582" ht="15.75" customHeight="1" s="74">
      <c r="B582" s="13" t="n"/>
      <c r="C582" s="24" t="n"/>
      <c r="D582" s="25" t="n"/>
    </row>
    <row r="583" ht="15.75" customHeight="1" s="74">
      <c r="B583" s="13" t="n"/>
      <c r="C583" s="24" t="n"/>
      <c r="D583" s="25" t="n"/>
    </row>
    <row r="584" ht="15.75" customHeight="1" s="74">
      <c r="B584" s="13" t="n"/>
      <c r="C584" s="24" t="n"/>
      <c r="D584" s="25" t="n"/>
    </row>
    <row r="585" ht="15.75" customHeight="1" s="74">
      <c r="B585" s="13" t="n"/>
      <c r="C585" s="24" t="n"/>
      <c r="D585" s="25" t="n"/>
    </row>
    <row r="586" ht="15.75" customHeight="1" s="74">
      <c r="B586" s="13" t="n"/>
      <c r="C586" s="24" t="n"/>
      <c r="D586" s="25" t="n"/>
    </row>
    <row r="587" ht="15.75" customHeight="1" s="74">
      <c r="B587" s="13" t="n"/>
      <c r="C587" s="24" t="n"/>
      <c r="D587" s="25" t="n"/>
    </row>
    <row r="588" ht="15.75" customHeight="1" s="74">
      <c r="B588" s="13" t="n"/>
      <c r="C588" s="24" t="n"/>
      <c r="D588" s="25" t="n"/>
    </row>
    <row r="589" ht="15.75" customHeight="1" s="74">
      <c r="B589" s="13" t="n"/>
      <c r="C589" s="24" t="n"/>
      <c r="D589" s="25" t="n"/>
    </row>
    <row r="590" ht="15.75" customHeight="1" s="74">
      <c r="B590" s="13" t="n"/>
      <c r="C590" s="24" t="n"/>
      <c r="D590" s="25" t="n"/>
    </row>
    <row r="591" ht="15.75" customHeight="1" s="74">
      <c r="B591" s="13" t="n"/>
      <c r="C591" s="24" t="n"/>
      <c r="D591" s="25" t="n"/>
    </row>
    <row r="592" ht="15.75" customHeight="1" s="74">
      <c r="B592" s="13" t="n"/>
      <c r="C592" s="24" t="n"/>
      <c r="D592" s="25" t="n"/>
    </row>
    <row r="593" ht="15.75" customHeight="1" s="74">
      <c r="B593" s="13" t="n"/>
      <c r="C593" s="24" t="n"/>
      <c r="D593" s="25" t="n"/>
    </row>
    <row r="594" ht="15.75" customHeight="1" s="74">
      <c r="B594" s="13" t="n"/>
      <c r="C594" s="24" t="n"/>
      <c r="D594" s="25" t="n"/>
    </row>
    <row r="595" ht="15.75" customHeight="1" s="74">
      <c r="B595" s="13" t="n"/>
      <c r="C595" s="24" t="n"/>
      <c r="D595" s="25" t="n"/>
    </row>
    <row r="596" ht="15.75" customHeight="1" s="74">
      <c r="B596" s="13" t="n"/>
      <c r="C596" s="24" t="n"/>
      <c r="D596" s="25" t="n"/>
    </row>
    <row r="597" ht="15.75" customHeight="1" s="74">
      <c r="B597" s="13" t="n"/>
      <c r="C597" s="24" t="n"/>
      <c r="D597" s="25" t="n"/>
    </row>
    <row r="598" ht="15.75" customHeight="1" s="74">
      <c r="B598" s="13" t="n"/>
      <c r="C598" s="24" t="n"/>
      <c r="D598" s="25" t="n"/>
    </row>
    <row r="599" ht="15.75" customHeight="1" s="74">
      <c r="B599" s="13" t="n"/>
      <c r="C599" s="24" t="n"/>
      <c r="D599" s="25" t="n"/>
    </row>
    <row r="600" ht="15.75" customHeight="1" s="74">
      <c r="B600" s="13" t="n"/>
      <c r="C600" s="24" t="n"/>
      <c r="D600" s="25" t="n"/>
    </row>
    <row r="601" ht="15.75" customHeight="1" s="74">
      <c r="B601" s="13" t="n"/>
      <c r="C601" s="24" t="n"/>
      <c r="D601" s="25" t="n"/>
    </row>
    <row r="602" ht="15.75" customHeight="1" s="74">
      <c r="B602" s="13" t="n"/>
      <c r="C602" s="24" t="n"/>
      <c r="D602" s="25" t="n"/>
    </row>
    <row r="603" ht="15.75" customHeight="1" s="74">
      <c r="B603" s="13" t="n"/>
      <c r="C603" s="24" t="n"/>
      <c r="D603" s="25" t="n"/>
    </row>
    <row r="604" ht="15.75" customHeight="1" s="74">
      <c r="B604" s="13" t="n"/>
      <c r="C604" s="24" t="n"/>
      <c r="D604" s="25" t="n"/>
    </row>
    <row r="605" ht="15.75" customHeight="1" s="74">
      <c r="B605" s="13" t="n"/>
      <c r="C605" s="24" t="n"/>
      <c r="D605" s="25" t="n"/>
    </row>
    <row r="606" ht="15.75" customHeight="1" s="74">
      <c r="B606" s="13" t="n"/>
      <c r="C606" s="24" t="n"/>
      <c r="D606" s="25" t="n"/>
    </row>
    <row r="607" ht="15.75" customHeight="1" s="74">
      <c r="B607" s="13" t="n"/>
      <c r="C607" s="24" t="n"/>
      <c r="D607" s="25" t="n"/>
    </row>
    <row r="608" ht="15.75" customHeight="1" s="74">
      <c r="B608" s="13" t="n"/>
      <c r="C608" s="24" t="n"/>
      <c r="D608" s="25" t="n"/>
    </row>
    <row r="609" ht="15.75" customHeight="1" s="74">
      <c r="B609" s="13" t="n"/>
      <c r="C609" s="24" t="n"/>
      <c r="D609" s="25" t="n"/>
    </row>
    <row r="610" ht="15.75" customHeight="1" s="74">
      <c r="B610" s="13" t="n"/>
      <c r="C610" s="24" t="n"/>
      <c r="D610" s="25" t="n"/>
    </row>
    <row r="611" ht="15.75" customHeight="1" s="74">
      <c r="B611" s="13" t="n"/>
      <c r="C611" s="24" t="n"/>
      <c r="D611" s="25" t="n"/>
    </row>
    <row r="612" ht="15.75" customHeight="1" s="74">
      <c r="B612" s="13" t="n"/>
      <c r="C612" s="24" t="n"/>
      <c r="D612" s="25" t="n"/>
    </row>
    <row r="613" ht="15.75" customHeight="1" s="74">
      <c r="B613" s="13" t="n"/>
      <c r="C613" s="24" t="n"/>
      <c r="D613" s="25" t="n"/>
    </row>
    <row r="614" ht="15.75" customHeight="1" s="74">
      <c r="B614" s="13" t="n"/>
      <c r="C614" s="24" t="n"/>
      <c r="D614" s="25" t="n"/>
    </row>
    <row r="615" ht="15.75" customHeight="1" s="74">
      <c r="B615" s="13" t="n"/>
      <c r="C615" s="24" t="n"/>
      <c r="D615" s="25" t="n"/>
    </row>
    <row r="616" ht="15.75" customHeight="1" s="74">
      <c r="B616" s="13" t="n"/>
      <c r="C616" s="24" t="n"/>
      <c r="D616" s="25" t="n"/>
    </row>
    <row r="617" ht="15.75" customHeight="1" s="74">
      <c r="B617" s="13" t="n"/>
      <c r="C617" s="24" t="n"/>
      <c r="D617" s="25" t="n"/>
    </row>
    <row r="618" ht="15.75" customHeight="1" s="74">
      <c r="B618" s="13" t="n"/>
      <c r="C618" s="24" t="n"/>
      <c r="D618" s="25" t="n"/>
    </row>
    <row r="619" ht="15.75" customHeight="1" s="74">
      <c r="B619" s="13" t="n"/>
      <c r="C619" s="24" t="n"/>
      <c r="D619" s="25" t="n"/>
    </row>
    <row r="620" ht="15.75" customHeight="1" s="74">
      <c r="B620" s="13" t="n"/>
      <c r="C620" s="24" t="n"/>
      <c r="D620" s="25" t="n"/>
    </row>
    <row r="621" ht="15.75" customHeight="1" s="74">
      <c r="B621" s="13" t="n"/>
      <c r="C621" s="24" t="n"/>
      <c r="D621" s="25" t="n"/>
    </row>
    <row r="622" ht="15.75" customHeight="1" s="74">
      <c r="B622" s="13" t="n"/>
      <c r="C622" s="24" t="n"/>
      <c r="D622" s="25" t="n"/>
    </row>
    <row r="623" ht="15.75" customHeight="1" s="74">
      <c r="B623" s="13" t="n"/>
      <c r="C623" s="24" t="n"/>
      <c r="D623" s="25" t="n"/>
    </row>
    <row r="624" ht="15.75" customHeight="1" s="74">
      <c r="B624" s="13" t="n"/>
      <c r="C624" s="24" t="n"/>
      <c r="D624" s="25" t="n"/>
    </row>
    <row r="625" ht="15.75" customHeight="1" s="74">
      <c r="B625" s="13" t="n"/>
      <c r="C625" s="24" t="n"/>
      <c r="D625" s="25" t="n"/>
    </row>
    <row r="626" ht="15.75" customHeight="1" s="74">
      <c r="B626" s="13" t="n"/>
      <c r="C626" s="24" t="n"/>
      <c r="D626" s="25" t="n"/>
    </row>
    <row r="627" ht="15.75" customHeight="1" s="74">
      <c r="B627" s="13" t="n"/>
      <c r="C627" s="24" t="n"/>
      <c r="D627" s="25" t="n"/>
    </row>
    <row r="628" ht="15.75" customHeight="1" s="74">
      <c r="B628" s="13" t="n"/>
      <c r="C628" s="24" t="n"/>
      <c r="D628" s="25" t="n"/>
    </row>
    <row r="629" ht="15.75" customHeight="1" s="74">
      <c r="B629" s="13" t="n"/>
      <c r="C629" s="24" t="n"/>
      <c r="D629" s="25" t="n"/>
    </row>
    <row r="630" ht="15.75" customHeight="1" s="74">
      <c r="B630" s="13" t="n"/>
      <c r="C630" s="24" t="n"/>
      <c r="D630" s="25" t="n"/>
    </row>
    <row r="631" ht="15.75" customHeight="1" s="74">
      <c r="B631" s="13" t="n"/>
      <c r="C631" s="24" t="n"/>
      <c r="D631" s="25" t="n"/>
    </row>
    <row r="632" ht="15.75" customHeight="1" s="74">
      <c r="B632" s="13" t="n"/>
      <c r="C632" s="24" t="n"/>
      <c r="D632" s="25" t="n"/>
    </row>
    <row r="633" ht="15.75" customHeight="1" s="74">
      <c r="B633" s="13" t="n"/>
      <c r="C633" s="24" t="n"/>
      <c r="D633" s="25" t="n"/>
    </row>
    <row r="634" ht="15.75" customHeight="1" s="74">
      <c r="B634" s="13" t="n"/>
      <c r="C634" s="24" t="n"/>
      <c r="D634" s="25" t="n"/>
    </row>
    <row r="635" ht="15.75" customHeight="1" s="74">
      <c r="B635" s="13" t="n"/>
      <c r="C635" s="24" t="n"/>
      <c r="D635" s="25" t="n"/>
    </row>
    <row r="636" ht="15.75" customHeight="1" s="74">
      <c r="B636" s="13" t="n"/>
      <c r="C636" s="24" t="n"/>
      <c r="D636" s="25" t="n"/>
    </row>
    <row r="637" ht="15.75" customHeight="1" s="74">
      <c r="B637" s="13" t="n"/>
      <c r="C637" s="24" t="n"/>
      <c r="D637" s="25" t="n"/>
    </row>
    <row r="638" ht="15.75" customHeight="1" s="74">
      <c r="B638" s="13" t="n"/>
      <c r="C638" s="24" t="n"/>
      <c r="D638" s="25" t="n"/>
    </row>
    <row r="639" ht="15.75" customHeight="1" s="74">
      <c r="B639" s="13" t="n"/>
      <c r="C639" s="24" t="n"/>
      <c r="D639" s="25" t="n"/>
    </row>
    <row r="640" ht="15.75" customHeight="1" s="74">
      <c r="B640" s="13" t="n"/>
      <c r="C640" s="24" t="n"/>
      <c r="D640" s="25" t="n"/>
    </row>
    <row r="641" ht="15.75" customHeight="1" s="74">
      <c r="B641" s="13" t="n"/>
      <c r="C641" s="24" t="n"/>
      <c r="D641" s="25" t="n"/>
    </row>
    <row r="642" ht="15.75" customHeight="1" s="74">
      <c r="B642" s="13" t="n"/>
      <c r="C642" s="24" t="n"/>
      <c r="D642" s="25" t="n"/>
    </row>
    <row r="643" ht="15.75" customHeight="1" s="74">
      <c r="B643" s="13" t="n"/>
      <c r="C643" s="24" t="n"/>
      <c r="D643" s="25" t="n"/>
    </row>
    <row r="644" ht="15.75" customHeight="1" s="74">
      <c r="B644" s="13" t="n"/>
      <c r="C644" s="24" t="n"/>
      <c r="D644" s="25" t="n"/>
    </row>
    <row r="645" ht="15.75" customHeight="1" s="74">
      <c r="B645" s="13" t="n"/>
      <c r="C645" s="24" t="n"/>
      <c r="D645" s="25" t="n"/>
    </row>
    <row r="646" ht="15.75" customHeight="1" s="74">
      <c r="B646" s="13" t="n"/>
      <c r="C646" s="24" t="n"/>
      <c r="D646" s="25" t="n"/>
    </row>
    <row r="647" ht="15.75" customHeight="1" s="74">
      <c r="B647" s="13" t="n"/>
      <c r="C647" s="24" t="n"/>
      <c r="D647" s="25" t="n"/>
    </row>
    <row r="648" ht="15.75" customHeight="1" s="74">
      <c r="B648" s="13" t="n"/>
      <c r="C648" s="24" t="n"/>
      <c r="D648" s="25" t="n"/>
    </row>
    <row r="649" ht="15.75" customHeight="1" s="74">
      <c r="B649" s="13" t="n"/>
      <c r="C649" s="24" t="n"/>
      <c r="D649" s="25" t="n"/>
    </row>
    <row r="650" ht="15.75" customHeight="1" s="74">
      <c r="B650" s="13" t="n"/>
      <c r="C650" s="24" t="n"/>
      <c r="D650" s="25" t="n"/>
    </row>
    <row r="651" ht="15.75" customHeight="1" s="74">
      <c r="B651" s="13" t="n"/>
      <c r="C651" s="24" t="n"/>
      <c r="D651" s="25" t="n"/>
    </row>
    <row r="652" ht="15.75" customHeight="1" s="74">
      <c r="B652" s="13" t="n"/>
      <c r="C652" s="24" t="n"/>
      <c r="D652" s="25" t="n"/>
    </row>
    <row r="653" ht="15.75" customHeight="1" s="74">
      <c r="B653" s="13" t="n"/>
      <c r="C653" s="24" t="n"/>
      <c r="D653" s="25" t="n"/>
    </row>
    <row r="654" ht="15.75" customHeight="1" s="74">
      <c r="B654" s="13" t="n"/>
      <c r="C654" s="24" t="n"/>
      <c r="D654" s="25" t="n"/>
    </row>
    <row r="655" ht="15.75" customHeight="1" s="74">
      <c r="B655" s="13" t="n"/>
      <c r="C655" s="24" t="n"/>
      <c r="D655" s="25" t="n"/>
    </row>
    <row r="656" ht="15.75" customHeight="1" s="74">
      <c r="B656" s="13" t="n"/>
      <c r="C656" s="24" t="n"/>
      <c r="D656" s="25" t="n"/>
    </row>
    <row r="657" ht="15.75" customHeight="1" s="74">
      <c r="B657" s="13" t="n"/>
      <c r="C657" s="24" t="n"/>
      <c r="D657" s="25" t="n"/>
    </row>
    <row r="658" ht="15.75" customHeight="1" s="74">
      <c r="B658" s="13" t="n"/>
      <c r="C658" s="24" t="n"/>
      <c r="D658" s="25" t="n"/>
    </row>
    <row r="659" ht="15.75" customHeight="1" s="74">
      <c r="B659" s="13" t="n"/>
      <c r="C659" s="24" t="n"/>
      <c r="D659" s="25" t="n"/>
    </row>
    <row r="660" ht="15.75" customHeight="1" s="74">
      <c r="B660" s="13" t="n"/>
      <c r="C660" s="24" t="n"/>
      <c r="D660" s="25" t="n"/>
    </row>
    <row r="661" ht="15.75" customHeight="1" s="74">
      <c r="B661" s="13" t="n"/>
      <c r="C661" s="24" t="n"/>
      <c r="D661" s="25" t="n"/>
    </row>
    <row r="662" ht="15.75" customHeight="1" s="74">
      <c r="B662" s="13" t="n"/>
      <c r="C662" s="24" t="n"/>
      <c r="D662" s="25" t="n"/>
    </row>
    <row r="663" ht="15.75" customHeight="1" s="74">
      <c r="B663" s="13" t="n"/>
      <c r="C663" s="24" t="n"/>
      <c r="D663" s="25" t="n"/>
    </row>
    <row r="664" ht="15.75" customHeight="1" s="74">
      <c r="B664" s="13" t="n"/>
      <c r="C664" s="24" t="n"/>
      <c r="D664" s="25" t="n"/>
    </row>
    <row r="665" ht="15.75" customHeight="1" s="74">
      <c r="B665" s="13" t="n"/>
      <c r="C665" s="24" t="n"/>
      <c r="D665" s="25" t="n"/>
    </row>
    <row r="666" ht="15.75" customHeight="1" s="74">
      <c r="B666" s="13" t="n"/>
      <c r="C666" s="24" t="n"/>
      <c r="D666" s="25" t="n"/>
    </row>
    <row r="667" ht="15.75" customHeight="1" s="74">
      <c r="B667" s="13" t="n"/>
      <c r="C667" s="24" t="n"/>
      <c r="D667" s="25" t="n"/>
    </row>
    <row r="668" ht="15.75" customHeight="1" s="74">
      <c r="B668" s="13" t="n"/>
      <c r="C668" s="24" t="n"/>
      <c r="D668" s="25" t="n"/>
    </row>
    <row r="669" ht="15.75" customHeight="1" s="74">
      <c r="B669" s="13" t="n"/>
      <c r="C669" s="24" t="n"/>
      <c r="D669" s="25" t="n"/>
    </row>
    <row r="670" ht="15.75" customHeight="1" s="74">
      <c r="B670" s="13" t="n"/>
      <c r="C670" s="24" t="n"/>
      <c r="D670" s="25" t="n"/>
    </row>
    <row r="671" ht="15.75" customHeight="1" s="74">
      <c r="B671" s="13" t="n"/>
      <c r="C671" s="24" t="n"/>
      <c r="D671" s="25" t="n"/>
    </row>
    <row r="672" ht="15.75" customHeight="1" s="74">
      <c r="B672" s="13" t="n"/>
      <c r="C672" s="24" t="n"/>
      <c r="D672" s="25" t="n"/>
    </row>
    <row r="673" ht="15.75" customHeight="1" s="74">
      <c r="B673" s="13" t="n"/>
      <c r="C673" s="24" t="n"/>
      <c r="D673" s="25" t="n"/>
    </row>
    <row r="674" ht="15.75" customHeight="1" s="74">
      <c r="B674" s="13" t="n"/>
      <c r="C674" s="24" t="n"/>
      <c r="D674" s="25" t="n"/>
    </row>
    <row r="675" ht="15.75" customHeight="1" s="74">
      <c r="B675" s="13" t="n"/>
      <c r="C675" s="24" t="n"/>
      <c r="D675" s="25" t="n"/>
    </row>
    <row r="676" ht="15.75" customHeight="1" s="74">
      <c r="B676" s="13" t="n"/>
      <c r="C676" s="24" t="n"/>
      <c r="D676" s="25" t="n"/>
    </row>
    <row r="677" ht="15.75" customHeight="1" s="74">
      <c r="B677" s="13" t="n"/>
      <c r="C677" s="24" t="n"/>
      <c r="D677" s="25" t="n"/>
    </row>
    <row r="678" ht="15.75" customHeight="1" s="74">
      <c r="B678" s="13" t="n"/>
      <c r="C678" s="24" t="n"/>
      <c r="D678" s="25" t="n"/>
    </row>
    <row r="679" ht="15.75" customHeight="1" s="74">
      <c r="B679" s="13" t="n"/>
      <c r="C679" s="24" t="n"/>
      <c r="D679" s="25" t="n"/>
    </row>
    <row r="680" ht="15.75" customHeight="1" s="74">
      <c r="B680" s="13" t="n"/>
      <c r="C680" s="24" t="n"/>
      <c r="D680" s="25" t="n"/>
    </row>
    <row r="681" ht="15.75" customHeight="1" s="74">
      <c r="B681" s="13" t="n"/>
      <c r="C681" s="24" t="n"/>
      <c r="D681" s="25" t="n"/>
    </row>
    <row r="682" ht="15.75" customHeight="1" s="74">
      <c r="B682" s="13" t="n"/>
      <c r="C682" s="24" t="n"/>
      <c r="D682" s="25" t="n"/>
    </row>
    <row r="683" ht="15.75" customHeight="1" s="74">
      <c r="B683" s="13" t="n"/>
      <c r="C683" s="24" t="n"/>
      <c r="D683" s="25" t="n"/>
    </row>
    <row r="684" ht="15.75" customHeight="1" s="74">
      <c r="B684" s="13" t="n"/>
      <c r="C684" s="24" t="n"/>
      <c r="D684" s="25" t="n"/>
    </row>
    <row r="685" ht="15.75" customHeight="1" s="74">
      <c r="B685" s="13" t="n"/>
      <c r="C685" s="24" t="n"/>
      <c r="D685" s="25" t="n"/>
    </row>
    <row r="686" ht="15.75" customHeight="1" s="74">
      <c r="B686" s="13" t="n"/>
      <c r="C686" s="24" t="n"/>
      <c r="D686" s="25" t="n"/>
    </row>
    <row r="687" ht="15.75" customHeight="1" s="74">
      <c r="B687" s="13" t="n"/>
      <c r="C687" s="24" t="n"/>
      <c r="D687" s="25" t="n"/>
    </row>
    <row r="688" ht="15.75" customHeight="1" s="74">
      <c r="B688" s="13" t="n"/>
      <c r="C688" s="24" t="n"/>
      <c r="D688" s="25" t="n"/>
    </row>
    <row r="689" ht="15.75" customHeight="1" s="74">
      <c r="B689" s="13" t="n"/>
      <c r="C689" s="24" t="n"/>
      <c r="D689" s="25" t="n"/>
    </row>
    <row r="690" ht="15.75" customHeight="1" s="74">
      <c r="B690" s="13" t="n"/>
      <c r="C690" s="24" t="n"/>
      <c r="D690" s="25" t="n"/>
    </row>
    <row r="691" ht="15.75" customHeight="1" s="74">
      <c r="B691" s="13" t="n"/>
      <c r="C691" s="24" t="n"/>
      <c r="D691" s="25" t="n"/>
    </row>
    <row r="692" ht="15.75" customHeight="1" s="74">
      <c r="B692" s="13" t="n"/>
      <c r="C692" s="24" t="n"/>
      <c r="D692" s="25" t="n"/>
    </row>
    <row r="693" ht="15.75" customHeight="1" s="74">
      <c r="B693" s="13" t="n"/>
      <c r="C693" s="24" t="n"/>
      <c r="D693" s="25" t="n"/>
    </row>
    <row r="694" ht="15.75" customHeight="1" s="74">
      <c r="B694" s="13" t="n"/>
      <c r="C694" s="24" t="n"/>
      <c r="D694" s="25" t="n"/>
    </row>
    <row r="695" ht="15.75" customHeight="1" s="74">
      <c r="B695" s="13" t="n"/>
      <c r="C695" s="24" t="n"/>
      <c r="D695" s="25" t="n"/>
    </row>
    <row r="696" ht="15.75" customHeight="1" s="74">
      <c r="B696" s="13" t="n"/>
      <c r="C696" s="24" t="n"/>
      <c r="D696" s="25" t="n"/>
    </row>
    <row r="697" ht="15.75" customHeight="1" s="74">
      <c r="B697" s="13" t="n"/>
      <c r="C697" s="24" t="n"/>
      <c r="D697" s="25" t="n"/>
    </row>
    <row r="698" ht="15.75" customHeight="1" s="74">
      <c r="B698" s="13" t="n"/>
      <c r="C698" s="24" t="n"/>
      <c r="D698" s="25" t="n"/>
    </row>
    <row r="699" ht="15.75" customHeight="1" s="74">
      <c r="B699" s="13" t="n"/>
      <c r="C699" s="24" t="n"/>
      <c r="D699" s="25" t="n"/>
    </row>
    <row r="700" ht="15.75" customHeight="1" s="74">
      <c r="B700" s="13" t="n"/>
      <c r="C700" s="24" t="n"/>
      <c r="D700" s="25" t="n"/>
    </row>
    <row r="701" ht="15.75" customHeight="1" s="74">
      <c r="B701" s="13" t="n"/>
      <c r="C701" s="24" t="n"/>
      <c r="D701" s="25" t="n"/>
    </row>
    <row r="702" ht="15.75" customHeight="1" s="74">
      <c r="B702" s="13" t="n"/>
      <c r="C702" s="24" t="n"/>
      <c r="D702" s="25" t="n"/>
    </row>
    <row r="703" ht="15.75" customHeight="1" s="74">
      <c r="B703" s="13" t="n"/>
      <c r="C703" s="24" t="n"/>
      <c r="D703" s="25" t="n"/>
    </row>
    <row r="704" ht="15.75" customHeight="1" s="74">
      <c r="B704" s="13" t="n"/>
      <c r="C704" s="24" t="n"/>
      <c r="D704" s="25" t="n"/>
    </row>
    <row r="705" ht="15.75" customHeight="1" s="74">
      <c r="B705" s="13" t="n"/>
      <c r="C705" s="24" t="n"/>
      <c r="D705" s="25" t="n"/>
    </row>
    <row r="706" ht="15.75" customHeight="1" s="74">
      <c r="B706" s="13" t="n"/>
      <c r="C706" s="24" t="n"/>
      <c r="D706" s="25" t="n"/>
    </row>
    <row r="707" ht="15.75" customHeight="1" s="74">
      <c r="B707" s="13" t="n"/>
      <c r="C707" s="24" t="n"/>
      <c r="D707" s="25" t="n"/>
    </row>
    <row r="708" ht="15.75" customHeight="1" s="74">
      <c r="B708" s="13" t="n"/>
      <c r="C708" s="24" t="n"/>
      <c r="D708" s="25" t="n"/>
    </row>
    <row r="709" ht="15.75" customHeight="1" s="74">
      <c r="B709" s="13" t="n"/>
      <c r="C709" s="24" t="n"/>
      <c r="D709" s="25" t="n"/>
    </row>
    <row r="710" ht="15.75" customHeight="1" s="74">
      <c r="B710" s="13" t="n"/>
      <c r="C710" s="24" t="n"/>
      <c r="D710" s="25" t="n"/>
    </row>
    <row r="711" ht="15.75" customHeight="1" s="74">
      <c r="B711" s="13" t="n"/>
      <c r="C711" s="24" t="n"/>
      <c r="D711" s="25" t="n"/>
    </row>
    <row r="712" ht="15.75" customHeight="1" s="74">
      <c r="B712" s="13" t="n"/>
      <c r="C712" s="24" t="n"/>
      <c r="D712" s="25" t="n"/>
    </row>
    <row r="713" ht="15.75" customHeight="1" s="74">
      <c r="B713" s="13" t="n"/>
      <c r="C713" s="24" t="n"/>
      <c r="D713" s="25" t="n"/>
    </row>
    <row r="714" ht="15.75" customHeight="1" s="74">
      <c r="B714" s="13" t="n"/>
      <c r="C714" s="24" t="n"/>
      <c r="D714" s="25" t="n"/>
    </row>
    <row r="715" ht="15.75" customHeight="1" s="74">
      <c r="B715" s="13" t="n"/>
      <c r="C715" s="24" t="n"/>
      <c r="D715" s="25" t="n"/>
    </row>
    <row r="716" ht="15.75" customHeight="1" s="74">
      <c r="B716" s="13" t="n"/>
      <c r="C716" s="24" t="n"/>
      <c r="D716" s="25" t="n"/>
    </row>
    <row r="717" ht="15.75" customHeight="1" s="74">
      <c r="B717" s="13" t="n"/>
      <c r="C717" s="24" t="n"/>
      <c r="D717" s="25" t="n"/>
    </row>
    <row r="718" ht="15.75" customHeight="1" s="74">
      <c r="B718" s="13" t="n"/>
      <c r="C718" s="24" t="n"/>
      <c r="D718" s="25" t="n"/>
    </row>
    <row r="719" ht="15.75" customHeight="1" s="74">
      <c r="B719" s="13" t="n"/>
      <c r="C719" s="24" t="n"/>
      <c r="D719" s="25" t="n"/>
    </row>
    <row r="720" ht="15.75" customHeight="1" s="74">
      <c r="B720" s="13" t="n"/>
      <c r="C720" s="24" t="n"/>
      <c r="D720" s="25" t="n"/>
    </row>
    <row r="721" ht="15.75" customHeight="1" s="74">
      <c r="B721" s="13" t="n"/>
      <c r="C721" s="24" t="n"/>
      <c r="D721" s="25" t="n"/>
    </row>
    <row r="722" ht="15.75" customHeight="1" s="74">
      <c r="B722" s="13" t="n"/>
      <c r="C722" s="24" t="n"/>
      <c r="D722" s="25" t="n"/>
    </row>
    <row r="723" ht="15.75" customHeight="1" s="74">
      <c r="B723" s="13" t="n"/>
      <c r="C723" s="24" t="n"/>
      <c r="D723" s="25" t="n"/>
    </row>
    <row r="724" ht="15.75" customHeight="1" s="74">
      <c r="B724" s="13" t="n"/>
      <c r="C724" s="24" t="n"/>
      <c r="D724" s="25" t="n"/>
    </row>
    <row r="725" ht="15.75" customHeight="1" s="74">
      <c r="B725" s="13" t="n"/>
      <c r="C725" s="24" t="n"/>
      <c r="D725" s="25" t="n"/>
    </row>
    <row r="726" ht="15.75" customHeight="1" s="74">
      <c r="B726" s="13" t="n"/>
      <c r="C726" s="24" t="n"/>
      <c r="D726" s="25" t="n"/>
    </row>
    <row r="727" ht="15.75" customHeight="1" s="74">
      <c r="B727" s="13" t="n"/>
      <c r="C727" s="24" t="n"/>
      <c r="D727" s="25" t="n"/>
    </row>
    <row r="728" ht="15.75" customHeight="1" s="74">
      <c r="B728" s="13" t="n"/>
      <c r="C728" s="24" t="n"/>
      <c r="D728" s="25" t="n"/>
    </row>
    <row r="729" ht="15.75" customHeight="1" s="74">
      <c r="B729" s="13" t="n"/>
      <c r="C729" s="24" t="n"/>
      <c r="D729" s="25" t="n"/>
    </row>
    <row r="730" ht="15.75" customHeight="1" s="74">
      <c r="B730" s="13" t="n"/>
      <c r="C730" s="24" t="n"/>
      <c r="D730" s="25" t="n"/>
    </row>
    <row r="731" ht="15.75" customHeight="1" s="74">
      <c r="B731" s="13" t="n"/>
      <c r="C731" s="24" t="n"/>
      <c r="D731" s="25" t="n"/>
    </row>
    <row r="732" ht="15.75" customHeight="1" s="74">
      <c r="B732" s="13" t="n"/>
      <c r="C732" s="24" t="n"/>
      <c r="D732" s="25" t="n"/>
    </row>
    <row r="733" ht="15.75" customHeight="1" s="74">
      <c r="B733" s="13" t="n"/>
      <c r="C733" s="24" t="n"/>
      <c r="D733" s="25" t="n"/>
    </row>
    <row r="734" ht="15.75" customHeight="1" s="74">
      <c r="B734" s="13" t="n"/>
      <c r="C734" s="24" t="n"/>
      <c r="D734" s="25" t="n"/>
    </row>
    <row r="735" ht="15.75" customHeight="1" s="74">
      <c r="B735" s="13" t="n"/>
      <c r="C735" s="24" t="n"/>
      <c r="D735" s="25" t="n"/>
    </row>
    <row r="736" ht="15.75" customHeight="1" s="74">
      <c r="B736" s="13" t="n"/>
      <c r="C736" s="24" t="n"/>
      <c r="D736" s="25" t="n"/>
    </row>
    <row r="737" ht="15.75" customHeight="1" s="74">
      <c r="B737" s="13" t="n"/>
      <c r="C737" s="24" t="n"/>
      <c r="D737" s="25" t="n"/>
    </row>
    <row r="738" ht="15.75" customHeight="1" s="74">
      <c r="B738" s="13" t="n"/>
      <c r="C738" s="24" t="n"/>
      <c r="D738" s="25" t="n"/>
    </row>
    <row r="739" ht="15.75" customHeight="1" s="74">
      <c r="B739" s="13" t="n"/>
      <c r="C739" s="24" t="n"/>
      <c r="D739" s="25" t="n"/>
    </row>
    <row r="740" ht="15.75" customHeight="1" s="74">
      <c r="B740" s="13" t="n"/>
      <c r="C740" s="24" t="n"/>
      <c r="D740" s="25" t="n"/>
    </row>
    <row r="741" ht="15.75" customHeight="1" s="74">
      <c r="B741" s="13" t="n"/>
      <c r="C741" s="24" t="n"/>
      <c r="D741" s="25" t="n"/>
    </row>
    <row r="742" ht="15.75" customHeight="1" s="74">
      <c r="B742" s="13" t="n"/>
      <c r="C742" s="24" t="n"/>
      <c r="D742" s="25" t="n"/>
    </row>
    <row r="743" ht="15.75" customHeight="1" s="74">
      <c r="B743" s="13" t="n"/>
      <c r="C743" s="24" t="n"/>
      <c r="D743" s="25" t="n"/>
    </row>
    <row r="744" ht="15.75" customHeight="1" s="74">
      <c r="B744" s="13" t="n"/>
      <c r="C744" s="24" t="n"/>
      <c r="D744" s="25" t="n"/>
    </row>
    <row r="745" ht="15.75" customHeight="1" s="74">
      <c r="B745" s="13" t="n"/>
      <c r="C745" s="24" t="n"/>
      <c r="D745" s="25" t="n"/>
    </row>
    <row r="746" ht="15.75" customHeight="1" s="74">
      <c r="B746" s="13" t="n"/>
      <c r="C746" s="24" t="n"/>
      <c r="D746" s="25" t="n"/>
    </row>
    <row r="747" ht="15.75" customHeight="1" s="74">
      <c r="B747" s="13" t="n"/>
      <c r="C747" s="24" t="n"/>
      <c r="D747" s="25" t="n"/>
    </row>
    <row r="748" ht="15.75" customHeight="1" s="74">
      <c r="B748" s="13" t="n"/>
      <c r="C748" s="24" t="n"/>
      <c r="D748" s="25" t="n"/>
    </row>
    <row r="749" ht="15.75" customHeight="1" s="74">
      <c r="B749" s="13" t="n"/>
      <c r="C749" s="24" t="n"/>
      <c r="D749" s="25" t="n"/>
    </row>
    <row r="750" ht="15.75" customHeight="1" s="74">
      <c r="B750" s="13" t="n"/>
      <c r="C750" s="24" t="n"/>
      <c r="D750" s="25" t="n"/>
    </row>
    <row r="751" ht="15.75" customHeight="1" s="74">
      <c r="B751" s="13" t="n"/>
      <c r="C751" s="24" t="n"/>
      <c r="D751" s="25" t="n"/>
    </row>
    <row r="752" ht="15.75" customHeight="1" s="74">
      <c r="B752" s="13" t="n"/>
      <c r="C752" s="24" t="n"/>
      <c r="D752" s="25" t="n"/>
    </row>
    <row r="753" ht="15.75" customHeight="1" s="74">
      <c r="B753" s="13" t="n"/>
      <c r="C753" s="24" t="n"/>
      <c r="D753" s="25" t="n"/>
    </row>
    <row r="754" ht="15.75" customHeight="1" s="74">
      <c r="B754" s="13" t="n"/>
      <c r="C754" s="24" t="n"/>
      <c r="D754" s="25" t="n"/>
    </row>
    <row r="755" ht="15.75" customHeight="1" s="74">
      <c r="B755" s="13" t="n"/>
      <c r="C755" s="24" t="n"/>
      <c r="D755" s="25" t="n"/>
    </row>
    <row r="756" ht="15.75" customHeight="1" s="74">
      <c r="B756" s="13" t="n"/>
      <c r="C756" s="24" t="n"/>
      <c r="D756" s="25" t="n"/>
    </row>
    <row r="757" ht="15.75" customHeight="1" s="74">
      <c r="B757" s="13" t="n"/>
      <c r="C757" s="24" t="n"/>
      <c r="D757" s="25" t="n"/>
    </row>
    <row r="758" ht="15.75" customHeight="1" s="74">
      <c r="B758" s="13" t="n"/>
      <c r="C758" s="24" t="n"/>
      <c r="D758" s="25" t="n"/>
    </row>
    <row r="759" ht="15.75" customHeight="1" s="74">
      <c r="B759" s="13" t="n"/>
      <c r="C759" s="24" t="n"/>
      <c r="D759" s="25" t="n"/>
    </row>
    <row r="760" ht="15.75" customHeight="1" s="74">
      <c r="B760" s="13" t="n"/>
      <c r="C760" s="24" t="n"/>
      <c r="D760" s="25" t="n"/>
    </row>
    <row r="761" ht="15.75" customHeight="1" s="74">
      <c r="B761" s="13" t="n"/>
      <c r="C761" s="24" t="n"/>
      <c r="D761" s="25" t="n"/>
    </row>
    <row r="762" ht="15.75" customHeight="1" s="74">
      <c r="B762" s="13" t="n"/>
      <c r="C762" s="24" t="n"/>
      <c r="D762" s="25" t="n"/>
    </row>
    <row r="763" ht="15.75" customHeight="1" s="74">
      <c r="B763" s="13" t="n"/>
      <c r="C763" s="24" t="n"/>
      <c r="D763" s="25" t="n"/>
    </row>
    <row r="764" ht="15.75" customHeight="1" s="74">
      <c r="B764" s="13" t="n"/>
      <c r="C764" s="24" t="n"/>
      <c r="D764" s="25" t="n"/>
    </row>
    <row r="765" ht="15.75" customHeight="1" s="74">
      <c r="B765" s="13" t="n"/>
      <c r="C765" s="24" t="n"/>
      <c r="D765" s="25" t="n"/>
    </row>
    <row r="766" ht="15.75" customHeight="1" s="74">
      <c r="B766" s="13" t="n"/>
      <c r="C766" s="24" t="n"/>
      <c r="D766" s="25" t="n"/>
    </row>
    <row r="767" ht="15.75" customHeight="1" s="74">
      <c r="B767" s="13" t="n"/>
      <c r="C767" s="24" t="n"/>
      <c r="D767" s="25" t="n"/>
    </row>
    <row r="768" ht="15.75" customHeight="1" s="74">
      <c r="B768" s="13" t="n"/>
      <c r="C768" s="24" t="n"/>
      <c r="D768" s="25" t="n"/>
    </row>
    <row r="769" ht="15.75" customHeight="1" s="74">
      <c r="B769" s="13" t="n"/>
      <c r="C769" s="24" t="n"/>
      <c r="D769" s="25" t="n"/>
    </row>
    <row r="770" ht="15.75" customHeight="1" s="74">
      <c r="B770" s="13" t="n"/>
      <c r="C770" s="24" t="n"/>
      <c r="D770" s="25" t="n"/>
    </row>
    <row r="771" ht="15.75" customHeight="1" s="74">
      <c r="B771" s="13" t="n"/>
      <c r="C771" s="24" t="n"/>
      <c r="D771" s="25" t="n"/>
    </row>
    <row r="772" ht="15.75" customHeight="1" s="74">
      <c r="B772" s="13" t="n"/>
      <c r="C772" s="24" t="n"/>
      <c r="D772" s="25" t="n"/>
    </row>
    <row r="773" ht="15.75" customHeight="1" s="74">
      <c r="B773" s="13" t="n"/>
      <c r="C773" s="24" t="n"/>
      <c r="D773" s="25" t="n"/>
    </row>
    <row r="774" ht="15.75" customHeight="1" s="74">
      <c r="B774" s="13" t="n"/>
      <c r="C774" s="24" t="n"/>
      <c r="D774" s="25" t="n"/>
    </row>
    <row r="775" ht="15.75" customHeight="1" s="74">
      <c r="B775" s="13" t="n"/>
      <c r="C775" s="24" t="n"/>
      <c r="D775" s="25" t="n"/>
    </row>
    <row r="776" ht="15.75" customHeight="1" s="74">
      <c r="B776" s="13" t="n"/>
      <c r="C776" s="24" t="n"/>
      <c r="D776" s="25" t="n"/>
    </row>
    <row r="777" ht="15.75" customHeight="1" s="74">
      <c r="B777" s="13" t="n"/>
      <c r="C777" s="24" t="n"/>
      <c r="D777" s="25" t="n"/>
    </row>
    <row r="778" ht="15.75" customHeight="1" s="74">
      <c r="B778" s="13" t="n"/>
      <c r="C778" s="24" t="n"/>
      <c r="D778" s="25" t="n"/>
    </row>
    <row r="779" ht="15.75" customHeight="1" s="74">
      <c r="B779" s="13" t="n"/>
      <c r="C779" s="24" t="n"/>
      <c r="D779" s="25" t="n"/>
    </row>
    <row r="780" ht="15.75" customHeight="1" s="74">
      <c r="B780" s="13" t="n"/>
      <c r="C780" s="24" t="n"/>
      <c r="D780" s="25" t="n"/>
    </row>
    <row r="781" ht="15.75" customHeight="1" s="74">
      <c r="B781" s="13" t="n"/>
      <c r="C781" s="24" t="n"/>
      <c r="D781" s="25" t="n"/>
    </row>
    <row r="782" ht="15.75" customHeight="1" s="74">
      <c r="B782" s="13" t="n"/>
      <c r="C782" s="24" t="n"/>
      <c r="D782" s="25" t="n"/>
    </row>
    <row r="783" ht="15.75" customHeight="1" s="74">
      <c r="B783" s="13" t="n"/>
      <c r="C783" s="24" t="n"/>
      <c r="D783" s="25" t="n"/>
    </row>
    <row r="784" ht="15.75" customHeight="1" s="74">
      <c r="B784" s="13" t="n"/>
      <c r="C784" s="24" t="n"/>
      <c r="D784" s="25" t="n"/>
    </row>
    <row r="785" ht="15.75" customHeight="1" s="74">
      <c r="B785" s="13" t="n"/>
      <c r="C785" s="24" t="n"/>
      <c r="D785" s="25" t="n"/>
    </row>
    <row r="786" ht="15.75" customHeight="1" s="74">
      <c r="B786" s="13" t="n"/>
      <c r="C786" s="24" t="n"/>
      <c r="D786" s="25" t="n"/>
    </row>
    <row r="787" ht="15.75" customHeight="1" s="74">
      <c r="B787" s="13" t="n"/>
      <c r="C787" s="24" t="n"/>
      <c r="D787" s="25" t="n"/>
    </row>
    <row r="788" ht="15.75" customHeight="1" s="74">
      <c r="B788" s="13" t="n"/>
      <c r="C788" s="24" t="n"/>
      <c r="D788" s="25" t="n"/>
    </row>
    <row r="789" ht="15.75" customHeight="1" s="74">
      <c r="B789" s="13" t="n"/>
      <c r="C789" s="24" t="n"/>
      <c r="D789" s="25" t="n"/>
    </row>
    <row r="790" ht="15.75" customHeight="1" s="74">
      <c r="B790" s="13" t="n"/>
      <c r="C790" s="24" t="n"/>
      <c r="D790" s="25" t="n"/>
    </row>
    <row r="791" ht="15.75" customHeight="1" s="74">
      <c r="B791" s="13" t="n"/>
      <c r="C791" s="24" t="n"/>
      <c r="D791" s="25" t="n"/>
    </row>
    <row r="792" ht="15.75" customHeight="1" s="74">
      <c r="B792" s="13" t="n"/>
      <c r="C792" s="24" t="n"/>
      <c r="D792" s="25" t="n"/>
    </row>
    <row r="793" ht="15.75" customHeight="1" s="74">
      <c r="B793" s="13" t="n"/>
      <c r="C793" s="24" t="n"/>
      <c r="D793" s="25" t="n"/>
    </row>
    <row r="794" ht="15.75" customHeight="1" s="74">
      <c r="B794" s="13" t="n"/>
      <c r="C794" s="24" t="n"/>
      <c r="D794" s="25" t="n"/>
    </row>
    <row r="795" ht="15.75" customHeight="1" s="74">
      <c r="B795" s="13" t="n"/>
      <c r="C795" s="24" t="n"/>
      <c r="D795" s="25" t="n"/>
    </row>
    <row r="796" ht="15.75" customHeight="1" s="74">
      <c r="B796" s="13" t="n"/>
      <c r="C796" s="24" t="n"/>
      <c r="D796" s="25" t="n"/>
    </row>
    <row r="797" ht="15.75" customHeight="1" s="74">
      <c r="B797" s="13" t="n"/>
      <c r="C797" s="24" t="n"/>
      <c r="D797" s="25" t="n"/>
    </row>
    <row r="798" ht="15.75" customHeight="1" s="74">
      <c r="B798" s="13" t="n"/>
      <c r="C798" s="24" t="n"/>
      <c r="D798" s="25" t="n"/>
    </row>
    <row r="799" ht="15.75" customHeight="1" s="74">
      <c r="B799" s="13" t="n"/>
      <c r="C799" s="24" t="n"/>
      <c r="D799" s="25" t="n"/>
    </row>
    <row r="800" ht="15.75" customHeight="1" s="74">
      <c r="B800" s="13" t="n"/>
      <c r="C800" s="24" t="n"/>
      <c r="D800" s="25" t="n"/>
    </row>
    <row r="801" ht="15.75" customHeight="1" s="74">
      <c r="B801" s="13" t="n"/>
      <c r="C801" s="24" t="n"/>
      <c r="D801" s="25" t="n"/>
    </row>
    <row r="802" ht="15.75" customHeight="1" s="74">
      <c r="B802" s="13" t="n"/>
      <c r="C802" s="24" t="n"/>
      <c r="D802" s="25" t="n"/>
    </row>
    <row r="803" ht="15.75" customHeight="1" s="74">
      <c r="B803" s="13" t="n"/>
      <c r="C803" s="24" t="n"/>
      <c r="D803" s="25" t="n"/>
    </row>
    <row r="804" ht="15.75" customHeight="1" s="74">
      <c r="B804" s="13" t="n"/>
      <c r="C804" s="24" t="n"/>
      <c r="D804" s="25" t="n"/>
    </row>
    <row r="805" ht="15.75" customHeight="1" s="74">
      <c r="B805" s="13" t="n"/>
      <c r="C805" s="24" t="n"/>
      <c r="D805" s="25" t="n"/>
    </row>
    <row r="806" ht="15.75" customHeight="1" s="74">
      <c r="B806" s="13" t="n"/>
      <c r="C806" s="24" t="n"/>
      <c r="D806" s="25" t="n"/>
    </row>
    <row r="807" ht="15.75" customHeight="1" s="74">
      <c r="B807" s="13" t="n"/>
      <c r="C807" s="24" t="n"/>
      <c r="D807" s="25" t="n"/>
    </row>
    <row r="808" ht="15.75" customHeight="1" s="74">
      <c r="B808" s="13" t="n"/>
      <c r="C808" s="24" t="n"/>
      <c r="D808" s="25" t="n"/>
    </row>
    <row r="809" ht="15.75" customHeight="1" s="74">
      <c r="B809" s="13" t="n"/>
      <c r="C809" s="24" t="n"/>
      <c r="D809" s="25" t="n"/>
    </row>
    <row r="810" ht="15.75" customHeight="1" s="74">
      <c r="B810" s="13" t="n"/>
      <c r="C810" s="24" t="n"/>
      <c r="D810" s="25" t="n"/>
    </row>
    <row r="811" ht="15.75" customHeight="1" s="74">
      <c r="B811" s="13" t="n"/>
      <c r="C811" s="24" t="n"/>
      <c r="D811" s="25" t="n"/>
    </row>
    <row r="812" ht="15.75" customHeight="1" s="74">
      <c r="B812" s="13" t="n"/>
      <c r="C812" s="24" t="n"/>
      <c r="D812" s="25" t="n"/>
    </row>
    <row r="813" ht="15.75" customHeight="1" s="74">
      <c r="B813" s="13" t="n"/>
      <c r="C813" s="24" t="n"/>
      <c r="D813" s="25" t="n"/>
    </row>
    <row r="814" ht="15.75" customHeight="1" s="74">
      <c r="B814" s="13" t="n"/>
      <c r="C814" s="24" t="n"/>
      <c r="D814" s="25" t="n"/>
    </row>
    <row r="815" ht="15.75" customHeight="1" s="74">
      <c r="B815" s="13" t="n"/>
      <c r="C815" s="24" t="n"/>
      <c r="D815" s="25" t="n"/>
    </row>
    <row r="816" ht="15.75" customHeight="1" s="74">
      <c r="B816" s="13" t="n"/>
      <c r="C816" s="24" t="n"/>
      <c r="D816" s="25" t="n"/>
    </row>
    <row r="817" ht="15.75" customHeight="1" s="74">
      <c r="B817" s="13" t="n"/>
      <c r="C817" s="24" t="n"/>
      <c r="D817" s="25" t="n"/>
    </row>
    <row r="818" ht="15.75" customHeight="1" s="74">
      <c r="B818" s="13" t="n"/>
      <c r="C818" s="24" t="n"/>
      <c r="D818" s="25" t="n"/>
    </row>
    <row r="819" ht="15.75" customHeight="1" s="74">
      <c r="B819" s="13" t="n"/>
      <c r="C819" s="24" t="n"/>
      <c r="D819" s="25" t="n"/>
    </row>
    <row r="820" ht="15.75" customHeight="1" s="74">
      <c r="B820" s="13" t="n"/>
      <c r="C820" s="24" t="n"/>
      <c r="D820" s="25" t="n"/>
    </row>
    <row r="821" ht="15.75" customHeight="1" s="74">
      <c r="B821" s="13" t="n"/>
      <c r="C821" s="24" t="n"/>
      <c r="D821" s="25" t="n"/>
    </row>
    <row r="822" ht="15.75" customHeight="1" s="74">
      <c r="B822" s="13" t="n"/>
      <c r="C822" s="24" t="n"/>
      <c r="D822" s="25" t="n"/>
    </row>
    <row r="823" ht="15.75" customHeight="1" s="74">
      <c r="B823" s="13" t="n"/>
      <c r="C823" s="24" t="n"/>
      <c r="D823" s="25" t="n"/>
    </row>
    <row r="824" ht="15.75" customHeight="1" s="74">
      <c r="B824" s="13" t="n"/>
      <c r="C824" s="24" t="n"/>
      <c r="D824" s="25" t="n"/>
    </row>
    <row r="825" ht="15.75" customHeight="1" s="74">
      <c r="B825" s="13" t="n"/>
      <c r="C825" s="24" t="n"/>
      <c r="D825" s="25" t="n"/>
    </row>
    <row r="826" ht="15.75" customHeight="1" s="74">
      <c r="B826" s="13" t="n"/>
      <c r="C826" s="24" t="n"/>
      <c r="D826" s="25" t="n"/>
    </row>
    <row r="827" ht="15.75" customHeight="1" s="74">
      <c r="B827" s="13" t="n"/>
      <c r="C827" s="24" t="n"/>
      <c r="D827" s="25" t="n"/>
    </row>
    <row r="828" ht="15.75" customHeight="1" s="74">
      <c r="B828" s="13" t="n"/>
      <c r="C828" s="24" t="n"/>
      <c r="D828" s="25" t="n"/>
    </row>
    <row r="829" ht="15.75" customHeight="1" s="74">
      <c r="B829" s="13" t="n"/>
      <c r="C829" s="24" t="n"/>
      <c r="D829" s="25" t="n"/>
    </row>
    <row r="830" ht="15.75" customHeight="1" s="74">
      <c r="B830" s="13" t="n"/>
      <c r="C830" s="24" t="n"/>
      <c r="D830" s="25" t="n"/>
    </row>
    <row r="831" ht="15.75" customHeight="1" s="74">
      <c r="B831" s="13" t="n"/>
      <c r="C831" s="24" t="n"/>
      <c r="D831" s="25" t="n"/>
    </row>
    <row r="832" ht="15.75" customHeight="1" s="74">
      <c r="B832" s="13" t="n"/>
      <c r="C832" s="24" t="n"/>
      <c r="D832" s="25" t="n"/>
    </row>
    <row r="833" ht="15.75" customHeight="1" s="74">
      <c r="B833" s="13" t="n"/>
      <c r="C833" s="24" t="n"/>
      <c r="D833" s="25" t="n"/>
    </row>
    <row r="834" ht="15.75" customHeight="1" s="74">
      <c r="B834" s="13" t="n"/>
      <c r="C834" s="24" t="n"/>
      <c r="D834" s="25" t="n"/>
    </row>
    <row r="835" ht="15.75" customHeight="1" s="74">
      <c r="B835" s="13" t="n"/>
      <c r="C835" s="24" t="n"/>
      <c r="D835" s="25" t="n"/>
    </row>
    <row r="836" ht="15.75" customHeight="1" s="74">
      <c r="B836" s="13" t="n"/>
      <c r="C836" s="24" t="n"/>
      <c r="D836" s="25" t="n"/>
    </row>
    <row r="837" ht="15.75" customHeight="1" s="74">
      <c r="B837" s="13" t="n"/>
      <c r="C837" s="24" t="n"/>
      <c r="D837" s="25" t="n"/>
    </row>
    <row r="838" ht="15.75" customHeight="1" s="74">
      <c r="B838" s="13" t="n"/>
      <c r="C838" s="24" t="n"/>
      <c r="D838" s="25" t="n"/>
    </row>
    <row r="839" ht="15.75" customHeight="1" s="74">
      <c r="B839" s="13" t="n"/>
      <c r="C839" s="24" t="n"/>
      <c r="D839" s="25" t="n"/>
    </row>
    <row r="840" ht="15.75" customHeight="1" s="74">
      <c r="B840" s="13" t="n"/>
      <c r="C840" s="24" t="n"/>
      <c r="D840" s="25" t="n"/>
    </row>
    <row r="841" ht="15.75" customHeight="1" s="74">
      <c r="B841" s="13" t="n"/>
      <c r="C841" s="24" t="n"/>
      <c r="D841" s="25" t="n"/>
    </row>
    <row r="842" ht="15.75" customHeight="1" s="74">
      <c r="B842" s="13" t="n"/>
      <c r="C842" s="24" t="n"/>
      <c r="D842" s="25" t="n"/>
    </row>
    <row r="843" ht="15.75" customHeight="1" s="74">
      <c r="B843" s="13" t="n"/>
      <c r="C843" s="24" t="n"/>
      <c r="D843" s="25" t="n"/>
    </row>
    <row r="844" ht="15.75" customHeight="1" s="74">
      <c r="B844" s="13" t="n"/>
      <c r="C844" s="24" t="n"/>
      <c r="D844" s="25" t="n"/>
    </row>
    <row r="845" ht="15.75" customHeight="1" s="74">
      <c r="B845" s="13" t="n"/>
      <c r="C845" s="24" t="n"/>
      <c r="D845" s="25" t="n"/>
    </row>
    <row r="846" ht="15.75" customHeight="1" s="74">
      <c r="B846" s="13" t="n"/>
      <c r="C846" s="24" t="n"/>
      <c r="D846" s="25" t="n"/>
    </row>
    <row r="847" ht="15.75" customHeight="1" s="74">
      <c r="B847" s="13" t="n"/>
      <c r="C847" s="24" t="n"/>
      <c r="D847" s="25" t="n"/>
    </row>
    <row r="848" ht="15.75" customHeight="1" s="74">
      <c r="B848" s="13" t="n"/>
      <c r="C848" s="24" t="n"/>
      <c r="D848" s="25" t="n"/>
    </row>
    <row r="849" ht="15.75" customHeight="1" s="74">
      <c r="B849" s="13" t="n"/>
      <c r="C849" s="24" t="n"/>
      <c r="D849" s="25" t="n"/>
    </row>
    <row r="850" ht="15.75" customHeight="1" s="74">
      <c r="B850" s="13" t="n"/>
      <c r="C850" s="24" t="n"/>
      <c r="D850" s="25" t="n"/>
    </row>
    <row r="851" ht="15.75" customHeight="1" s="74">
      <c r="B851" s="13" t="n"/>
      <c r="C851" s="24" t="n"/>
      <c r="D851" s="25" t="n"/>
    </row>
    <row r="852" ht="15.75" customHeight="1" s="74">
      <c r="B852" s="13" t="n"/>
      <c r="C852" s="24" t="n"/>
      <c r="D852" s="25" t="n"/>
    </row>
    <row r="853" ht="15.75" customHeight="1" s="74">
      <c r="B853" s="13" t="n"/>
      <c r="C853" s="24" t="n"/>
      <c r="D853" s="25" t="n"/>
    </row>
    <row r="854" ht="15.75" customHeight="1" s="74">
      <c r="B854" s="13" t="n"/>
      <c r="C854" s="24" t="n"/>
      <c r="D854" s="25" t="n"/>
    </row>
    <row r="855" ht="15.75" customHeight="1" s="74">
      <c r="B855" s="13" t="n"/>
      <c r="C855" s="24" t="n"/>
      <c r="D855" s="25" t="n"/>
    </row>
    <row r="856" ht="15.75" customHeight="1" s="74">
      <c r="B856" s="13" t="n"/>
      <c r="C856" s="24" t="n"/>
      <c r="D856" s="25" t="n"/>
    </row>
    <row r="857" ht="15.75" customHeight="1" s="74">
      <c r="B857" s="13" t="n"/>
      <c r="C857" s="24" t="n"/>
      <c r="D857" s="25" t="n"/>
    </row>
    <row r="858" ht="15.75" customHeight="1" s="74">
      <c r="B858" s="13" t="n"/>
      <c r="C858" s="24" t="n"/>
      <c r="D858" s="25" t="n"/>
    </row>
    <row r="859" ht="15.75" customHeight="1" s="74">
      <c r="B859" s="13" t="n"/>
      <c r="C859" s="24" t="n"/>
      <c r="D859" s="25" t="n"/>
    </row>
    <row r="860" ht="15.75" customHeight="1" s="74">
      <c r="B860" s="13" t="n"/>
      <c r="C860" s="24" t="n"/>
      <c r="D860" s="25" t="n"/>
    </row>
    <row r="861" ht="15.75" customHeight="1" s="74">
      <c r="B861" s="13" t="n"/>
      <c r="C861" s="24" t="n"/>
      <c r="D861" s="25" t="n"/>
    </row>
    <row r="862" ht="15.75" customHeight="1" s="74">
      <c r="B862" s="13" t="n"/>
      <c r="C862" s="24" t="n"/>
      <c r="D862" s="25" t="n"/>
    </row>
    <row r="863" ht="15.75" customHeight="1" s="74">
      <c r="B863" s="13" t="n"/>
      <c r="C863" s="24" t="n"/>
      <c r="D863" s="25" t="n"/>
    </row>
    <row r="864" ht="15.75" customHeight="1" s="74">
      <c r="B864" s="13" t="n"/>
      <c r="C864" s="24" t="n"/>
      <c r="D864" s="25" t="n"/>
    </row>
    <row r="865" ht="15.75" customHeight="1" s="74">
      <c r="B865" s="13" t="n"/>
      <c r="C865" s="24" t="n"/>
      <c r="D865" s="25" t="n"/>
    </row>
    <row r="866" ht="15.75" customHeight="1" s="74">
      <c r="B866" s="13" t="n"/>
      <c r="C866" s="24" t="n"/>
      <c r="D866" s="25" t="n"/>
    </row>
    <row r="867" ht="15.75" customHeight="1" s="74">
      <c r="B867" s="13" t="n"/>
      <c r="C867" s="24" t="n"/>
      <c r="D867" s="25" t="n"/>
    </row>
    <row r="868" ht="15.75" customHeight="1" s="74">
      <c r="B868" s="13" t="n"/>
      <c r="C868" s="24" t="n"/>
      <c r="D868" s="25" t="n"/>
    </row>
    <row r="869" ht="15.75" customHeight="1" s="74">
      <c r="B869" s="13" t="n"/>
      <c r="C869" s="24" t="n"/>
      <c r="D869" s="25" t="n"/>
    </row>
    <row r="870" ht="15.75" customHeight="1" s="74">
      <c r="B870" s="13" t="n"/>
      <c r="C870" s="24" t="n"/>
      <c r="D870" s="25" t="n"/>
    </row>
    <row r="871" ht="15.75" customHeight="1" s="74">
      <c r="B871" s="13" t="n"/>
      <c r="C871" s="24" t="n"/>
      <c r="D871" s="25" t="n"/>
    </row>
    <row r="872" ht="15.75" customHeight="1" s="74">
      <c r="B872" s="13" t="n"/>
      <c r="C872" s="24" t="n"/>
      <c r="D872" s="25" t="n"/>
    </row>
    <row r="873" ht="15.75" customHeight="1" s="74">
      <c r="B873" s="13" t="n"/>
      <c r="C873" s="24" t="n"/>
      <c r="D873" s="25" t="n"/>
    </row>
    <row r="874" ht="15.75" customHeight="1" s="74">
      <c r="B874" s="13" t="n"/>
      <c r="C874" s="24" t="n"/>
      <c r="D874" s="25" t="n"/>
    </row>
    <row r="875" ht="15.75" customHeight="1" s="74">
      <c r="B875" s="13" t="n"/>
      <c r="C875" s="24" t="n"/>
      <c r="D875" s="25" t="n"/>
    </row>
    <row r="876" ht="15.75" customHeight="1" s="74">
      <c r="B876" s="13" t="n"/>
      <c r="C876" s="24" t="n"/>
      <c r="D876" s="25" t="n"/>
    </row>
    <row r="877" ht="15.75" customHeight="1" s="74">
      <c r="B877" s="13" t="n"/>
      <c r="C877" s="24" t="n"/>
      <c r="D877" s="25" t="n"/>
    </row>
    <row r="878" ht="15.75" customHeight="1" s="74">
      <c r="B878" s="13" t="n"/>
      <c r="C878" s="24" t="n"/>
      <c r="D878" s="25" t="n"/>
    </row>
    <row r="879" ht="15.75" customHeight="1" s="74">
      <c r="B879" s="13" t="n"/>
      <c r="C879" s="24" t="n"/>
      <c r="D879" s="25" t="n"/>
    </row>
    <row r="880" ht="15.75" customHeight="1" s="74">
      <c r="B880" s="13" t="n"/>
      <c r="C880" s="24" t="n"/>
      <c r="D880" s="25" t="n"/>
    </row>
    <row r="881" ht="15.75" customHeight="1" s="74">
      <c r="B881" s="13" t="n"/>
      <c r="C881" s="24" t="n"/>
      <c r="D881" s="25" t="n"/>
    </row>
    <row r="882" ht="15.75" customHeight="1" s="74">
      <c r="B882" s="13" t="n"/>
      <c r="C882" s="24" t="n"/>
      <c r="D882" s="25" t="n"/>
    </row>
    <row r="883" ht="15.75" customHeight="1" s="74">
      <c r="B883" s="13" t="n"/>
      <c r="C883" s="24" t="n"/>
      <c r="D883" s="25" t="n"/>
    </row>
    <row r="884" ht="15.75" customHeight="1" s="74">
      <c r="B884" s="13" t="n"/>
      <c r="C884" s="24" t="n"/>
      <c r="D884" s="25" t="n"/>
    </row>
    <row r="885" ht="15.75" customHeight="1" s="74">
      <c r="B885" s="13" t="n"/>
      <c r="C885" s="24" t="n"/>
      <c r="D885" s="25" t="n"/>
    </row>
    <row r="886" ht="15.75" customHeight="1" s="74">
      <c r="B886" s="13" t="n"/>
      <c r="C886" s="24" t="n"/>
      <c r="D886" s="25" t="n"/>
    </row>
    <row r="887" ht="15.75" customHeight="1" s="74">
      <c r="B887" s="13" t="n"/>
      <c r="C887" s="24" t="n"/>
      <c r="D887" s="25" t="n"/>
    </row>
    <row r="888" ht="15.75" customHeight="1" s="74">
      <c r="B888" s="13" t="n"/>
      <c r="C888" s="24" t="n"/>
      <c r="D888" s="25" t="n"/>
    </row>
    <row r="889" ht="15.75" customHeight="1" s="74">
      <c r="B889" s="13" t="n"/>
      <c r="C889" s="24" t="n"/>
      <c r="D889" s="25" t="n"/>
    </row>
    <row r="890" ht="15.75" customHeight="1" s="74">
      <c r="B890" s="13" t="n"/>
      <c r="C890" s="24" t="n"/>
      <c r="D890" s="25" t="n"/>
    </row>
    <row r="891" ht="15.75" customHeight="1" s="74">
      <c r="B891" s="13" t="n"/>
      <c r="C891" s="24" t="n"/>
      <c r="D891" s="25" t="n"/>
    </row>
    <row r="892" ht="15.75" customHeight="1" s="74">
      <c r="B892" s="13" t="n"/>
      <c r="C892" s="24" t="n"/>
      <c r="D892" s="25" t="n"/>
    </row>
    <row r="893" ht="15.75" customHeight="1" s="74">
      <c r="B893" s="13" t="n"/>
      <c r="C893" s="24" t="n"/>
      <c r="D893" s="25" t="n"/>
    </row>
    <row r="894" ht="15.75" customHeight="1" s="74">
      <c r="B894" s="13" t="n"/>
      <c r="C894" s="24" t="n"/>
      <c r="D894" s="25" t="n"/>
    </row>
    <row r="895" ht="15.75" customHeight="1" s="74">
      <c r="B895" s="13" t="n"/>
      <c r="C895" s="24" t="n"/>
      <c r="D895" s="25" t="n"/>
    </row>
    <row r="896" ht="15.75" customHeight="1" s="74">
      <c r="B896" s="13" t="n"/>
      <c r="C896" s="24" t="n"/>
      <c r="D896" s="25" t="n"/>
    </row>
    <row r="897" ht="15.75" customHeight="1" s="74">
      <c r="B897" s="13" t="n"/>
      <c r="C897" s="24" t="n"/>
      <c r="D897" s="25" t="n"/>
    </row>
    <row r="898" ht="15.75" customHeight="1" s="74">
      <c r="B898" s="13" t="n"/>
      <c r="C898" s="24" t="n"/>
      <c r="D898" s="25" t="n"/>
    </row>
    <row r="899" ht="15.75" customHeight="1" s="74">
      <c r="B899" s="13" t="n"/>
      <c r="C899" s="24" t="n"/>
      <c r="D899" s="25" t="n"/>
    </row>
    <row r="900" ht="15.75" customHeight="1" s="74">
      <c r="B900" s="13" t="n"/>
      <c r="C900" s="24" t="n"/>
      <c r="D900" s="25" t="n"/>
    </row>
    <row r="901" ht="15.75" customHeight="1" s="74">
      <c r="B901" s="13" t="n"/>
      <c r="C901" s="24" t="n"/>
      <c r="D901" s="25" t="n"/>
    </row>
    <row r="902" ht="15.75" customHeight="1" s="74">
      <c r="B902" s="13" t="n"/>
      <c r="C902" s="24" t="n"/>
      <c r="D902" s="25" t="n"/>
    </row>
    <row r="903" ht="15.75" customHeight="1" s="74">
      <c r="B903" s="13" t="n"/>
      <c r="C903" s="24" t="n"/>
      <c r="D903" s="25" t="n"/>
    </row>
    <row r="904" ht="15.75" customHeight="1" s="74">
      <c r="B904" s="13" t="n"/>
      <c r="C904" s="24" t="n"/>
      <c r="D904" s="25" t="n"/>
    </row>
    <row r="905" ht="15.75" customHeight="1" s="74">
      <c r="B905" s="13" t="n"/>
      <c r="C905" s="24" t="n"/>
      <c r="D905" s="25" t="n"/>
    </row>
    <row r="906" ht="15.75" customHeight="1" s="74">
      <c r="B906" s="13" t="n"/>
      <c r="C906" s="24" t="n"/>
      <c r="D906" s="25" t="n"/>
    </row>
    <row r="907" ht="15.75" customHeight="1" s="74">
      <c r="B907" s="13" t="n"/>
      <c r="C907" s="24" t="n"/>
      <c r="D907" s="25" t="n"/>
    </row>
    <row r="908" ht="15.75" customHeight="1" s="74">
      <c r="B908" s="13" t="n"/>
      <c r="C908" s="24" t="n"/>
      <c r="D908" s="25" t="n"/>
    </row>
    <row r="909" ht="15.75" customHeight="1" s="74">
      <c r="B909" s="13" t="n"/>
      <c r="C909" s="24" t="n"/>
      <c r="D909" s="25" t="n"/>
    </row>
    <row r="910" ht="15.75" customHeight="1" s="74">
      <c r="B910" s="13" t="n"/>
      <c r="C910" s="24" t="n"/>
      <c r="D910" s="25" t="n"/>
    </row>
    <row r="911" ht="15.75" customHeight="1" s="74">
      <c r="B911" s="13" t="n"/>
      <c r="C911" s="24" t="n"/>
      <c r="D911" s="25" t="n"/>
    </row>
    <row r="912" ht="15.75" customHeight="1" s="74">
      <c r="B912" s="13" t="n"/>
      <c r="C912" s="24" t="n"/>
      <c r="D912" s="25" t="n"/>
    </row>
    <row r="913" ht="15.75" customHeight="1" s="74">
      <c r="B913" s="13" t="n"/>
      <c r="C913" s="24" t="n"/>
      <c r="D913" s="25" t="n"/>
    </row>
    <row r="914" ht="15.75" customHeight="1" s="74">
      <c r="B914" s="13" t="n"/>
      <c r="C914" s="24" t="n"/>
      <c r="D914" s="25" t="n"/>
    </row>
    <row r="915" ht="15.75" customHeight="1" s="74">
      <c r="B915" s="13" t="n"/>
      <c r="C915" s="24" t="n"/>
      <c r="D915" s="25" t="n"/>
    </row>
    <row r="916" ht="15.75" customHeight="1" s="74">
      <c r="B916" s="13" t="n"/>
      <c r="C916" s="24" t="n"/>
      <c r="D916" s="25" t="n"/>
    </row>
    <row r="917" ht="15.75" customHeight="1" s="74">
      <c r="B917" s="13" t="n"/>
      <c r="C917" s="24" t="n"/>
      <c r="D917" s="25" t="n"/>
    </row>
    <row r="918" ht="15.75" customHeight="1" s="74">
      <c r="B918" s="13" t="n"/>
      <c r="C918" s="24" t="n"/>
      <c r="D918" s="25" t="n"/>
    </row>
    <row r="919" ht="15.75" customHeight="1" s="74">
      <c r="B919" s="13" t="n"/>
      <c r="C919" s="24" t="n"/>
      <c r="D919" s="25" t="n"/>
    </row>
    <row r="920" ht="15.75" customHeight="1" s="74">
      <c r="B920" s="13" t="n"/>
      <c r="C920" s="24" t="n"/>
      <c r="D920" s="25" t="n"/>
    </row>
    <row r="921" ht="15.75" customHeight="1" s="74">
      <c r="B921" s="13" t="n"/>
      <c r="C921" s="24" t="n"/>
      <c r="D921" s="25" t="n"/>
    </row>
    <row r="922" ht="15.75" customHeight="1" s="74">
      <c r="B922" s="13" t="n"/>
      <c r="C922" s="24" t="n"/>
      <c r="D922" s="25" t="n"/>
    </row>
    <row r="923" ht="15.75" customHeight="1" s="74">
      <c r="B923" s="13" t="n"/>
      <c r="C923" s="24" t="n"/>
      <c r="D923" s="25" t="n"/>
    </row>
    <row r="924" ht="15.75" customHeight="1" s="74">
      <c r="B924" s="13" t="n"/>
      <c r="C924" s="24" t="n"/>
      <c r="D924" s="25" t="n"/>
    </row>
    <row r="925" ht="15.75" customHeight="1" s="74">
      <c r="B925" s="13" t="n"/>
      <c r="C925" s="24" t="n"/>
      <c r="D925" s="25" t="n"/>
    </row>
    <row r="926" ht="15.75" customHeight="1" s="74">
      <c r="B926" s="13" t="n"/>
      <c r="C926" s="24" t="n"/>
      <c r="D926" s="25" t="n"/>
    </row>
    <row r="927" ht="15.75" customHeight="1" s="74">
      <c r="B927" s="13" t="n"/>
      <c r="C927" s="24" t="n"/>
      <c r="D927" s="25" t="n"/>
    </row>
    <row r="928" ht="15.75" customHeight="1" s="74">
      <c r="B928" s="13" t="n"/>
      <c r="C928" s="24" t="n"/>
      <c r="D928" s="25" t="n"/>
    </row>
    <row r="929" ht="15.75" customHeight="1" s="74">
      <c r="B929" s="13" t="n"/>
      <c r="C929" s="24" t="n"/>
      <c r="D929" s="25" t="n"/>
    </row>
    <row r="930" ht="15.75" customHeight="1" s="74">
      <c r="B930" s="13" t="n"/>
      <c r="C930" s="24" t="n"/>
      <c r="D930" s="25" t="n"/>
    </row>
    <row r="931" ht="15.75" customHeight="1" s="74">
      <c r="B931" s="13" t="n"/>
      <c r="C931" s="24" t="n"/>
      <c r="D931" s="25" t="n"/>
    </row>
    <row r="932" ht="15.75" customHeight="1" s="74">
      <c r="B932" s="13" t="n"/>
      <c r="C932" s="24" t="n"/>
      <c r="D932" s="25" t="n"/>
    </row>
    <row r="933" ht="15.75" customHeight="1" s="74">
      <c r="B933" s="13" t="n"/>
      <c r="C933" s="24" t="n"/>
      <c r="D933" s="25" t="n"/>
    </row>
    <row r="934" ht="15.75" customHeight="1" s="74">
      <c r="B934" s="13" t="n"/>
      <c r="C934" s="24" t="n"/>
      <c r="D934" s="25" t="n"/>
    </row>
    <row r="935" ht="15.75" customHeight="1" s="74">
      <c r="B935" s="13" t="n"/>
      <c r="C935" s="24" t="n"/>
      <c r="D935" s="25" t="n"/>
    </row>
    <row r="936" ht="15.75" customHeight="1" s="74">
      <c r="B936" s="13" t="n"/>
      <c r="C936" s="24" t="n"/>
      <c r="D936" s="25" t="n"/>
    </row>
    <row r="937" ht="15.75" customHeight="1" s="74">
      <c r="B937" s="13" t="n"/>
      <c r="C937" s="24" t="n"/>
      <c r="D937" s="25" t="n"/>
    </row>
    <row r="938" ht="15.75" customHeight="1" s="74">
      <c r="B938" s="13" t="n"/>
      <c r="C938" s="24" t="n"/>
      <c r="D938" s="25" t="n"/>
    </row>
    <row r="939" ht="15.75" customHeight="1" s="74">
      <c r="B939" s="13" t="n"/>
      <c r="C939" s="24" t="n"/>
      <c r="D939" s="25" t="n"/>
    </row>
    <row r="940" ht="15.75" customHeight="1" s="74">
      <c r="B940" s="13" t="n"/>
      <c r="C940" s="24" t="n"/>
      <c r="D940" s="25" t="n"/>
    </row>
    <row r="941" ht="15.75" customHeight="1" s="74">
      <c r="B941" s="13" t="n"/>
      <c r="C941" s="24" t="n"/>
      <c r="D941" s="25" t="n"/>
    </row>
    <row r="942" ht="15.75" customHeight="1" s="74">
      <c r="B942" s="13" t="n"/>
      <c r="C942" s="24" t="n"/>
      <c r="D942" s="25" t="n"/>
    </row>
    <row r="943" ht="15.75" customHeight="1" s="74">
      <c r="B943" s="13" t="n"/>
      <c r="C943" s="24" t="n"/>
      <c r="D943" s="25" t="n"/>
    </row>
    <row r="944" ht="15.75" customHeight="1" s="74">
      <c r="B944" s="13" t="n"/>
      <c r="C944" s="24" t="n"/>
      <c r="D944" s="25" t="n"/>
    </row>
    <row r="945" ht="15.75" customHeight="1" s="74">
      <c r="B945" s="13" t="n"/>
      <c r="C945" s="24" t="n"/>
      <c r="D945" s="25" t="n"/>
    </row>
    <row r="946" ht="15.75" customHeight="1" s="74">
      <c r="B946" s="13" t="n"/>
      <c r="C946" s="24" t="n"/>
      <c r="D946" s="25" t="n"/>
    </row>
    <row r="947" ht="15.75" customHeight="1" s="74">
      <c r="B947" s="13" t="n"/>
      <c r="C947" s="24" t="n"/>
      <c r="D947" s="25" t="n"/>
    </row>
    <row r="948" ht="15.75" customHeight="1" s="74">
      <c r="B948" s="13" t="n"/>
      <c r="C948" s="24" t="n"/>
      <c r="D948" s="25" t="n"/>
    </row>
    <row r="949" ht="15.75" customHeight="1" s="74">
      <c r="B949" s="13" t="n"/>
      <c r="C949" s="24" t="n"/>
      <c r="D949" s="25" t="n"/>
    </row>
    <row r="950" ht="15.75" customHeight="1" s="74">
      <c r="B950" s="13" t="n"/>
      <c r="C950" s="24" t="n"/>
      <c r="D950" s="25" t="n"/>
    </row>
    <row r="951" ht="15.75" customHeight="1" s="74">
      <c r="B951" s="13" t="n"/>
      <c r="C951" s="24" t="n"/>
      <c r="D951" s="25" t="n"/>
    </row>
    <row r="952" ht="15.75" customHeight="1" s="74">
      <c r="B952" s="13" t="n"/>
      <c r="C952" s="24" t="n"/>
      <c r="D952" s="25" t="n"/>
    </row>
    <row r="953" ht="15.75" customHeight="1" s="74">
      <c r="B953" s="13" t="n"/>
      <c r="C953" s="24" t="n"/>
      <c r="D953" s="25" t="n"/>
    </row>
    <row r="954" ht="15.75" customHeight="1" s="74">
      <c r="B954" s="13" t="n"/>
      <c r="C954" s="24" t="n"/>
      <c r="D954" s="25" t="n"/>
    </row>
    <row r="955" ht="15.75" customHeight="1" s="74">
      <c r="B955" s="13" t="n"/>
      <c r="C955" s="24" t="n"/>
      <c r="D955" s="25" t="n"/>
    </row>
    <row r="956" ht="15.75" customHeight="1" s="74">
      <c r="B956" s="13" t="n"/>
      <c r="C956" s="24" t="n"/>
      <c r="D956" s="25" t="n"/>
    </row>
    <row r="957" ht="15.75" customHeight="1" s="74">
      <c r="B957" s="13" t="n"/>
      <c r="C957" s="24" t="n"/>
      <c r="D957" s="25" t="n"/>
    </row>
    <row r="958" ht="15.75" customHeight="1" s="74">
      <c r="B958" s="13" t="n"/>
      <c r="C958" s="24" t="n"/>
      <c r="D958" s="25" t="n"/>
    </row>
    <row r="959" ht="15.75" customHeight="1" s="74">
      <c r="B959" s="13" t="n"/>
      <c r="C959" s="24" t="n"/>
      <c r="D959" s="25" t="n"/>
    </row>
    <row r="960" ht="15.75" customHeight="1" s="74">
      <c r="B960" s="13" t="n"/>
      <c r="C960" s="24" t="n"/>
      <c r="D960" s="25" t="n"/>
    </row>
    <row r="961" ht="15.75" customHeight="1" s="74">
      <c r="B961" s="13" t="n"/>
      <c r="C961" s="24" t="n"/>
      <c r="D961" s="25" t="n"/>
    </row>
    <row r="962" ht="15.75" customHeight="1" s="74">
      <c r="B962" s="13" t="n"/>
      <c r="C962" s="24" t="n"/>
      <c r="D962" s="25" t="n"/>
    </row>
    <row r="963" ht="15.75" customHeight="1" s="74">
      <c r="B963" s="13" t="n"/>
      <c r="C963" s="24" t="n"/>
      <c r="D963" s="25" t="n"/>
    </row>
    <row r="964" ht="15.75" customHeight="1" s="74">
      <c r="B964" s="13" t="n"/>
      <c r="C964" s="24" t="n"/>
      <c r="D964" s="25" t="n"/>
    </row>
    <row r="965" ht="15.75" customHeight="1" s="74">
      <c r="B965" s="13" t="n"/>
      <c r="C965" s="24" t="n"/>
      <c r="D965" s="25" t="n"/>
    </row>
    <row r="966" ht="15.75" customHeight="1" s="74">
      <c r="B966" s="13" t="n"/>
      <c r="C966" s="24" t="n"/>
      <c r="D966" s="25" t="n"/>
    </row>
    <row r="967" ht="15.75" customHeight="1" s="74">
      <c r="B967" s="13" t="n"/>
      <c r="C967" s="24" t="n"/>
      <c r="D967" s="25" t="n"/>
    </row>
    <row r="968" ht="15.75" customHeight="1" s="74">
      <c r="B968" s="13" t="n"/>
      <c r="C968" s="24" t="n"/>
      <c r="D968" s="25" t="n"/>
    </row>
    <row r="969" ht="15.75" customHeight="1" s="74">
      <c r="B969" s="13" t="n"/>
      <c r="C969" s="24" t="n"/>
      <c r="D969" s="25" t="n"/>
    </row>
    <row r="970" ht="15.75" customHeight="1" s="74">
      <c r="B970" s="13" t="n"/>
      <c r="C970" s="24" t="n"/>
      <c r="D970" s="25" t="n"/>
    </row>
    <row r="971" ht="15.75" customHeight="1" s="74">
      <c r="B971" s="13" t="n"/>
      <c r="C971" s="24" t="n"/>
      <c r="D971" s="25" t="n"/>
    </row>
    <row r="972" ht="15.75" customHeight="1" s="74">
      <c r="B972" s="13" t="n"/>
      <c r="C972" s="24" t="n"/>
      <c r="D972" s="25" t="n"/>
    </row>
    <row r="973" ht="15.75" customHeight="1" s="74">
      <c r="B973" s="13" t="n"/>
      <c r="C973" s="24" t="n"/>
      <c r="D973" s="25" t="n"/>
    </row>
    <row r="974" ht="15.75" customHeight="1" s="74">
      <c r="B974" s="13" t="n"/>
      <c r="C974" s="24" t="n"/>
      <c r="D974" s="25" t="n"/>
    </row>
    <row r="975" ht="15.75" customHeight="1" s="74">
      <c r="B975" s="13" t="n"/>
      <c r="C975" s="24" t="n"/>
      <c r="D975" s="25" t="n"/>
    </row>
    <row r="976" ht="15.75" customHeight="1" s="74">
      <c r="B976" s="13" t="n"/>
      <c r="C976" s="24" t="n"/>
      <c r="D976" s="25" t="n"/>
    </row>
    <row r="977" ht="15.75" customHeight="1" s="74">
      <c r="B977" s="13" t="n"/>
      <c r="C977" s="24" t="n"/>
      <c r="D977" s="25" t="n"/>
    </row>
    <row r="978" ht="15.75" customHeight="1" s="74">
      <c r="B978" s="13" t="n"/>
      <c r="C978" s="24" t="n"/>
      <c r="D978" s="25" t="n"/>
    </row>
    <row r="979" ht="15.75" customHeight="1" s="74">
      <c r="B979" s="13" t="n"/>
      <c r="C979" s="24" t="n"/>
      <c r="D979" s="25" t="n"/>
    </row>
    <row r="980" ht="15.75" customHeight="1" s="74">
      <c r="B980" s="13" t="n"/>
      <c r="C980" s="24" t="n"/>
      <c r="D980" s="25" t="n"/>
    </row>
  </sheetData>
  <dataValidations count="3">
    <dataValidation sqref="A23:A28" showDropDown="0" showInputMessage="0" showErrorMessage="0" allowBlank="1" type="list">
      <formula1>"Vendor,Phase,Role,Annual Licensing Fees,One Time Implementation Fee"</formula1>
    </dataValidation>
    <dataValidation sqref="A4:A9 A14:A18" showDropDown="0" showInputMessage="0" showErrorMessage="0" allowBlank="1" type="list">
      <formula1>"Vendor,Phase,Role,Annual Licensing Fee,One Time Implementation Fee"</formula1>
    </dataValidation>
    <dataValidation sqref="D4:E9 D14:E18 D23:E28" showDropDown="1" showInputMessage="0" showErrorMessage="0" allowBlank="1" type="custom">
      <formula1>AND(ISNUMBER(D4),(NOT(OR(NOT(ISERROR(DATEVALUE(D4))), AND(ISNUMBER(D4), LEFT(CELL("format", D4))="D")))))</formula1>
    </dataValidation>
  </dataValidations>
  <pageMargins left="0.75" right="0.75" top="1" bottom="1" header="0" footer="0"/>
  <pageSetup orientation="landscape"/>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980"/>
  <sheetViews>
    <sheetView workbookViewId="0">
      <selection activeCell="A1" sqref="A1"/>
    </sheetView>
  </sheetViews>
  <sheetFormatPr baseColWidth="8" defaultColWidth="14.43" defaultRowHeight="15" customHeight="1"/>
  <cols>
    <col width="34.86" customWidth="1" style="74" min="1" max="1"/>
    <col width="26.29" customWidth="1" style="74" min="2" max="2"/>
    <col width="80" customWidth="1" style="74" min="3" max="3"/>
    <col width="19.57" customWidth="1" style="74" min="4" max="4"/>
    <col hidden="1" width="16" customWidth="1" style="74" min="5" max="5"/>
    <col width="8.710000000000001" customWidth="1" style="74" min="6" max="27"/>
  </cols>
  <sheetData>
    <row r="1" hidden="1" ht="15.75" customHeight="1" s="74">
      <c r="B1" s="23" t="n"/>
      <c r="C1" s="24" t="n"/>
      <c r="D1" s="25" t="n"/>
    </row>
    <row r="2" hidden="1" ht="15.75" customHeight="1" s="74">
      <c r="B2" s="23" t="n"/>
      <c r="C2" s="24" t="n"/>
      <c r="D2" s="25" t="n"/>
    </row>
    <row r="3" hidden="1" ht="15.75" customHeight="1" s="74">
      <c r="A3" s="26" t="inlineStr">
        <is>
          <t>Rollup</t>
        </is>
      </c>
      <c r="B3" s="26" t="inlineStr">
        <is>
          <t>Item</t>
        </is>
      </c>
      <c r="C3" s="27" t="inlineStr">
        <is>
          <t>Milestone Deliverables</t>
        </is>
      </c>
      <c r="D3" s="28" t="inlineStr">
        <is>
          <t>Total Cost</t>
        </is>
      </c>
      <c r="E3" s="26" t="inlineStr">
        <is>
          <t>Total Hours</t>
        </is>
      </c>
    </row>
    <row r="4" hidden="1" ht="15.75" customHeight="1" s="74">
      <c r="A4" s="56" t="inlineStr">
        <is>
          <t>Role</t>
        </is>
      </c>
      <c r="B4" s="37" t="inlineStr">
        <is>
          <t>Adobe</t>
        </is>
      </c>
      <c r="C4" s="41">
        <f>IFERROR(__xludf.DUMMYFUNCTION("TEXTJOIN("", "", TRUE, UNIQUE(FILTER('Milestone Plan'!D:D, 'Milestone Plan'!G:G=""Adobe"")))"),"Governance Toolkit + Monthly Summary Reports, Change Management Dashboard, Stakeholder Map, Communication Strategy Draft, Scaled Rollout and Adoption, Internal Communication Plan, Branding Package, Pilot Feedback Summary, Sentiment Dashboard, Persona-Base"&amp;"d Training Modules (UX, Eng, Partner), Unified Enablement Curriculum, Advanced Enablement Program, Awareness Campaign, Success Story Series, Partner Contribution Leaderboard, Recognition Plan, Internal Announcement, Go-Live FAQ, Support Channels, Lessons "&amp;"Learned Summary, KPI Report, Optimization Backlog, Knowledge Transfer Documentation, Ownership Matrix, Future Roadmap, Adoption Dashboards, Sentiment Trend Reports, Internal Case Study + Success Metrics")</f>
        <v/>
      </c>
      <c r="D4" s="42">
        <f>SUMIFS('Milestone Plan'!$R$2:$R$500, 'Milestone Plan'!$G$2:$G$500, "Adobe")</f>
        <v/>
      </c>
      <c r="E4" s="56">
        <f>SUMIFS('Milestone Plan'!$L$2:$L$500, 'Milestone Plan'!$G$2:$G$500, "Adobe")</f>
        <v/>
      </c>
    </row>
    <row r="5" hidden="1" ht="15.75" customHeight="1" s="74">
      <c r="A5" s="56" t="inlineStr">
        <is>
          <t>Role</t>
        </is>
      </c>
      <c r="B5" s="51" t="inlineStr">
        <is>
          <t>Forward Deployed Engineer</t>
        </is>
      </c>
      <c r="C5"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5" s="42">
        <f>SUMIF('Milestone Plan'!F:F, "Senior Solutions Engineer", 'Milestone Plan'!R:R) </f>
        <v/>
      </c>
      <c r="E5" s="56">
        <f>SUMIF('Milestone Plan'!F:F,"Senior Solutions Engineer",'Milestone Plan'!L:L)</f>
        <v/>
      </c>
    </row>
    <row r="6" hidden="1" ht="15.75" customHeight="1" s="74">
      <c r="A6" s="56" t="inlineStr">
        <is>
          <t>Role</t>
        </is>
      </c>
      <c r="B6" s="37" t="inlineStr">
        <is>
          <t>Subject Matter Experts</t>
        </is>
      </c>
      <c r="C6" s="41">
        <f>IFERROR(__xludf.DUMMYFUNCTION("TEXTJOIN("", "", TRUE, FILTER('Milestone Plan'!D:D, 'Milestone Plan'!F:F=""Subject Matter Expert""))
"),"Architecture Validation Log, DevOps Readiness, SSO Integration Checklist")</f>
        <v/>
      </c>
      <c r="D6" s="42">
        <f>SUMIF('Milestone Plan'!H:H, "Subject Matter Expert", 'Milestone Plan'!R:R)</f>
        <v/>
      </c>
      <c r="E6" s="56">
        <f>SUMIF('Milestone Plan'!F:F,"Subject Matter Expert",'Milestone Plan'!L:L)</f>
        <v/>
      </c>
    </row>
    <row r="7" hidden="1" ht="15.75" customHeight="1" s="74">
      <c r="A7" s="56" t="inlineStr">
        <is>
          <t>Role</t>
        </is>
      </c>
      <c r="B7" s="37" t="inlineStr">
        <is>
          <t>CX Partner - Change Management SME</t>
        </is>
      </c>
      <c r="C7" s="35">
        <f>IFERROR(__xludf.DUMMYFUNCTION("TEXTJOIN("", "", TRUE, FILTER('Milestone Plan'!D:D, 'Milestone Plan'!F:F=""CX Partner - Change Management SME"", 'Milestone Plan'!G:G&lt;&gt;""Adobe""))"),"Change Impact Log, Stakeholder Action Plan, Quarterly Business Review Deck")</f>
        <v/>
      </c>
      <c r="D7" s="47">
        <f>E7*300</f>
        <v/>
      </c>
      <c r="E7" s="56" t="n">
        <v>59</v>
      </c>
    </row>
    <row r="8" hidden="1" ht="15.75" customHeight="1" s="74">
      <c r="A8" s="56" t="inlineStr">
        <is>
          <t>One Time Implementation Fee</t>
        </is>
      </c>
      <c r="B8" s="37" t="n"/>
      <c r="C8" s="52" t="n"/>
      <c r="D8" s="47" t="n">
        <v>58380</v>
      </c>
      <c r="E8" s="56" t="n"/>
    </row>
    <row r="9" hidden="1" ht="15.75" customHeight="1" s="74">
      <c r="A9" s="56" t="inlineStr">
        <is>
          <t>Annual Licensing Fee</t>
        </is>
      </c>
      <c r="B9" s="37" t="n"/>
      <c r="C9" s="41" t="n"/>
      <c r="D9" s="42" t="n">
        <v>250000</v>
      </c>
      <c r="E9" s="56" t="n"/>
    </row>
    <row r="10" hidden="1" ht="15.75" customHeight="1" s="74">
      <c r="A10" s="56" t="n"/>
      <c r="B10" s="37" t="inlineStr">
        <is>
          <t xml:space="preserve">Non-Subscription Price </t>
        </is>
      </c>
      <c r="C10" s="41" t="n"/>
      <c r="D10" s="42">
        <f>sum(CX_Coaching_2[Total Cost])</f>
        <v/>
      </c>
      <c r="E10" s="56">
        <f>sum(CX_Coaching_2[Total Hours])</f>
        <v/>
      </c>
    </row>
    <row r="11" hidden="1" ht="15.75" customHeight="1" s="74">
      <c r="B11" s="13" t="n"/>
      <c r="C11" s="24" t="n"/>
      <c r="D11" s="25" t="n"/>
    </row>
    <row r="12" ht="15.75" customHeight="1" s="74">
      <c r="B12" s="23" t="n"/>
      <c r="C12" s="24" t="n"/>
      <c r="D12" s="25" t="n"/>
    </row>
    <row r="13" ht="15.75" customHeight="1" s="74">
      <c r="A13" s="26" t="inlineStr">
        <is>
          <t>Rollup</t>
        </is>
      </c>
      <c r="B13" s="26" t="inlineStr">
        <is>
          <t>Item</t>
        </is>
      </c>
      <c r="C13" s="27" t="inlineStr">
        <is>
          <t>Count of Milestone Deliverables</t>
        </is>
      </c>
      <c r="D13" s="28" t="inlineStr">
        <is>
          <t>Total Cost</t>
        </is>
      </c>
      <c r="E13" s="26" t="inlineStr">
        <is>
          <t>Total Hours</t>
        </is>
      </c>
    </row>
    <row r="14" ht="15.75" customHeight="1" s="74">
      <c r="A14" s="56" t="inlineStr">
        <is>
          <t>Role</t>
        </is>
      </c>
      <c r="B14" s="37" t="inlineStr">
        <is>
          <t>Adobe</t>
        </is>
      </c>
      <c r="C14" s="41">
        <f>IFERROR(__xludf.DUMMYFUNCTION("TEXTJOIN("", "", TRUE, FILTER('Milestone Plan'!D:D, 'Milestone Plan'!F:F=""Project Manager""))"),"Governance Toolkit + Monthly Summary Reports, Project Governance Tracker, Phase 1 Exit Report, Technical Readiness Checklist, Internal Announcement, Go-Live FAQ, Support Channels, Lessons Learned Summary, KPI Report, Optimization Backlog")</f>
        <v/>
      </c>
      <c r="D14" s="42">
        <f>SUMIFS('Milestone Plan'!$R$2:$R$500, 'Milestone Plan'!$G$2:$G$500, "Adobe")</f>
        <v/>
      </c>
      <c r="E14" s="56">
        <f>SUM(SUMIF('Milestone Plan'!H:H,"Project Manager",'Milestone Plan'!L:L),SUMIF('Milestone Plan'!H:H,"CX Partner - Change Management SME",'Milestone Plan'!L:L),SUMIF('Milestone Plan'!H:H,"Design System Lead",'Milestone Plan'!L:L))</f>
        <v/>
      </c>
    </row>
    <row r="15" ht="15.75" customHeight="1" s="74">
      <c r="A15" s="56" t="inlineStr">
        <is>
          <t>Role</t>
        </is>
      </c>
      <c r="B15" s="43" t="inlineStr">
        <is>
          <t>Forward Deployed Engineer</t>
        </is>
      </c>
      <c r="C15"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15" s="42">
        <f>SUMIF('Milestone Plan'!F:F, "Senior Solutions Engineer", 'Milestone Plan'!R:R) </f>
        <v/>
      </c>
      <c r="E15" s="56">
        <f>SUMIF('Milestone Plan'!F:F,"Senior Solutions Engineer",'Milestone Plan'!L:L)</f>
        <v/>
      </c>
      <c r="H15" s="57" t="n"/>
    </row>
    <row r="16" ht="15.75" customHeight="1" s="74">
      <c r="A16" s="56" t="inlineStr">
        <is>
          <t>Role</t>
        </is>
      </c>
      <c r="B16" s="37" t="inlineStr">
        <is>
          <t>Subject Matter Experts</t>
        </is>
      </c>
      <c r="C16" s="41">
        <f>IFERROR(__xludf.DUMMYFUNCTION("TEXTJOIN("", "", TRUE, FILTER('Milestone Plan'!D:D, 'Milestone Plan'!F:F=""Subject Matter Expert""))
"),"Architecture Validation Log, DevOps Readiness, SSO Integration Checklist")</f>
        <v/>
      </c>
      <c r="D16" s="42">
        <f>SUMIF('Milestone Plan'!H:H, "Subject Matter Expert", 'Milestone Plan'!R:R)</f>
        <v/>
      </c>
      <c r="E16" s="56">
        <f>SUMIF('Milestone Plan'!F:F,"Subject Matter Expert",'Milestone Plan'!L:L)</f>
        <v/>
      </c>
    </row>
    <row r="17" ht="15.75" customHeight="1" s="74">
      <c r="A17" s="56" t="inlineStr">
        <is>
          <t>One Time Implementation Fee</t>
        </is>
      </c>
      <c r="B17" s="37" t="n"/>
      <c r="C17" s="52" t="n"/>
      <c r="D17" s="47" t="n">
        <v>58380</v>
      </c>
      <c r="E17" s="56" t="n"/>
    </row>
    <row r="18" ht="15.75" customHeight="1" s="74">
      <c r="A18" s="56" t="inlineStr">
        <is>
          <t>Annual Licensing Fee</t>
        </is>
      </c>
      <c r="B18" s="37" t="n"/>
      <c r="C18" s="41" t="n"/>
      <c r="D18" s="42" t="n">
        <v>250000</v>
      </c>
      <c r="E18" s="56" t="n"/>
    </row>
    <row r="19" ht="15.75" customHeight="1" s="74">
      <c r="A19" s="56" t="n"/>
      <c r="B19" s="37" t="inlineStr">
        <is>
          <t xml:space="preserve">Non-Subscription Price </t>
        </is>
      </c>
      <c r="C19" s="41" t="n"/>
      <c r="D19" s="42">
        <f>sum(FDE_Only_2[Total Cost])</f>
        <v/>
      </c>
      <c r="E19" s="56">
        <f>sum(FDE_Only_2[Total Hours])</f>
        <v/>
      </c>
    </row>
    <row r="20" ht="15.75" customHeight="1" s="74">
      <c r="B20" s="13" t="n"/>
      <c r="C20" s="24" t="n"/>
      <c r="D20" s="25">
        <f>FDE_Only_2[[#TOTALS],[Total Cost]]-D18</f>
        <v/>
      </c>
    </row>
    <row r="21" hidden="1" ht="15.75" customHeight="1" s="74">
      <c r="B21" s="23" t="n"/>
      <c r="C21" s="24" t="n"/>
      <c r="D21" s="25" t="n"/>
    </row>
    <row r="22" hidden="1" ht="15.75" customHeight="1" s="74">
      <c r="A22" s="26" t="inlineStr">
        <is>
          <t>Rollup</t>
        </is>
      </c>
      <c r="B22" s="26" t="inlineStr">
        <is>
          <t>Item</t>
        </is>
      </c>
      <c r="C22" s="27" t="inlineStr">
        <is>
          <t>Count of Milestone Deliverables</t>
        </is>
      </c>
      <c r="D22" s="28" t="inlineStr">
        <is>
          <t>Total Cost</t>
        </is>
      </c>
      <c r="E22" s="26" t="inlineStr">
        <is>
          <t>Total Hours</t>
        </is>
      </c>
    </row>
    <row r="23" hidden="1" ht="15.75" customHeight="1" s="74">
      <c r="A23" s="56" t="inlineStr">
        <is>
          <t>Role</t>
        </is>
      </c>
      <c r="B23" s="51" t="inlineStr">
        <is>
          <t>Project Manager</t>
        </is>
      </c>
      <c r="C23" s="41">
        <f>IFERROR(__xludf.DUMMYFUNCTION("TEXTJOIN("", "", TRUE, FILTER('Milestone Plan'!D:D, 'Milestone Plan'!F:F=""Project Manager""))"),"Governance Toolkit + Monthly Summary Reports, Project Governance Tracker, Phase 1 Exit Report, Technical Readiness Checklist, Internal Announcement, Go-Live FAQ, Support Channels, Lessons Learned Summary, KPI Report, Optimization Backlog")</f>
        <v/>
      </c>
      <c r="D23" s="47" t="n">
        <v>18720</v>
      </c>
      <c r="E23" s="56" t="n">
        <v>104</v>
      </c>
    </row>
    <row r="24" hidden="1" ht="15.75" customHeight="1" s="74">
      <c r="A24" s="56" t="inlineStr">
        <is>
          <t>Role</t>
        </is>
      </c>
      <c r="B24" s="51" t="inlineStr">
        <is>
          <t>Forward Deployed Engineer</t>
        </is>
      </c>
      <c r="C24" s="41">
        <f>IFERROR(__xludf.DUMMYFUNCTION("TEXTJOIN("", "", TRUE, FILTER('Milestone Plan'!D:D, 'Milestone Plan'!F:F=""Senior Solutions Engineer""))
"),"Installation Validation Report, Rendering QA Report, Deployment Plan + Success Metrics, System of Systems Architecture Document , Strategic Readout and Recommendations, Cloud Authoring Validation, Unified Enablement Curriculum, Workflow Documentation (Fig"&amp;"Jam, Token Studio, Contribution Workflows), Advanced Enablement Program, Scaled Rollout Readiness Review, Cutover Readiness Checklist, Technical Validation Sign-off, Risk Mitigation Plan, Configuration Freeze Log, Environment Snapshot, UAT Sign-off Report"&amp;", Known Issues Log, Continuous Improvement Plan, Deployment Completion Report, Access Validation, Service Health Dashboard, Hypercare Status Reports, Issue Resolution Tracker")</f>
        <v/>
      </c>
      <c r="D24" s="47" t="n">
        <v>220220</v>
      </c>
      <c r="E24" s="56" t="n">
        <v>911</v>
      </c>
    </row>
    <row r="25" hidden="1" ht="15.75" customHeight="1" s="74">
      <c r="A25" s="56" t="inlineStr">
        <is>
          <t>Role</t>
        </is>
      </c>
      <c r="B25" s="37" t="inlineStr">
        <is>
          <t>CX Partner - Change Management SME</t>
        </is>
      </c>
      <c r="C25" s="41">
        <f>IFERROR(__xludf.DUMMYFUNCTION("TEXTJOIN("", "", TRUE, FILTER('Milestone Plan'!D:D, 'Milestone Plan'!F:F=""CX Partner - Change Management SME""))"),"Change Management Dashboard, Stakeholder Map, Communication Strategy Draft, Scaled Rollout and Adoption, Internal Communication Plan, Branding Package, Pilot Feedback Summary, Sentiment Dashboard, Persona-Based Training Modules (UX, Eng, Partner), Change "&amp;"Impact Log, Stakeholder Action Plan, Awareness Campaign, Success Story Series, Partner Contribution Leaderboard, Recognition Plan, Adoption Dashboards, Sentiment Trend Reports, Quarterly Business Review Deck, Internal Case Study + Success Metrics")</f>
        <v/>
      </c>
      <c r="D25" s="47" t="n">
        <v>187200</v>
      </c>
      <c r="E25" s="56" t="n">
        <v>362</v>
      </c>
    </row>
    <row r="26" hidden="1" ht="15.75" customHeight="1" s="74">
      <c r="A26" s="56" t="inlineStr">
        <is>
          <t>Role</t>
        </is>
      </c>
      <c r="B26" s="37" t="inlineStr">
        <is>
          <t xml:space="preserve">Subject Matter Experts - included in ProServices Subscription </t>
        </is>
      </c>
      <c r="C26" s="56">
        <f>IFERROR(__xludf.DUMMYFUNCTION("TEXTJOIN("", "", TRUE, FILTER('Milestone Plan'!D:D, 'Milestone Plan'!F:F=""Subject Matter Expert""))
"),"Architecture Validation Log, DevOps Readiness, SSO Integration Checklist")</f>
        <v/>
      </c>
      <c r="D26" s="47" t="n">
        <v>0</v>
      </c>
      <c r="E26" s="56">
        <f>E16</f>
        <v/>
      </c>
    </row>
    <row r="27" hidden="1" ht="15.75" customHeight="1" s="74">
      <c r="A27" s="56" t="inlineStr">
        <is>
          <t>One Time Implementation Fee</t>
        </is>
      </c>
      <c r="B27" s="37" t="n"/>
      <c r="C27" s="52" t="n"/>
      <c r="D27" s="47" t="n">
        <v>58380</v>
      </c>
      <c r="E27" s="56" t="n"/>
    </row>
    <row r="28" hidden="1" ht="15.75" customHeight="1" s="74">
      <c r="A28" s="56" t="inlineStr">
        <is>
          <t>Annual Licensing Fees</t>
        </is>
      </c>
      <c r="B28" s="37" t="n"/>
      <c r="C28" s="41" t="n"/>
      <c r="D28" s="42" t="n">
        <v>250000</v>
      </c>
      <c r="E28" s="56" t="n"/>
    </row>
    <row r="29" hidden="1" ht="15.75" customHeight="1" s="74">
      <c r="A29" s="56" t="n"/>
      <c r="B29" s="37" t="inlineStr">
        <is>
          <t xml:space="preserve">Non-Subscription Price </t>
        </is>
      </c>
      <c r="C29" s="41" t="n"/>
      <c r="D29" s="42">
        <f>sum(Proposal_2[Total Cost])</f>
        <v/>
      </c>
      <c r="E29" s="56">
        <f>sum(Proposal_2[Total Hours])</f>
        <v/>
      </c>
    </row>
    <row r="30" hidden="1" ht="15.75" customHeight="1" s="74">
      <c r="C30" s="46" t="inlineStr">
        <is>
          <t>Total Year 1 Software and Implementation + Pro Services</t>
        </is>
      </c>
      <c r="D30" s="47">
        <f>Proposal_2[[#TOTALS],[Total Cost]]</f>
        <v/>
      </c>
    </row>
    <row r="31" hidden="1" ht="15.75" customHeight="1" s="74">
      <c r="A31" s="48" t="n"/>
      <c r="C31" s="49" t="inlineStr">
        <is>
          <t>Discount 15% for ProServcies Subscription</t>
        </is>
      </c>
      <c r="D31" s="50">
        <f>0.1505377662</f>
        <v/>
      </c>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c r="AA31" s="48" t="n"/>
    </row>
    <row r="32" hidden="1" ht="15.75" customHeight="1" s="74">
      <c r="C32" s="46" t="inlineStr">
        <is>
          <t>Discounted Total Year 1 Software and Implementation + Pro Services</t>
        </is>
      </c>
      <c r="D32" s="47">
        <f>Proposal_2[[#TOTALS],[Total Cost]]-(D30*D31)</f>
        <v/>
      </c>
    </row>
    <row r="33" hidden="1" ht="15.75" customHeight="1" s="74">
      <c r="B33" s="13" t="n"/>
      <c r="C33" s="24" t="n"/>
      <c r="D33" s="25" t="n"/>
    </row>
    <row r="34" hidden="1" ht="15.75" customHeight="1" s="74">
      <c r="B34" s="13" t="n"/>
      <c r="C34" s="24" t="n"/>
      <c r="D34" s="25" t="n"/>
    </row>
    <row r="35" hidden="1" ht="15.75" customHeight="1" s="74">
      <c r="B35" s="51" t="n"/>
      <c r="C35" s="52" t="n"/>
      <c r="D35" s="47" t="n"/>
    </row>
    <row r="36" hidden="1" ht="15.75" customHeight="1" s="74">
      <c r="B36" s="51" t="n"/>
      <c r="C36" s="52" t="n"/>
      <c r="D36" s="47" t="n"/>
    </row>
    <row r="37" hidden="1" ht="15.75" customHeight="1" s="74">
      <c r="B37" s="51" t="n"/>
      <c r="C37" s="52" t="n"/>
      <c r="D37" s="47" t="n"/>
    </row>
    <row r="38" hidden="1" ht="15.75" customHeight="1" s="74">
      <c r="B38" s="13" t="n"/>
      <c r="C38" s="24" t="n"/>
      <c r="D38" s="25" t="n"/>
    </row>
    <row r="39" hidden="1" ht="15.75" customHeight="1" s="74">
      <c r="B39" s="13" t="n"/>
      <c r="C39" s="24" t="n"/>
      <c r="D39" s="25" t="n"/>
    </row>
    <row r="40" hidden="1" ht="15.75" customHeight="1" s="74">
      <c r="B40" s="13" t="n"/>
      <c r="C40" s="24" t="n"/>
      <c r="D40" s="25" t="n"/>
    </row>
    <row r="41" hidden="1" ht="15.75" customHeight="1" s="74">
      <c r="B41" s="13" t="n"/>
      <c r="C41" s="24" t="n"/>
      <c r="D41" s="25" t="n"/>
    </row>
    <row r="42" hidden="1" ht="15.75" customHeight="1" s="74">
      <c r="B42" s="13" t="n"/>
      <c r="C42" s="24" t="n"/>
      <c r="D42" s="25" t="n"/>
    </row>
    <row r="43" hidden="1" ht="15.75" customHeight="1" s="74">
      <c r="B43" s="13" t="n"/>
      <c r="C43" s="24" t="n"/>
      <c r="D43" s="25" t="n"/>
    </row>
    <row r="44" hidden="1" ht="15.75" customHeight="1" s="74">
      <c r="B44" s="13" t="n"/>
      <c r="C44" s="24" t="n"/>
      <c r="D44" s="25" t="n"/>
    </row>
    <row r="45" hidden="1" ht="15.75" customHeight="1" s="74">
      <c r="B45" s="13" t="n"/>
      <c r="C45" s="24" t="n"/>
      <c r="D45" s="25" t="n"/>
    </row>
    <row r="46" hidden="1" ht="15.75" customHeight="1" s="74">
      <c r="B46" s="13" t="n"/>
      <c r="C46" s="24" t="n"/>
      <c r="D46" s="25" t="n"/>
    </row>
    <row r="47" hidden="1" ht="15.75" customHeight="1" s="74">
      <c r="B47" s="13" t="n"/>
      <c r="C47" s="24" t="n"/>
      <c r="D47" s="25" t="n"/>
    </row>
    <row r="48" hidden="1" ht="15.75" customHeight="1" s="74">
      <c r="B48" s="13" t="n"/>
      <c r="C48" s="24" t="n"/>
      <c r="D48" s="25" t="n"/>
    </row>
    <row r="49" hidden="1" ht="15.75" customHeight="1" s="74">
      <c r="B49" s="13" t="n"/>
      <c r="C49" s="24" t="n"/>
      <c r="D49" s="25" t="n"/>
    </row>
    <row r="50" hidden="1" ht="15.75" customHeight="1" s="74">
      <c r="B50" s="13" t="n"/>
      <c r="C50" s="24" t="n"/>
      <c r="D50" s="25" t="n"/>
    </row>
    <row r="51" hidden="1" ht="15.75" customHeight="1" s="74">
      <c r="B51" s="13" t="n"/>
      <c r="C51" s="24" t="n"/>
      <c r="D51" s="25" t="n"/>
    </row>
    <row r="52" hidden="1" ht="15.75" customHeight="1" s="74">
      <c r="B52" s="13" t="n"/>
      <c r="C52" s="24" t="n"/>
      <c r="D52" s="25" t="n"/>
    </row>
    <row r="53" ht="15.75" customHeight="1" s="74">
      <c r="B53" s="13" t="n"/>
      <c r="C53" s="24" t="n"/>
      <c r="D53" s="25" t="n"/>
    </row>
    <row r="54" ht="15.75" customHeight="1" s="74">
      <c r="B54" s="13" t="n"/>
      <c r="C54" s="24" t="n"/>
      <c r="D54" s="25" t="n"/>
    </row>
    <row r="55" ht="15.75" customHeight="1" s="74">
      <c r="B55" s="13" t="n"/>
      <c r="C55" s="24" t="n"/>
      <c r="D55" s="25" t="n"/>
    </row>
    <row r="56" ht="15.75" customHeight="1" s="74">
      <c r="B56" s="13" t="n"/>
      <c r="C56" s="24" t="n"/>
      <c r="D56" s="25" t="n"/>
    </row>
    <row r="57" ht="15.75" customHeight="1" s="74">
      <c r="B57" s="13" t="n"/>
      <c r="C57" s="24" t="n"/>
      <c r="D57" s="25" t="n"/>
    </row>
    <row r="58" ht="15.75" customHeight="1" s="74">
      <c r="B58" s="13" t="n"/>
      <c r="C58" s="24" t="n"/>
      <c r="D58" s="25" t="n"/>
    </row>
    <row r="59" ht="15.75" customHeight="1" s="74">
      <c r="B59" s="13" t="n"/>
      <c r="C59" s="24" t="n"/>
      <c r="D59" s="25" t="n"/>
    </row>
    <row r="60" ht="15.75" customHeight="1" s="74">
      <c r="B60" s="13" t="n"/>
      <c r="C60" s="24" t="n"/>
      <c r="D60" s="25" t="n"/>
    </row>
    <row r="61" ht="15.75" customHeight="1" s="74">
      <c r="B61" s="13" t="n"/>
      <c r="C61" s="24" t="n"/>
      <c r="D61" s="25" t="n"/>
    </row>
    <row r="62" ht="15.75" customHeight="1" s="74">
      <c r="B62" s="13" t="n"/>
      <c r="C62" s="24" t="n"/>
      <c r="D62" s="25" t="n"/>
    </row>
    <row r="63" ht="15.75" customHeight="1" s="74">
      <c r="B63" s="13" t="n"/>
      <c r="C63" s="24" t="n"/>
      <c r="D63" s="25" t="n"/>
    </row>
    <row r="64" ht="15.75" customHeight="1" s="74">
      <c r="B64" s="13" t="n"/>
      <c r="C64" s="24" t="n"/>
      <c r="D64" s="25" t="n"/>
    </row>
    <row r="65" ht="15.75" customHeight="1" s="74">
      <c r="B65" s="13" t="n"/>
      <c r="C65" s="24" t="n"/>
      <c r="D65" s="25" t="n"/>
    </row>
    <row r="66" ht="15.75" customHeight="1" s="74">
      <c r="B66" s="13" t="n"/>
      <c r="C66" s="24" t="n"/>
      <c r="D66" s="25" t="n"/>
    </row>
    <row r="67" ht="15.75" customHeight="1" s="74">
      <c r="B67" s="13" t="n"/>
      <c r="C67" s="24" t="n"/>
      <c r="D67" s="25" t="n"/>
    </row>
    <row r="68" ht="15.75" customHeight="1" s="74">
      <c r="B68" s="13" t="n"/>
      <c r="C68" s="24" t="n"/>
      <c r="D68" s="25" t="n"/>
    </row>
    <row r="69" ht="15.75" customHeight="1" s="74">
      <c r="B69" s="13" t="n"/>
      <c r="C69" s="24" t="n"/>
      <c r="D69" s="25" t="n"/>
    </row>
    <row r="70" ht="15.75" customHeight="1" s="74">
      <c r="B70" s="13" t="n"/>
      <c r="C70" s="24" t="n"/>
      <c r="D70" s="25" t="n"/>
    </row>
    <row r="71" ht="15.75" customHeight="1" s="74">
      <c r="B71" s="13" t="n"/>
      <c r="C71" s="24" t="n"/>
      <c r="D71" s="25" t="n"/>
    </row>
    <row r="72" ht="15.75" customHeight="1" s="74">
      <c r="B72" s="13" t="n"/>
      <c r="C72" s="24" t="n"/>
      <c r="D72" s="25" t="n"/>
    </row>
    <row r="73" ht="15.75" customHeight="1" s="74">
      <c r="B73" s="13" t="n"/>
      <c r="C73" s="24" t="n"/>
      <c r="D73" s="25" t="n"/>
    </row>
    <row r="74" ht="15.75" customHeight="1" s="74">
      <c r="B74" s="13" t="n"/>
      <c r="C74" s="24" t="n"/>
      <c r="D74" s="25" t="n"/>
    </row>
    <row r="75" ht="15.75" customHeight="1" s="74">
      <c r="B75" s="13" t="n"/>
      <c r="C75" s="24" t="n"/>
      <c r="D75" s="25" t="n"/>
    </row>
    <row r="76" ht="15.75" customHeight="1" s="74">
      <c r="B76" s="13" t="n"/>
      <c r="C76" s="24" t="n"/>
      <c r="D76" s="25" t="n"/>
    </row>
    <row r="77" ht="15.75" customHeight="1" s="74">
      <c r="B77" s="13" t="n"/>
      <c r="C77" s="24" t="n"/>
      <c r="D77" s="25" t="n"/>
    </row>
    <row r="78" ht="15.75" customHeight="1" s="74">
      <c r="B78" s="13" t="n"/>
      <c r="C78" s="24" t="n"/>
      <c r="D78" s="25" t="n"/>
    </row>
    <row r="79" ht="15.75" customHeight="1" s="74">
      <c r="B79" s="13" t="n"/>
      <c r="C79" s="24" t="n"/>
      <c r="D79" s="25" t="n"/>
    </row>
    <row r="80" ht="15.75" customHeight="1" s="74">
      <c r="B80" s="13" t="n"/>
      <c r="C80" s="24" t="n"/>
      <c r="D80" s="25" t="n"/>
    </row>
    <row r="81" ht="15.75" customHeight="1" s="74">
      <c r="B81" s="13" t="n"/>
      <c r="C81" s="24" t="n"/>
      <c r="D81" s="25" t="n"/>
    </row>
    <row r="82" ht="15.75" customHeight="1" s="74">
      <c r="B82" s="13" t="n"/>
      <c r="C82" s="24" t="n"/>
      <c r="D82" s="25" t="n"/>
    </row>
    <row r="83" ht="15.75" customHeight="1" s="74">
      <c r="B83" s="13" t="n"/>
      <c r="C83" s="24" t="n"/>
      <c r="D83" s="25" t="n"/>
    </row>
    <row r="84" ht="15.75" customHeight="1" s="74">
      <c r="B84" s="13" t="n"/>
      <c r="C84" s="24" t="n"/>
      <c r="D84" s="25" t="n"/>
    </row>
    <row r="85" ht="15.75" customHeight="1" s="74">
      <c r="B85" s="13" t="n"/>
      <c r="C85" s="24" t="n"/>
      <c r="D85" s="25" t="n"/>
    </row>
    <row r="86" ht="15.75" customHeight="1" s="74">
      <c r="B86" s="13" t="n"/>
      <c r="C86" s="24" t="n"/>
      <c r="D86" s="25" t="n"/>
    </row>
    <row r="87" ht="15.75" customHeight="1" s="74">
      <c r="B87" s="13" t="n"/>
      <c r="C87" s="24" t="n"/>
      <c r="D87" s="25" t="n"/>
    </row>
    <row r="88" ht="15.75" customHeight="1" s="74">
      <c r="B88" s="13" t="n"/>
      <c r="C88" s="24" t="n"/>
      <c r="D88" s="25" t="n"/>
    </row>
    <row r="89" ht="15.75" customHeight="1" s="74">
      <c r="B89" s="13" t="n"/>
      <c r="C89" s="24" t="n"/>
      <c r="D89" s="25" t="n"/>
    </row>
    <row r="90" ht="15.75" customHeight="1" s="74">
      <c r="B90" s="13" t="n"/>
      <c r="C90" s="24" t="n"/>
      <c r="D90" s="25" t="n"/>
    </row>
    <row r="91" ht="15.75" customHeight="1" s="74">
      <c r="B91" s="13" t="n"/>
      <c r="C91" s="24" t="n"/>
      <c r="D91" s="25" t="n"/>
    </row>
    <row r="92" ht="15.75" customHeight="1" s="74">
      <c r="B92" s="13" t="n"/>
      <c r="C92" s="24" t="n"/>
      <c r="D92" s="25" t="n"/>
    </row>
    <row r="93" ht="15.75" customHeight="1" s="74">
      <c r="B93" s="13" t="n"/>
      <c r="C93" s="24" t="n"/>
      <c r="D93" s="25" t="n"/>
    </row>
    <row r="94" ht="15.75" customHeight="1" s="74">
      <c r="B94" s="13" t="n"/>
      <c r="C94" s="24" t="n"/>
      <c r="D94" s="25" t="n"/>
    </row>
    <row r="95" ht="15.75" customHeight="1" s="74">
      <c r="B95" s="13" t="n"/>
      <c r="C95" s="24" t="n"/>
      <c r="D95" s="25" t="n"/>
    </row>
    <row r="96" ht="15.75" customHeight="1" s="74">
      <c r="B96" s="13" t="n"/>
      <c r="C96" s="24" t="n"/>
      <c r="D96" s="25" t="n"/>
    </row>
    <row r="97" ht="15.75" customHeight="1" s="74">
      <c r="B97" s="13" t="n"/>
      <c r="C97" s="24" t="n"/>
      <c r="D97" s="25" t="n"/>
    </row>
    <row r="98" ht="15.75" customHeight="1" s="74">
      <c r="B98" s="13" t="n"/>
      <c r="C98" s="24" t="n"/>
      <c r="D98" s="25" t="n"/>
    </row>
    <row r="99" ht="15.75" customHeight="1" s="74">
      <c r="B99" s="13" t="n"/>
      <c r="C99" s="24" t="n"/>
      <c r="D99" s="25" t="n"/>
    </row>
    <row r="100" ht="15.75" customHeight="1" s="74">
      <c r="B100" s="13" t="n"/>
      <c r="C100" s="24" t="n"/>
      <c r="D100" s="25" t="n"/>
    </row>
    <row r="101" ht="15.75" customHeight="1" s="74">
      <c r="B101" s="13" t="n"/>
      <c r="C101" s="24" t="n"/>
      <c r="D101" s="25" t="n"/>
    </row>
    <row r="102" ht="15.75" customHeight="1" s="74">
      <c r="B102" s="13" t="n"/>
      <c r="C102" s="24" t="n"/>
      <c r="D102" s="25" t="n"/>
    </row>
    <row r="103" ht="15.75" customHeight="1" s="74">
      <c r="B103" s="13" t="n"/>
      <c r="C103" s="24" t="n"/>
      <c r="D103" s="25" t="n"/>
    </row>
    <row r="104" ht="15.75" customHeight="1" s="74">
      <c r="B104" s="13" t="n"/>
      <c r="C104" s="24" t="n"/>
      <c r="D104" s="25" t="n"/>
    </row>
    <row r="105" ht="15.75" customHeight="1" s="74">
      <c r="B105" s="13" t="n"/>
      <c r="C105" s="24" t="n"/>
      <c r="D105" s="25" t="n"/>
    </row>
    <row r="106" ht="15.75" customHeight="1" s="74">
      <c r="B106" s="13" t="n"/>
      <c r="C106" s="24" t="n"/>
      <c r="D106" s="25" t="n"/>
    </row>
    <row r="107" ht="15.75" customHeight="1" s="74">
      <c r="B107" s="13" t="n"/>
      <c r="C107" s="24" t="n"/>
      <c r="D107" s="25" t="n"/>
    </row>
    <row r="108" ht="15.75" customHeight="1" s="74">
      <c r="B108" s="13" t="n"/>
      <c r="C108" s="24" t="n"/>
      <c r="D108" s="25" t="n"/>
    </row>
    <row r="109" ht="15.75" customHeight="1" s="74">
      <c r="B109" s="13" t="n"/>
      <c r="C109" s="24" t="n"/>
      <c r="D109" s="25" t="n"/>
    </row>
    <row r="110" ht="15.75" customHeight="1" s="74">
      <c r="B110" s="13" t="n"/>
      <c r="C110" s="24" t="n"/>
      <c r="D110" s="25" t="n"/>
    </row>
    <row r="111" ht="15.75" customHeight="1" s="74">
      <c r="B111" s="13" t="n"/>
      <c r="C111" s="24" t="n"/>
      <c r="D111" s="25" t="n"/>
    </row>
    <row r="112" ht="15.75" customHeight="1" s="74">
      <c r="B112" s="13" t="n"/>
      <c r="C112" s="24" t="n"/>
      <c r="D112" s="25" t="n"/>
    </row>
    <row r="113" ht="15.75" customHeight="1" s="74">
      <c r="B113" s="13" t="n"/>
      <c r="C113" s="24" t="n"/>
      <c r="D113" s="25" t="n"/>
    </row>
    <row r="114" ht="15.75" customHeight="1" s="74">
      <c r="B114" s="13" t="n"/>
      <c r="C114" s="24" t="n"/>
      <c r="D114" s="25" t="n"/>
    </row>
    <row r="115" ht="15.75" customHeight="1" s="74">
      <c r="B115" s="13" t="n"/>
      <c r="C115" s="24" t="n"/>
      <c r="D115" s="25" t="n"/>
    </row>
    <row r="116" ht="15.75" customHeight="1" s="74">
      <c r="B116" s="13" t="n"/>
      <c r="C116" s="24" t="n"/>
      <c r="D116" s="25" t="n"/>
    </row>
    <row r="117" ht="15.75" customHeight="1" s="74">
      <c r="B117" s="13" t="n"/>
      <c r="C117" s="24" t="n"/>
      <c r="D117" s="25" t="n"/>
    </row>
    <row r="118" ht="15.75" customHeight="1" s="74">
      <c r="B118" s="13" t="n"/>
      <c r="C118" s="24" t="n"/>
      <c r="D118" s="25" t="n"/>
    </row>
    <row r="119" ht="15.75" customHeight="1" s="74">
      <c r="B119" s="13" t="n"/>
      <c r="C119" s="24" t="n"/>
      <c r="D119" s="25" t="n"/>
    </row>
    <row r="120" ht="15.75" customHeight="1" s="74">
      <c r="B120" s="13" t="n"/>
      <c r="C120" s="24" t="n"/>
      <c r="D120" s="25" t="n"/>
    </row>
    <row r="121" ht="15.75" customHeight="1" s="74">
      <c r="B121" s="13" t="n"/>
      <c r="C121" s="24" t="n"/>
      <c r="D121" s="25" t="n"/>
    </row>
    <row r="122" ht="15.75" customHeight="1" s="74">
      <c r="B122" s="13" t="n"/>
      <c r="C122" s="24" t="n"/>
      <c r="D122" s="25" t="n"/>
    </row>
    <row r="123" ht="15.75" customHeight="1" s="74">
      <c r="B123" s="13" t="n"/>
      <c r="C123" s="24" t="n"/>
      <c r="D123" s="25" t="n"/>
    </row>
    <row r="124" ht="15.75" customHeight="1" s="74">
      <c r="B124" s="13" t="n"/>
      <c r="C124" s="24" t="n"/>
      <c r="D124" s="25" t="n"/>
    </row>
    <row r="125" ht="15.75" customHeight="1" s="74">
      <c r="B125" s="13" t="n"/>
      <c r="C125" s="24" t="n"/>
      <c r="D125" s="25" t="n"/>
    </row>
    <row r="126" ht="15.75" customHeight="1" s="74">
      <c r="B126" s="13" t="n"/>
      <c r="C126" s="24" t="n"/>
      <c r="D126" s="25" t="n"/>
    </row>
    <row r="127" ht="15.75" customHeight="1" s="74">
      <c r="B127" s="13" t="n"/>
      <c r="C127" s="24" t="n"/>
      <c r="D127" s="25" t="n"/>
    </row>
    <row r="128" ht="15.75" customHeight="1" s="74">
      <c r="B128" s="13" t="n"/>
      <c r="C128" s="24" t="n"/>
      <c r="D128" s="25" t="n"/>
    </row>
    <row r="129" ht="15.75" customHeight="1" s="74">
      <c r="B129" s="13" t="n"/>
      <c r="C129" s="24" t="n"/>
      <c r="D129" s="25" t="n"/>
    </row>
    <row r="130" ht="15.75" customHeight="1" s="74">
      <c r="B130" s="13" t="n"/>
      <c r="C130" s="24" t="n"/>
      <c r="D130" s="25" t="n"/>
    </row>
    <row r="131" ht="15.75" customHeight="1" s="74">
      <c r="B131" s="13" t="n"/>
      <c r="C131" s="24" t="n"/>
      <c r="D131" s="25" t="n"/>
    </row>
    <row r="132" ht="15.75" customHeight="1" s="74">
      <c r="B132" s="13" t="n"/>
      <c r="C132" s="24" t="n"/>
      <c r="D132" s="25" t="n"/>
    </row>
    <row r="133" ht="15.75" customHeight="1" s="74">
      <c r="B133" s="13" t="n"/>
      <c r="C133" s="24" t="n"/>
      <c r="D133" s="25" t="n"/>
    </row>
    <row r="134" ht="15.75" customHeight="1" s="74">
      <c r="B134" s="13" t="n"/>
      <c r="C134" s="24" t="n"/>
      <c r="D134" s="25" t="n"/>
    </row>
    <row r="135" ht="15.75" customHeight="1" s="74">
      <c r="B135" s="13" t="n"/>
      <c r="C135" s="24" t="n"/>
      <c r="D135" s="25" t="n"/>
    </row>
    <row r="136" ht="15.75" customHeight="1" s="74">
      <c r="B136" s="13" t="n"/>
      <c r="C136" s="24" t="n"/>
      <c r="D136" s="25" t="n"/>
    </row>
    <row r="137" ht="15.75" customHeight="1" s="74">
      <c r="B137" s="13" t="n"/>
      <c r="C137" s="24" t="n"/>
      <c r="D137" s="25" t="n"/>
    </row>
    <row r="138" ht="15.75" customHeight="1" s="74">
      <c r="B138" s="13" t="n"/>
      <c r="C138" s="24" t="n"/>
      <c r="D138" s="25" t="n"/>
    </row>
    <row r="139" ht="15.75" customHeight="1" s="74">
      <c r="B139" s="13" t="n"/>
      <c r="C139" s="24" t="n"/>
      <c r="D139" s="25" t="n"/>
    </row>
    <row r="140" ht="15.75" customHeight="1" s="74">
      <c r="B140" s="13" t="n"/>
      <c r="C140" s="24" t="n"/>
      <c r="D140" s="25" t="n"/>
    </row>
    <row r="141" ht="15.75" customHeight="1" s="74">
      <c r="B141" s="13" t="n"/>
      <c r="C141" s="24" t="n"/>
      <c r="D141" s="25" t="n"/>
    </row>
    <row r="142" ht="15.75" customHeight="1" s="74">
      <c r="B142" s="13" t="n"/>
      <c r="C142" s="24" t="n"/>
      <c r="D142" s="25" t="n"/>
    </row>
    <row r="143" ht="15.75" customHeight="1" s="74">
      <c r="B143" s="13" t="n"/>
      <c r="C143" s="24" t="n"/>
      <c r="D143" s="25" t="n"/>
    </row>
    <row r="144" ht="15.75" customHeight="1" s="74">
      <c r="B144" s="13" t="n"/>
      <c r="C144" s="24" t="n"/>
      <c r="D144" s="25" t="n"/>
    </row>
    <row r="145" ht="15.75" customHeight="1" s="74">
      <c r="B145" s="13" t="n"/>
      <c r="C145" s="24" t="n"/>
      <c r="D145" s="25" t="n"/>
    </row>
    <row r="146" ht="15.75" customHeight="1" s="74">
      <c r="B146" s="13" t="n"/>
      <c r="C146" s="24" t="n"/>
      <c r="D146" s="25" t="n"/>
    </row>
    <row r="147" ht="15.75" customHeight="1" s="74">
      <c r="B147" s="13" t="n"/>
      <c r="C147" s="24" t="n"/>
      <c r="D147" s="25" t="n"/>
    </row>
    <row r="148" ht="15.75" customHeight="1" s="74">
      <c r="B148" s="13" t="n"/>
      <c r="C148" s="24" t="n"/>
      <c r="D148" s="25" t="n"/>
    </row>
    <row r="149" ht="15.75" customHeight="1" s="74">
      <c r="B149" s="13" t="n"/>
      <c r="C149" s="24" t="n"/>
      <c r="D149" s="25" t="n"/>
    </row>
    <row r="150" ht="15.75" customHeight="1" s="74">
      <c r="B150" s="13" t="n"/>
      <c r="C150" s="24" t="n"/>
      <c r="D150" s="25" t="n"/>
    </row>
    <row r="151" ht="15.75" customHeight="1" s="74">
      <c r="B151" s="13" t="n"/>
      <c r="C151" s="24" t="n"/>
      <c r="D151" s="25" t="n"/>
    </row>
    <row r="152" ht="15.75" customHeight="1" s="74">
      <c r="B152" s="13" t="n"/>
      <c r="C152" s="24" t="n"/>
      <c r="D152" s="25" t="n"/>
    </row>
    <row r="153" ht="15.75" customHeight="1" s="74">
      <c r="B153" s="13" t="n"/>
      <c r="C153" s="24" t="n"/>
      <c r="D153" s="25" t="n"/>
    </row>
    <row r="154" ht="15.75" customHeight="1" s="74">
      <c r="B154" s="13" t="n"/>
      <c r="C154" s="24" t="n"/>
      <c r="D154" s="25" t="n"/>
    </row>
    <row r="155" ht="15.75" customHeight="1" s="74">
      <c r="B155" s="13" t="n"/>
      <c r="C155" s="24" t="n"/>
      <c r="D155" s="25" t="n"/>
    </row>
    <row r="156" ht="15.75" customHeight="1" s="74">
      <c r="B156" s="13" t="n"/>
      <c r="C156" s="24" t="n"/>
      <c r="D156" s="25" t="n"/>
    </row>
    <row r="157" ht="15.75" customHeight="1" s="74">
      <c r="B157" s="13" t="n"/>
      <c r="C157" s="24" t="n"/>
      <c r="D157" s="25" t="n"/>
    </row>
    <row r="158" ht="15.75" customHeight="1" s="74">
      <c r="B158" s="13" t="n"/>
      <c r="C158" s="24" t="n"/>
      <c r="D158" s="25" t="n"/>
    </row>
    <row r="159" ht="15.75" customHeight="1" s="74">
      <c r="B159" s="13" t="n"/>
      <c r="C159" s="24" t="n"/>
      <c r="D159" s="25" t="n"/>
    </row>
    <row r="160" ht="15.75" customHeight="1" s="74">
      <c r="B160" s="13" t="n"/>
      <c r="C160" s="24" t="n"/>
      <c r="D160" s="25" t="n"/>
    </row>
    <row r="161" ht="15.75" customHeight="1" s="74">
      <c r="B161" s="13" t="n"/>
      <c r="C161" s="24" t="n"/>
      <c r="D161" s="25" t="n"/>
    </row>
    <row r="162" ht="15.75" customHeight="1" s="74">
      <c r="B162" s="13" t="n"/>
      <c r="C162" s="24" t="n"/>
      <c r="D162" s="25" t="n"/>
    </row>
    <row r="163" ht="15.75" customHeight="1" s="74">
      <c r="B163" s="13" t="n"/>
      <c r="C163" s="24" t="n"/>
      <c r="D163" s="25" t="n"/>
    </row>
    <row r="164" ht="15.75" customHeight="1" s="74">
      <c r="B164" s="13" t="n"/>
      <c r="C164" s="24" t="n"/>
      <c r="D164" s="25" t="n"/>
    </row>
    <row r="165" ht="15.75" customHeight="1" s="74">
      <c r="B165" s="13" t="n"/>
      <c r="C165" s="24" t="n"/>
      <c r="D165" s="25" t="n"/>
    </row>
    <row r="166" ht="15.75" customHeight="1" s="74">
      <c r="B166" s="13" t="n"/>
      <c r="C166" s="24" t="n"/>
      <c r="D166" s="25" t="n"/>
    </row>
    <row r="167" ht="15.75" customHeight="1" s="74">
      <c r="B167" s="13" t="n"/>
      <c r="C167" s="24" t="n"/>
      <c r="D167" s="25" t="n"/>
    </row>
    <row r="168" ht="15.75" customHeight="1" s="74">
      <c r="B168" s="13" t="n"/>
      <c r="C168" s="24" t="n"/>
      <c r="D168" s="25" t="n"/>
    </row>
    <row r="169" ht="15.75" customHeight="1" s="74">
      <c r="B169" s="13" t="n"/>
      <c r="C169" s="24" t="n"/>
      <c r="D169" s="25" t="n"/>
    </row>
    <row r="170" ht="15.75" customHeight="1" s="74">
      <c r="B170" s="13" t="n"/>
      <c r="C170" s="24" t="n"/>
      <c r="D170" s="25" t="n"/>
    </row>
    <row r="171" ht="15.75" customHeight="1" s="74">
      <c r="B171" s="13" t="n"/>
      <c r="C171" s="24" t="n"/>
      <c r="D171" s="25" t="n"/>
    </row>
    <row r="172" ht="15.75" customHeight="1" s="74">
      <c r="B172" s="13" t="n"/>
      <c r="C172" s="24" t="n"/>
      <c r="D172" s="25" t="n"/>
    </row>
    <row r="173" ht="15.75" customHeight="1" s="74">
      <c r="B173" s="13" t="n"/>
      <c r="C173" s="24" t="n"/>
      <c r="D173" s="25" t="n"/>
    </row>
    <row r="174" ht="15.75" customHeight="1" s="74">
      <c r="B174" s="13" t="n"/>
      <c r="C174" s="24" t="n"/>
      <c r="D174" s="25" t="n"/>
    </row>
    <row r="175" ht="15.75" customHeight="1" s="74">
      <c r="B175" s="13" t="n"/>
      <c r="C175" s="24" t="n"/>
      <c r="D175" s="25" t="n"/>
    </row>
    <row r="176" ht="15.75" customHeight="1" s="74">
      <c r="B176" s="13" t="n"/>
      <c r="C176" s="24" t="n"/>
      <c r="D176" s="25" t="n"/>
    </row>
    <row r="177" ht="15.75" customHeight="1" s="74">
      <c r="B177" s="13" t="n"/>
      <c r="C177" s="24" t="n"/>
      <c r="D177" s="25" t="n"/>
    </row>
    <row r="178" ht="15.75" customHeight="1" s="74">
      <c r="B178" s="13" t="n"/>
      <c r="C178" s="24" t="n"/>
      <c r="D178" s="25" t="n"/>
    </row>
    <row r="179" ht="15.75" customHeight="1" s="74">
      <c r="B179" s="13" t="n"/>
      <c r="C179" s="24" t="n"/>
      <c r="D179" s="25" t="n"/>
    </row>
    <row r="180" ht="15.75" customHeight="1" s="74">
      <c r="B180" s="13" t="n"/>
      <c r="C180" s="24" t="n"/>
      <c r="D180" s="25" t="n"/>
    </row>
    <row r="181" ht="15.75" customHeight="1" s="74">
      <c r="B181" s="13" t="n"/>
      <c r="C181" s="24" t="n"/>
      <c r="D181" s="25" t="n"/>
    </row>
    <row r="182" ht="15.75" customHeight="1" s="74">
      <c r="B182" s="13" t="n"/>
      <c r="C182" s="24" t="n"/>
      <c r="D182" s="25" t="n"/>
    </row>
    <row r="183" ht="15.75" customHeight="1" s="74">
      <c r="B183" s="13" t="n"/>
      <c r="C183" s="24" t="n"/>
      <c r="D183" s="25" t="n"/>
    </row>
    <row r="184" ht="15.75" customHeight="1" s="74">
      <c r="B184" s="13" t="n"/>
      <c r="C184" s="24" t="n"/>
      <c r="D184" s="25" t="n"/>
    </row>
    <row r="185" ht="15.75" customHeight="1" s="74">
      <c r="B185" s="13" t="n"/>
      <c r="C185" s="24" t="n"/>
      <c r="D185" s="25" t="n"/>
    </row>
    <row r="186" ht="15.75" customHeight="1" s="74">
      <c r="B186" s="13" t="n"/>
      <c r="C186" s="24" t="n"/>
      <c r="D186" s="25" t="n"/>
    </row>
    <row r="187" ht="15.75" customHeight="1" s="74">
      <c r="B187" s="13" t="n"/>
      <c r="C187" s="24" t="n"/>
      <c r="D187" s="25" t="n"/>
    </row>
    <row r="188" ht="15.75" customHeight="1" s="74">
      <c r="B188" s="13" t="n"/>
      <c r="C188" s="24" t="n"/>
      <c r="D188" s="25" t="n"/>
    </row>
    <row r="189" ht="15.75" customHeight="1" s="74">
      <c r="B189" s="13" t="n"/>
      <c r="C189" s="24" t="n"/>
      <c r="D189" s="25" t="n"/>
    </row>
    <row r="190" ht="15.75" customHeight="1" s="74">
      <c r="B190" s="13" t="n"/>
      <c r="C190" s="24" t="n"/>
      <c r="D190" s="25" t="n"/>
    </row>
    <row r="191" ht="15.75" customHeight="1" s="74">
      <c r="B191" s="13" t="n"/>
      <c r="C191" s="24" t="n"/>
      <c r="D191" s="25" t="n"/>
    </row>
    <row r="192" ht="15.75" customHeight="1" s="74">
      <c r="B192" s="13" t="n"/>
      <c r="C192" s="24" t="n"/>
      <c r="D192" s="25" t="n"/>
    </row>
    <row r="193" ht="15.75" customHeight="1" s="74">
      <c r="B193" s="13" t="n"/>
      <c r="C193" s="24" t="n"/>
      <c r="D193" s="25" t="n"/>
    </row>
    <row r="194" ht="15.75" customHeight="1" s="74">
      <c r="B194" s="13" t="n"/>
      <c r="C194" s="24" t="n"/>
      <c r="D194" s="25" t="n"/>
    </row>
    <row r="195" ht="15.75" customHeight="1" s="74">
      <c r="B195" s="13" t="n"/>
      <c r="C195" s="24" t="n"/>
      <c r="D195" s="25" t="n"/>
    </row>
    <row r="196" ht="15.75" customHeight="1" s="74">
      <c r="B196" s="13" t="n"/>
      <c r="C196" s="24" t="n"/>
      <c r="D196" s="25" t="n"/>
    </row>
    <row r="197" ht="15.75" customHeight="1" s="74">
      <c r="B197" s="13" t="n"/>
      <c r="C197" s="24" t="n"/>
      <c r="D197" s="25" t="n"/>
    </row>
    <row r="198" ht="15.75" customHeight="1" s="74">
      <c r="B198" s="13" t="n"/>
      <c r="C198" s="24" t="n"/>
      <c r="D198" s="25" t="n"/>
    </row>
    <row r="199" ht="15.75" customHeight="1" s="74">
      <c r="B199" s="13" t="n"/>
      <c r="C199" s="24" t="n"/>
      <c r="D199" s="25" t="n"/>
    </row>
    <row r="200" ht="15.75" customHeight="1" s="74">
      <c r="B200" s="13" t="n"/>
      <c r="C200" s="24" t="n"/>
      <c r="D200" s="25" t="n"/>
    </row>
    <row r="201" ht="15.75" customHeight="1" s="74">
      <c r="B201" s="13" t="n"/>
      <c r="C201" s="24" t="n"/>
      <c r="D201" s="25" t="n"/>
    </row>
    <row r="202" ht="15.75" customHeight="1" s="74">
      <c r="B202" s="13" t="n"/>
      <c r="C202" s="24" t="n"/>
      <c r="D202" s="25" t="n"/>
    </row>
    <row r="203" ht="15.75" customHeight="1" s="74">
      <c r="B203" s="13" t="n"/>
      <c r="C203" s="24" t="n"/>
      <c r="D203" s="25" t="n"/>
    </row>
    <row r="204" ht="15.75" customHeight="1" s="74">
      <c r="B204" s="13" t="n"/>
      <c r="C204" s="24" t="n"/>
      <c r="D204" s="25" t="n"/>
    </row>
    <row r="205" ht="15.75" customHeight="1" s="74">
      <c r="B205" s="13" t="n"/>
      <c r="C205" s="24" t="n"/>
      <c r="D205" s="25" t="n"/>
    </row>
    <row r="206" ht="15.75" customHeight="1" s="74">
      <c r="B206" s="13" t="n"/>
      <c r="C206" s="24" t="n"/>
      <c r="D206" s="25" t="n"/>
    </row>
    <row r="207" ht="15.75" customHeight="1" s="74">
      <c r="B207" s="13" t="n"/>
      <c r="C207" s="24" t="n"/>
      <c r="D207" s="25" t="n"/>
    </row>
    <row r="208" ht="15.75" customHeight="1" s="74">
      <c r="B208" s="13" t="n"/>
      <c r="C208" s="24" t="n"/>
      <c r="D208" s="25" t="n"/>
    </row>
    <row r="209" ht="15.75" customHeight="1" s="74">
      <c r="B209" s="13" t="n"/>
      <c r="C209" s="24" t="n"/>
      <c r="D209" s="25" t="n"/>
    </row>
    <row r="210" ht="15.75" customHeight="1" s="74">
      <c r="B210" s="13" t="n"/>
      <c r="C210" s="24" t="n"/>
      <c r="D210" s="25" t="n"/>
    </row>
    <row r="211" ht="15.75" customHeight="1" s="74">
      <c r="B211" s="13" t="n"/>
      <c r="C211" s="24" t="n"/>
      <c r="D211" s="25" t="n"/>
    </row>
    <row r="212" ht="15.75" customHeight="1" s="74">
      <c r="B212" s="13" t="n"/>
      <c r="C212" s="24" t="n"/>
      <c r="D212" s="25" t="n"/>
    </row>
    <row r="213" ht="15.75" customHeight="1" s="74">
      <c r="B213" s="13" t="n"/>
      <c r="C213" s="24" t="n"/>
      <c r="D213" s="25" t="n"/>
    </row>
    <row r="214" ht="15.75" customHeight="1" s="74">
      <c r="B214" s="13" t="n"/>
      <c r="C214" s="24" t="n"/>
      <c r="D214" s="25" t="n"/>
    </row>
    <row r="215" ht="15.75" customHeight="1" s="74">
      <c r="B215" s="13" t="n"/>
      <c r="C215" s="24" t="n"/>
      <c r="D215" s="25" t="n"/>
    </row>
    <row r="216" ht="15.75" customHeight="1" s="74">
      <c r="B216" s="13" t="n"/>
      <c r="C216" s="24" t="n"/>
      <c r="D216" s="25" t="n"/>
    </row>
    <row r="217" ht="15.75" customHeight="1" s="74">
      <c r="B217" s="13" t="n"/>
      <c r="C217" s="24" t="n"/>
      <c r="D217" s="25" t="n"/>
    </row>
    <row r="218" ht="15.75" customHeight="1" s="74">
      <c r="B218" s="13" t="n"/>
      <c r="C218" s="24" t="n"/>
      <c r="D218" s="25" t="n"/>
    </row>
    <row r="219" ht="15.75" customHeight="1" s="74">
      <c r="B219" s="13" t="n"/>
      <c r="C219" s="24" t="n"/>
      <c r="D219" s="25" t="n"/>
    </row>
    <row r="220" ht="15.75" customHeight="1" s="74">
      <c r="B220" s="13" t="n"/>
      <c r="C220" s="24" t="n"/>
      <c r="D220" s="25" t="n"/>
    </row>
    <row r="221" ht="15.75" customHeight="1" s="74">
      <c r="B221" s="13" t="n"/>
      <c r="C221" s="24" t="n"/>
      <c r="D221" s="25" t="n"/>
    </row>
    <row r="222" ht="15.75" customHeight="1" s="74">
      <c r="B222" s="13" t="n"/>
      <c r="C222" s="24" t="n"/>
      <c r="D222" s="25" t="n"/>
    </row>
    <row r="223" ht="15.75" customHeight="1" s="74">
      <c r="B223" s="13" t="n"/>
      <c r="C223" s="24" t="n"/>
      <c r="D223" s="25" t="n"/>
    </row>
    <row r="224" ht="15.75" customHeight="1" s="74">
      <c r="B224" s="13" t="n"/>
      <c r="C224" s="24" t="n"/>
      <c r="D224" s="25" t="n"/>
    </row>
    <row r="225" ht="15.75" customHeight="1" s="74">
      <c r="B225" s="13" t="n"/>
      <c r="C225" s="24" t="n"/>
      <c r="D225" s="25" t="n"/>
    </row>
    <row r="226" ht="15.75" customHeight="1" s="74">
      <c r="B226" s="13" t="n"/>
      <c r="C226" s="24" t="n"/>
      <c r="D226" s="25" t="n"/>
    </row>
    <row r="227" ht="15.75" customHeight="1" s="74">
      <c r="B227" s="13" t="n"/>
      <c r="C227" s="24" t="n"/>
      <c r="D227" s="25" t="n"/>
    </row>
    <row r="228" ht="15.75" customHeight="1" s="74">
      <c r="B228" s="13" t="n"/>
      <c r="C228" s="24" t="n"/>
      <c r="D228" s="25" t="n"/>
    </row>
    <row r="229" ht="15.75" customHeight="1" s="74">
      <c r="B229" s="13" t="n"/>
      <c r="C229" s="24" t="n"/>
      <c r="D229" s="25" t="n"/>
    </row>
    <row r="230" ht="15.75" customHeight="1" s="74">
      <c r="B230" s="13" t="n"/>
      <c r="C230" s="24" t="n"/>
      <c r="D230" s="25" t="n"/>
    </row>
    <row r="231" ht="15.75" customHeight="1" s="74">
      <c r="B231" s="13" t="n"/>
      <c r="C231" s="24" t="n"/>
      <c r="D231" s="25" t="n"/>
    </row>
    <row r="232" ht="15.75" customHeight="1" s="74">
      <c r="B232" s="13" t="n"/>
      <c r="C232" s="24" t="n"/>
      <c r="D232" s="25" t="n"/>
    </row>
    <row r="233" ht="15.75" customHeight="1" s="74">
      <c r="B233" s="13" t="n"/>
      <c r="C233" s="24" t="n"/>
      <c r="D233" s="25" t="n"/>
    </row>
    <row r="234" ht="15.75" customHeight="1" s="74">
      <c r="B234" s="13" t="n"/>
      <c r="C234" s="24" t="n"/>
      <c r="D234" s="25" t="n"/>
    </row>
    <row r="235" ht="15.75" customHeight="1" s="74">
      <c r="B235" s="13" t="n"/>
      <c r="C235" s="24" t="n"/>
      <c r="D235" s="25" t="n"/>
    </row>
    <row r="236" ht="15.75" customHeight="1" s="74">
      <c r="B236" s="13" t="n"/>
      <c r="C236" s="24" t="n"/>
      <c r="D236" s="25" t="n"/>
    </row>
    <row r="237" ht="15.75" customHeight="1" s="74">
      <c r="B237" s="13" t="n"/>
      <c r="C237" s="24" t="n"/>
      <c r="D237" s="25" t="n"/>
    </row>
    <row r="238" ht="15.75" customHeight="1" s="74">
      <c r="B238" s="13" t="n"/>
      <c r="C238" s="24" t="n"/>
      <c r="D238" s="25" t="n"/>
    </row>
    <row r="239" ht="15.75" customHeight="1" s="74">
      <c r="B239" s="13" t="n"/>
      <c r="C239" s="24" t="n"/>
      <c r="D239" s="25" t="n"/>
    </row>
    <row r="240" ht="15.75" customHeight="1" s="74">
      <c r="B240" s="13" t="n"/>
      <c r="C240" s="24" t="n"/>
      <c r="D240" s="25" t="n"/>
    </row>
    <row r="241" ht="15.75" customHeight="1" s="74">
      <c r="B241" s="13" t="n"/>
      <c r="C241" s="24" t="n"/>
      <c r="D241" s="25" t="n"/>
    </row>
    <row r="242" ht="15.75" customHeight="1" s="74">
      <c r="B242" s="13" t="n"/>
      <c r="C242" s="24" t="n"/>
      <c r="D242" s="25" t="n"/>
    </row>
    <row r="243" ht="15.75" customHeight="1" s="74">
      <c r="B243" s="13" t="n"/>
      <c r="C243" s="24" t="n"/>
      <c r="D243" s="25" t="n"/>
    </row>
    <row r="244" ht="15.75" customHeight="1" s="74">
      <c r="B244" s="13" t="n"/>
      <c r="C244" s="24" t="n"/>
      <c r="D244" s="25" t="n"/>
    </row>
    <row r="245" ht="15.75" customHeight="1" s="74">
      <c r="B245" s="13" t="n"/>
      <c r="C245" s="24" t="n"/>
      <c r="D245" s="25" t="n"/>
    </row>
    <row r="246" ht="15.75" customHeight="1" s="74">
      <c r="B246" s="13" t="n"/>
      <c r="C246" s="24" t="n"/>
      <c r="D246" s="25" t="n"/>
    </row>
    <row r="247" ht="15.75" customHeight="1" s="74">
      <c r="B247" s="13" t="n"/>
      <c r="C247" s="24" t="n"/>
      <c r="D247" s="25" t="n"/>
    </row>
    <row r="248" ht="15.75" customHeight="1" s="74">
      <c r="B248" s="13" t="n"/>
      <c r="C248" s="24" t="n"/>
      <c r="D248" s="25" t="n"/>
    </row>
    <row r="249" ht="15.75" customHeight="1" s="74">
      <c r="B249" s="13" t="n"/>
      <c r="C249" s="24" t="n"/>
      <c r="D249" s="25" t="n"/>
    </row>
    <row r="250" ht="15.75" customHeight="1" s="74">
      <c r="B250" s="13" t="n"/>
      <c r="C250" s="24" t="n"/>
      <c r="D250" s="25" t="n"/>
    </row>
    <row r="251" ht="15.75" customHeight="1" s="74">
      <c r="B251" s="13" t="n"/>
      <c r="C251" s="24" t="n"/>
      <c r="D251" s="25" t="n"/>
    </row>
    <row r="252" ht="15.75" customHeight="1" s="74">
      <c r="B252" s="13" t="n"/>
      <c r="C252" s="24" t="n"/>
      <c r="D252" s="25" t="n"/>
    </row>
    <row r="253" ht="15.75" customHeight="1" s="74">
      <c r="B253" s="13" t="n"/>
      <c r="C253" s="24" t="n"/>
      <c r="D253" s="25" t="n"/>
    </row>
    <row r="254" ht="15.75" customHeight="1" s="74">
      <c r="B254" s="13" t="n"/>
      <c r="C254" s="24" t="n"/>
      <c r="D254" s="25" t="n"/>
    </row>
    <row r="255" ht="15.75" customHeight="1" s="74">
      <c r="B255" s="13" t="n"/>
      <c r="C255" s="24" t="n"/>
      <c r="D255" s="25" t="n"/>
    </row>
    <row r="256" ht="15.75" customHeight="1" s="74">
      <c r="B256" s="13" t="n"/>
      <c r="C256" s="24" t="n"/>
      <c r="D256" s="25" t="n"/>
    </row>
    <row r="257" ht="15.75" customHeight="1" s="74">
      <c r="B257" s="13" t="n"/>
      <c r="C257" s="24" t="n"/>
      <c r="D257" s="25" t="n"/>
    </row>
    <row r="258" ht="15.75" customHeight="1" s="74">
      <c r="B258" s="13" t="n"/>
      <c r="C258" s="24" t="n"/>
      <c r="D258" s="25" t="n"/>
    </row>
    <row r="259" ht="15.75" customHeight="1" s="74">
      <c r="B259" s="13" t="n"/>
      <c r="C259" s="24" t="n"/>
      <c r="D259" s="25" t="n"/>
    </row>
    <row r="260" ht="15.75" customHeight="1" s="74">
      <c r="B260" s="13" t="n"/>
      <c r="C260" s="24" t="n"/>
      <c r="D260" s="25" t="n"/>
    </row>
    <row r="261" ht="15.75" customHeight="1" s="74">
      <c r="B261" s="13" t="n"/>
      <c r="C261" s="24" t="n"/>
      <c r="D261" s="25" t="n"/>
    </row>
    <row r="262" ht="15.75" customHeight="1" s="74">
      <c r="B262" s="13" t="n"/>
      <c r="C262" s="24" t="n"/>
      <c r="D262" s="25" t="n"/>
    </row>
    <row r="263" ht="15.75" customHeight="1" s="74">
      <c r="B263" s="13" t="n"/>
      <c r="C263" s="24" t="n"/>
      <c r="D263" s="25" t="n"/>
    </row>
    <row r="264" ht="15.75" customHeight="1" s="74">
      <c r="B264" s="13" t="n"/>
      <c r="C264" s="24" t="n"/>
      <c r="D264" s="25" t="n"/>
    </row>
    <row r="265" ht="15.75" customHeight="1" s="74">
      <c r="B265" s="13" t="n"/>
      <c r="C265" s="24" t="n"/>
      <c r="D265" s="25" t="n"/>
    </row>
    <row r="266" ht="15.75" customHeight="1" s="74">
      <c r="B266" s="13" t="n"/>
      <c r="C266" s="24" t="n"/>
      <c r="D266" s="25" t="n"/>
    </row>
    <row r="267" ht="15.75" customHeight="1" s="74">
      <c r="B267" s="13" t="n"/>
      <c r="C267" s="24" t="n"/>
      <c r="D267" s="25" t="n"/>
    </row>
    <row r="268" ht="15.75" customHeight="1" s="74">
      <c r="B268" s="13" t="n"/>
      <c r="C268" s="24" t="n"/>
      <c r="D268" s="25" t="n"/>
    </row>
    <row r="269" ht="15.75" customHeight="1" s="74">
      <c r="B269" s="13" t="n"/>
      <c r="C269" s="24" t="n"/>
      <c r="D269" s="25" t="n"/>
    </row>
    <row r="270" ht="15.75" customHeight="1" s="74">
      <c r="B270" s="13" t="n"/>
      <c r="C270" s="24" t="n"/>
      <c r="D270" s="25" t="n"/>
    </row>
    <row r="271" ht="15.75" customHeight="1" s="74">
      <c r="B271" s="13" t="n"/>
      <c r="C271" s="24" t="n"/>
      <c r="D271" s="25" t="n"/>
    </row>
    <row r="272" ht="15.75" customHeight="1" s="74">
      <c r="B272" s="13" t="n"/>
      <c r="C272" s="24" t="n"/>
      <c r="D272" s="25" t="n"/>
    </row>
    <row r="273" ht="15.75" customHeight="1" s="74">
      <c r="B273" s="13" t="n"/>
      <c r="C273" s="24" t="n"/>
      <c r="D273" s="25" t="n"/>
    </row>
    <row r="274" ht="15.75" customHeight="1" s="74">
      <c r="B274" s="13" t="n"/>
      <c r="C274" s="24" t="n"/>
      <c r="D274" s="25" t="n"/>
    </row>
    <row r="275" ht="15.75" customHeight="1" s="74">
      <c r="B275" s="13" t="n"/>
      <c r="C275" s="24" t="n"/>
      <c r="D275" s="25" t="n"/>
    </row>
    <row r="276" ht="15.75" customHeight="1" s="74">
      <c r="B276" s="13" t="n"/>
      <c r="C276" s="24" t="n"/>
      <c r="D276" s="25" t="n"/>
    </row>
    <row r="277" ht="15.75" customHeight="1" s="74">
      <c r="B277" s="13" t="n"/>
      <c r="C277" s="24" t="n"/>
      <c r="D277" s="25" t="n"/>
    </row>
    <row r="278" ht="15.75" customHeight="1" s="74">
      <c r="B278" s="13" t="n"/>
      <c r="C278" s="24" t="n"/>
      <c r="D278" s="25" t="n"/>
    </row>
    <row r="279" ht="15.75" customHeight="1" s="74">
      <c r="B279" s="13" t="n"/>
      <c r="C279" s="24" t="n"/>
      <c r="D279" s="25" t="n"/>
    </row>
    <row r="280" ht="15.75" customHeight="1" s="74">
      <c r="B280" s="13" t="n"/>
      <c r="C280" s="24" t="n"/>
      <c r="D280" s="25" t="n"/>
    </row>
    <row r="281" ht="15.75" customHeight="1" s="74">
      <c r="B281" s="13" t="n"/>
      <c r="C281" s="24" t="n"/>
      <c r="D281" s="25" t="n"/>
    </row>
    <row r="282" ht="15.75" customHeight="1" s="74">
      <c r="B282" s="13" t="n"/>
      <c r="C282" s="24" t="n"/>
      <c r="D282" s="25" t="n"/>
    </row>
    <row r="283" ht="15.75" customHeight="1" s="74">
      <c r="B283" s="13" t="n"/>
      <c r="C283" s="24" t="n"/>
      <c r="D283" s="25" t="n"/>
    </row>
    <row r="284" ht="15.75" customHeight="1" s="74">
      <c r="B284" s="13" t="n"/>
      <c r="C284" s="24" t="n"/>
      <c r="D284" s="25" t="n"/>
    </row>
    <row r="285" ht="15.75" customHeight="1" s="74">
      <c r="B285" s="13" t="n"/>
      <c r="C285" s="24" t="n"/>
      <c r="D285" s="25" t="n"/>
    </row>
    <row r="286" ht="15.75" customHeight="1" s="74">
      <c r="B286" s="13" t="n"/>
      <c r="C286" s="24" t="n"/>
      <c r="D286" s="25" t="n"/>
    </row>
    <row r="287" ht="15.75" customHeight="1" s="74">
      <c r="B287" s="13" t="n"/>
      <c r="C287" s="24" t="n"/>
      <c r="D287" s="25" t="n"/>
    </row>
    <row r="288" ht="15.75" customHeight="1" s="74">
      <c r="B288" s="13" t="n"/>
      <c r="C288" s="24" t="n"/>
      <c r="D288" s="25" t="n"/>
    </row>
    <row r="289" ht="15.75" customHeight="1" s="74">
      <c r="B289" s="13" t="n"/>
      <c r="C289" s="24" t="n"/>
      <c r="D289" s="25" t="n"/>
    </row>
    <row r="290" ht="15.75" customHeight="1" s="74">
      <c r="B290" s="13" t="n"/>
      <c r="C290" s="24" t="n"/>
      <c r="D290" s="25" t="n"/>
    </row>
    <row r="291" ht="15.75" customHeight="1" s="74">
      <c r="B291" s="13" t="n"/>
      <c r="C291" s="24" t="n"/>
      <c r="D291" s="25" t="n"/>
    </row>
    <row r="292" ht="15.75" customHeight="1" s="74">
      <c r="B292" s="13" t="n"/>
      <c r="C292" s="24" t="n"/>
      <c r="D292" s="25" t="n"/>
    </row>
    <row r="293" ht="15.75" customHeight="1" s="74">
      <c r="B293" s="13" t="n"/>
      <c r="C293" s="24" t="n"/>
      <c r="D293" s="25" t="n"/>
    </row>
    <row r="294" ht="15.75" customHeight="1" s="74">
      <c r="B294" s="13" t="n"/>
      <c r="C294" s="24" t="n"/>
      <c r="D294" s="25" t="n"/>
    </row>
    <row r="295" ht="15.75" customHeight="1" s="74">
      <c r="B295" s="13" t="n"/>
      <c r="C295" s="24" t="n"/>
      <c r="D295" s="25" t="n"/>
    </row>
    <row r="296" ht="15.75" customHeight="1" s="74">
      <c r="B296" s="13" t="n"/>
      <c r="C296" s="24" t="n"/>
      <c r="D296" s="25" t="n"/>
    </row>
    <row r="297" ht="15.75" customHeight="1" s="74">
      <c r="B297" s="13" t="n"/>
      <c r="C297" s="24" t="n"/>
      <c r="D297" s="25" t="n"/>
    </row>
    <row r="298" ht="15.75" customHeight="1" s="74">
      <c r="B298" s="13" t="n"/>
      <c r="C298" s="24" t="n"/>
      <c r="D298" s="25" t="n"/>
    </row>
    <row r="299" ht="15.75" customHeight="1" s="74">
      <c r="B299" s="13" t="n"/>
      <c r="C299" s="24" t="n"/>
      <c r="D299" s="25" t="n"/>
    </row>
    <row r="300" ht="15.75" customHeight="1" s="74">
      <c r="B300" s="13" t="n"/>
      <c r="C300" s="24" t="n"/>
      <c r="D300" s="25" t="n"/>
    </row>
    <row r="301" ht="15.75" customHeight="1" s="74">
      <c r="B301" s="13" t="n"/>
      <c r="C301" s="24" t="n"/>
      <c r="D301" s="25" t="n"/>
    </row>
    <row r="302" ht="15.75" customHeight="1" s="74">
      <c r="B302" s="13" t="n"/>
      <c r="C302" s="24" t="n"/>
      <c r="D302" s="25" t="n"/>
    </row>
    <row r="303" ht="15.75" customHeight="1" s="74">
      <c r="B303" s="13" t="n"/>
      <c r="C303" s="24" t="n"/>
      <c r="D303" s="25" t="n"/>
    </row>
    <row r="304" ht="15.75" customHeight="1" s="74">
      <c r="B304" s="13" t="n"/>
      <c r="C304" s="24" t="n"/>
      <c r="D304" s="25" t="n"/>
    </row>
    <row r="305" ht="15.75" customHeight="1" s="74">
      <c r="B305" s="13" t="n"/>
      <c r="C305" s="24" t="n"/>
      <c r="D305" s="25" t="n"/>
    </row>
    <row r="306" ht="15.75" customHeight="1" s="74">
      <c r="B306" s="13" t="n"/>
      <c r="C306" s="24" t="n"/>
      <c r="D306" s="25" t="n"/>
    </row>
    <row r="307" ht="15.75" customHeight="1" s="74">
      <c r="B307" s="13" t="n"/>
      <c r="C307" s="24" t="n"/>
      <c r="D307" s="25" t="n"/>
    </row>
    <row r="308" ht="15.75" customHeight="1" s="74">
      <c r="B308" s="13" t="n"/>
      <c r="C308" s="24" t="n"/>
      <c r="D308" s="25" t="n"/>
    </row>
    <row r="309" ht="15.75" customHeight="1" s="74">
      <c r="B309" s="13" t="n"/>
      <c r="C309" s="24" t="n"/>
      <c r="D309" s="25" t="n"/>
    </row>
    <row r="310" ht="15.75" customHeight="1" s="74">
      <c r="B310" s="13" t="n"/>
      <c r="C310" s="24" t="n"/>
      <c r="D310" s="25" t="n"/>
    </row>
    <row r="311" ht="15.75" customHeight="1" s="74">
      <c r="B311" s="13" t="n"/>
      <c r="C311" s="24" t="n"/>
      <c r="D311" s="25" t="n"/>
    </row>
    <row r="312" ht="15.75" customHeight="1" s="74">
      <c r="B312" s="13" t="n"/>
      <c r="C312" s="24" t="n"/>
      <c r="D312" s="25" t="n"/>
    </row>
    <row r="313" ht="15.75" customHeight="1" s="74">
      <c r="B313" s="13" t="n"/>
      <c r="C313" s="24" t="n"/>
      <c r="D313" s="25" t="n"/>
    </row>
    <row r="314" ht="15.75" customHeight="1" s="74">
      <c r="B314" s="13" t="n"/>
      <c r="C314" s="24" t="n"/>
      <c r="D314" s="25" t="n"/>
    </row>
    <row r="315" ht="15.75" customHeight="1" s="74">
      <c r="B315" s="13" t="n"/>
      <c r="C315" s="24" t="n"/>
      <c r="D315" s="25" t="n"/>
    </row>
    <row r="316" ht="15.75" customHeight="1" s="74">
      <c r="B316" s="13" t="n"/>
      <c r="C316" s="24" t="n"/>
      <c r="D316" s="25" t="n"/>
    </row>
    <row r="317" ht="15.75" customHeight="1" s="74">
      <c r="B317" s="13" t="n"/>
      <c r="C317" s="24" t="n"/>
      <c r="D317" s="25" t="n"/>
    </row>
    <row r="318" ht="15.75" customHeight="1" s="74">
      <c r="B318" s="13" t="n"/>
      <c r="C318" s="24" t="n"/>
      <c r="D318" s="25" t="n"/>
    </row>
    <row r="319" ht="15.75" customHeight="1" s="74">
      <c r="B319" s="13" t="n"/>
      <c r="C319" s="24" t="n"/>
      <c r="D319" s="25" t="n"/>
    </row>
    <row r="320" ht="15.75" customHeight="1" s="74">
      <c r="B320" s="13" t="n"/>
      <c r="C320" s="24" t="n"/>
      <c r="D320" s="25" t="n"/>
    </row>
    <row r="321" ht="15.75" customHeight="1" s="74">
      <c r="B321" s="13" t="n"/>
      <c r="C321" s="24" t="n"/>
      <c r="D321" s="25" t="n"/>
    </row>
    <row r="322" ht="15.75" customHeight="1" s="74">
      <c r="B322" s="13" t="n"/>
      <c r="C322" s="24" t="n"/>
      <c r="D322" s="25" t="n"/>
    </row>
    <row r="323" ht="15.75" customHeight="1" s="74">
      <c r="B323" s="13" t="n"/>
      <c r="C323" s="24" t="n"/>
      <c r="D323" s="25" t="n"/>
    </row>
    <row r="324" ht="15.75" customHeight="1" s="74">
      <c r="B324" s="13" t="n"/>
      <c r="C324" s="24" t="n"/>
      <c r="D324" s="25" t="n"/>
    </row>
    <row r="325" ht="15.75" customHeight="1" s="74">
      <c r="B325" s="13" t="n"/>
      <c r="C325" s="24" t="n"/>
      <c r="D325" s="25" t="n"/>
    </row>
    <row r="326" ht="15.75" customHeight="1" s="74">
      <c r="B326" s="13" t="n"/>
      <c r="C326" s="24" t="n"/>
      <c r="D326" s="25" t="n"/>
    </row>
    <row r="327" ht="15.75" customHeight="1" s="74">
      <c r="B327" s="13" t="n"/>
      <c r="C327" s="24" t="n"/>
      <c r="D327" s="25" t="n"/>
    </row>
    <row r="328" ht="15.75" customHeight="1" s="74">
      <c r="B328" s="13" t="n"/>
      <c r="C328" s="24" t="n"/>
      <c r="D328" s="25" t="n"/>
    </row>
    <row r="329" ht="15.75" customHeight="1" s="74">
      <c r="B329" s="13" t="n"/>
      <c r="C329" s="24" t="n"/>
      <c r="D329" s="25" t="n"/>
    </row>
    <row r="330" ht="15.75" customHeight="1" s="74">
      <c r="B330" s="13" t="n"/>
      <c r="C330" s="24" t="n"/>
      <c r="D330" s="25" t="n"/>
    </row>
    <row r="331" ht="15.75" customHeight="1" s="74">
      <c r="B331" s="13" t="n"/>
      <c r="C331" s="24" t="n"/>
      <c r="D331" s="25" t="n"/>
    </row>
    <row r="332" ht="15.75" customHeight="1" s="74">
      <c r="B332" s="13" t="n"/>
      <c r="C332" s="24" t="n"/>
      <c r="D332" s="25" t="n"/>
    </row>
    <row r="333" ht="15.75" customHeight="1" s="74">
      <c r="B333" s="13" t="n"/>
      <c r="C333" s="24" t="n"/>
      <c r="D333" s="25" t="n"/>
    </row>
    <row r="334" ht="15.75" customHeight="1" s="74">
      <c r="B334" s="13" t="n"/>
      <c r="C334" s="24" t="n"/>
      <c r="D334" s="25" t="n"/>
    </row>
    <row r="335" ht="15.75" customHeight="1" s="74">
      <c r="B335" s="13" t="n"/>
      <c r="C335" s="24" t="n"/>
      <c r="D335" s="25" t="n"/>
    </row>
    <row r="336" ht="15.75" customHeight="1" s="74">
      <c r="B336" s="13" t="n"/>
      <c r="C336" s="24" t="n"/>
      <c r="D336" s="25" t="n"/>
    </row>
    <row r="337" ht="15.75" customHeight="1" s="74">
      <c r="B337" s="13" t="n"/>
      <c r="C337" s="24" t="n"/>
      <c r="D337" s="25" t="n"/>
    </row>
    <row r="338" ht="15.75" customHeight="1" s="74">
      <c r="B338" s="13" t="n"/>
      <c r="C338" s="24" t="n"/>
      <c r="D338" s="25" t="n"/>
    </row>
    <row r="339" ht="15.75" customHeight="1" s="74">
      <c r="B339" s="13" t="n"/>
      <c r="C339" s="24" t="n"/>
      <c r="D339" s="25" t="n"/>
    </row>
    <row r="340" ht="15.75" customHeight="1" s="74">
      <c r="B340" s="13" t="n"/>
      <c r="C340" s="24" t="n"/>
      <c r="D340" s="25" t="n"/>
    </row>
    <row r="341" ht="15.75" customHeight="1" s="74">
      <c r="B341" s="13" t="n"/>
      <c r="C341" s="24" t="n"/>
      <c r="D341" s="25" t="n"/>
    </row>
    <row r="342" ht="15.75" customHeight="1" s="74">
      <c r="B342" s="13" t="n"/>
      <c r="C342" s="24" t="n"/>
      <c r="D342" s="25" t="n"/>
    </row>
    <row r="343" ht="15.75" customHeight="1" s="74">
      <c r="B343" s="13" t="n"/>
      <c r="C343" s="24" t="n"/>
      <c r="D343" s="25" t="n"/>
    </row>
    <row r="344" ht="15.75" customHeight="1" s="74">
      <c r="B344" s="13" t="n"/>
      <c r="C344" s="24" t="n"/>
      <c r="D344" s="25" t="n"/>
    </row>
    <row r="345" ht="15.75" customHeight="1" s="74">
      <c r="B345" s="13" t="n"/>
      <c r="C345" s="24" t="n"/>
      <c r="D345" s="25" t="n"/>
    </row>
    <row r="346" ht="15.75" customHeight="1" s="74">
      <c r="B346" s="13" t="n"/>
      <c r="C346" s="24" t="n"/>
      <c r="D346" s="25" t="n"/>
    </row>
    <row r="347" ht="15.75" customHeight="1" s="74">
      <c r="B347" s="13" t="n"/>
      <c r="C347" s="24" t="n"/>
      <c r="D347" s="25" t="n"/>
    </row>
    <row r="348" ht="15.75" customHeight="1" s="74">
      <c r="B348" s="13" t="n"/>
      <c r="C348" s="24" t="n"/>
      <c r="D348" s="25" t="n"/>
    </row>
    <row r="349" ht="15.75" customHeight="1" s="74">
      <c r="B349" s="13" t="n"/>
      <c r="C349" s="24" t="n"/>
      <c r="D349" s="25" t="n"/>
    </row>
    <row r="350" ht="15.75" customHeight="1" s="74">
      <c r="B350" s="13" t="n"/>
      <c r="C350" s="24" t="n"/>
      <c r="D350" s="25" t="n"/>
    </row>
    <row r="351" ht="15.75" customHeight="1" s="74">
      <c r="B351" s="13" t="n"/>
      <c r="C351" s="24" t="n"/>
      <c r="D351" s="25" t="n"/>
    </row>
    <row r="352" ht="15.75" customHeight="1" s="74">
      <c r="B352" s="13" t="n"/>
      <c r="C352" s="24" t="n"/>
      <c r="D352" s="25" t="n"/>
    </row>
    <row r="353" ht="15.75" customHeight="1" s="74">
      <c r="B353" s="13" t="n"/>
      <c r="C353" s="24" t="n"/>
      <c r="D353" s="25" t="n"/>
    </row>
    <row r="354" ht="15.75" customHeight="1" s="74">
      <c r="B354" s="13" t="n"/>
      <c r="C354" s="24" t="n"/>
      <c r="D354" s="25" t="n"/>
    </row>
    <row r="355" ht="15.75" customHeight="1" s="74">
      <c r="B355" s="13" t="n"/>
      <c r="C355" s="24" t="n"/>
      <c r="D355" s="25" t="n"/>
    </row>
    <row r="356" ht="15.75" customHeight="1" s="74">
      <c r="B356" s="13" t="n"/>
      <c r="C356" s="24" t="n"/>
      <c r="D356" s="25" t="n"/>
    </row>
    <row r="357" ht="15.75" customHeight="1" s="74">
      <c r="B357" s="13" t="n"/>
      <c r="C357" s="24" t="n"/>
      <c r="D357" s="25" t="n"/>
    </row>
    <row r="358" ht="15.75" customHeight="1" s="74">
      <c r="B358" s="13" t="n"/>
      <c r="C358" s="24" t="n"/>
      <c r="D358" s="25" t="n"/>
    </row>
    <row r="359" ht="15.75" customHeight="1" s="74">
      <c r="B359" s="13" t="n"/>
      <c r="C359" s="24" t="n"/>
      <c r="D359" s="25" t="n"/>
    </row>
    <row r="360" ht="15.75" customHeight="1" s="74">
      <c r="B360" s="13" t="n"/>
      <c r="C360" s="24" t="n"/>
      <c r="D360" s="25" t="n"/>
    </row>
    <row r="361" ht="15.75" customHeight="1" s="74">
      <c r="B361" s="13" t="n"/>
      <c r="C361" s="24" t="n"/>
      <c r="D361" s="25" t="n"/>
    </row>
    <row r="362" ht="15.75" customHeight="1" s="74">
      <c r="B362" s="13" t="n"/>
      <c r="C362" s="24" t="n"/>
      <c r="D362" s="25" t="n"/>
    </row>
    <row r="363" ht="15.75" customHeight="1" s="74">
      <c r="B363" s="13" t="n"/>
      <c r="C363" s="24" t="n"/>
      <c r="D363" s="25" t="n"/>
    </row>
    <row r="364" ht="15.75" customHeight="1" s="74">
      <c r="B364" s="13" t="n"/>
      <c r="C364" s="24" t="n"/>
      <c r="D364" s="25" t="n"/>
    </row>
    <row r="365" ht="15.75" customHeight="1" s="74">
      <c r="B365" s="13" t="n"/>
      <c r="C365" s="24" t="n"/>
      <c r="D365" s="25" t="n"/>
    </row>
    <row r="366" ht="15.75" customHeight="1" s="74">
      <c r="B366" s="13" t="n"/>
      <c r="C366" s="24" t="n"/>
      <c r="D366" s="25" t="n"/>
    </row>
    <row r="367" ht="15.75" customHeight="1" s="74">
      <c r="B367" s="13" t="n"/>
      <c r="C367" s="24" t="n"/>
      <c r="D367" s="25" t="n"/>
    </row>
    <row r="368" ht="15.75" customHeight="1" s="74">
      <c r="B368" s="13" t="n"/>
      <c r="C368" s="24" t="n"/>
      <c r="D368" s="25" t="n"/>
    </row>
    <row r="369" ht="15.75" customHeight="1" s="74">
      <c r="B369" s="13" t="n"/>
      <c r="C369" s="24" t="n"/>
      <c r="D369" s="25" t="n"/>
    </row>
    <row r="370" ht="15.75" customHeight="1" s="74">
      <c r="B370" s="13" t="n"/>
      <c r="C370" s="24" t="n"/>
      <c r="D370" s="25" t="n"/>
    </row>
    <row r="371" ht="15.75" customHeight="1" s="74">
      <c r="B371" s="13" t="n"/>
      <c r="C371" s="24" t="n"/>
      <c r="D371" s="25" t="n"/>
    </row>
    <row r="372" ht="15.75" customHeight="1" s="74">
      <c r="B372" s="13" t="n"/>
      <c r="C372" s="24" t="n"/>
      <c r="D372" s="25" t="n"/>
    </row>
    <row r="373" ht="15.75" customHeight="1" s="74">
      <c r="B373" s="13" t="n"/>
      <c r="C373" s="24" t="n"/>
      <c r="D373" s="25" t="n"/>
    </row>
    <row r="374" ht="15.75" customHeight="1" s="74">
      <c r="B374" s="13" t="n"/>
      <c r="C374" s="24" t="n"/>
      <c r="D374" s="25" t="n"/>
    </row>
    <row r="375" ht="15.75" customHeight="1" s="74">
      <c r="B375" s="13" t="n"/>
      <c r="C375" s="24" t="n"/>
      <c r="D375" s="25" t="n"/>
    </row>
    <row r="376" ht="15.75" customHeight="1" s="74">
      <c r="B376" s="13" t="n"/>
      <c r="C376" s="24" t="n"/>
      <c r="D376" s="25" t="n"/>
    </row>
    <row r="377" ht="15.75" customHeight="1" s="74">
      <c r="B377" s="13" t="n"/>
      <c r="C377" s="24" t="n"/>
      <c r="D377" s="25" t="n"/>
    </row>
    <row r="378" ht="15.75" customHeight="1" s="74">
      <c r="B378" s="13" t="n"/>
      <c r="C378" s="24" t="n"/>
      <c r="D378" s="25" t="n"/>
    </row>
    <row r="379" ht="15.75" customHeight="1" s="74">
      <c r="B379" s="13" t="n"/>
      <c r="C379" s="24" t="n"/>
      <c r="D379" s="25" t="n"/>
    </row>
    <row r="380" ht="15.75" customHeight="1" s="74">
      <c r="B380" s="13" t="n"/>
      <c r="C380" s="24" t="n"/>
      <c r="D380" s="25" t="n"/>
    </row>
    <row r="381" ht="15.75" customHeight="1" s="74">
      <c r="B381" s="13" t="n"/>
      <c r="C381" s="24" t="n"/>
      <c r="D381" s="25" t="n"/>
    </row>
    <row r="382" ht="15.75" customHeight="1" s="74">
      <c r="B382" s="13" t="n"/>
      <c r="C382" s="24" t="n"/>
      <c r="D382" s="25" t="n"/>
    </row>
    <row r="383" ht="15.75" customHeight="1" s="74">
      <c r="B383" s="13" t="n"/>
      <c r="C383" s="24" t="n"/>
      <c r="D383" s="25" t="n"/>
    </row>
    <row r="384" ht="15.75" customHeight="1" s="74">
      <c r="B384" s="13" t="n"/>
      <c r="C384" s="24" t="n"/>
      <c r="D384" s="25" t="n"/>
    </row>
    <row r="385" ht="15.75" customHeight="1" s="74">
      <c r="B385" s="13" t="n"/>
      <c r="C385" s="24" t="n"/>
      <c r="D385" s="25" t="n"/>
    </row>
    <row r="386" ht="15.75" customHeight="1" s="74">
      <c r="B386" s="13" t="n"/>
      <c r="C386" s="24" t="n"/>
      <c r="D386" s="25" t="n"/>
    </row>
    <row r="387" ht="15.75" customHeight="1" s="74">
      <c r="B387" s="13" t="n"/>
      <c r="C387" s="24" t="n"/>
      <c r="D387" s="25" t="n"/>
    </row>
    <row r="388" ht="15.75" customHeight="1" s="74">
      <c r="B388" s="13" t="n"/>
      <c r="C388" s="24" t="n"/>
      <c r="D388" s="25" t="n"/>
    </row>
    <row r="389" ht="15.75" customHeight="1" s="74">
      <c r="B389" s="13" t="n"/>
      <c r="C389" s="24" t="n"/>
      <c r="D389" s="25" t="n"/>
    </row>
    <row r="390" ht="15.75" customHeight="1" s="74">
      <c r="B390" s="13" t="n"/>
      <c r="C390" s="24" t="n"/>
      <c r="D390" s="25" t="n"/>
    </row>
    <row r="391" ht="15.75" customHeight="1" s="74">
      <c r="B391" s="13" t="n"/>
      <c r="C391" s="24" t="n"/>
      <c r="D391" s="25" t="n"/>
    </row>
    <row r="392" ht="15.75" customHeight="1" s="74">
      <c r="B392" s="13" t="n"/>
      <c r="C392" s="24" t="n"/>
      <c r="D392" s="25" t="n"/>
    </row>
    <row r="393" ht="15.75" customHeight="1" s="74">
      <c r="B393" s="13" t="n"/>
      <c r="C393" s="24" t="n"/>
      <c r="D393" s="25" t="n"/>
    </row>
    <row r="394" ht="15.75" customHeight="1" s="74">
      <c r="B394" s="13" t="n"/>
      <c r="C394" s="24" t="n"/>
      <c r="D394" s="25" t="n"/>
    </row>
    <row r="395" ht="15.75" customHeight="1" s="74">
      <c r="B395" s="13" t="n"/>
      <c r="C395" s="24" t="n"/>
      <c r="D395" s="25" t="n"/>
    </row>
    <row r="396" ht="15.75" customHeight="1" s="74">
      <c r="B396" s="13" t="n"/>
      <c r="C396" s="24" t="n"/>
      <c r="D396" s="25" t="n"/>
    </row>
    <row r="397" ht="15.75" customHeight="1" s="74">
      <c r="B397" s="13" t="n"/>
      <c r="C397" s="24" t="n"/>
      <c r="D397" s="25" t="n"/>
    </row>
    <row r="398" ht="15.75" customHeight="1" s="74">
      <c r="B398" s="13" t="n"/>
      <c r="C398" s="24" t="n"/>
      <c r="D398" s="25" t="n"/>
    </row>
    <row r="399" ht="15.75" customHeight="1" s="74">
      <c r="B399" s="13" t="n"/>
      <c r="C399" s="24" t="n"/>
      <c r="D399" s="25" t="n"/>
    </row>
    <row r="400" ht="15.75" customHeight="1" s="74">
      <c r="B400" s="13" t="n"/>
      <c r="C400" s="24" t="n"/>
      <c r="D400" s="25" t="n"/>
    </row>
    <row r="401" ht="15.75" customHeight="1" s="74">
      <c r="B401" s="13" t="n"/>
      <c r="C401" s="24" t="n"/>
      <c r="D401" s="25" t="n"/>
    </row>
    <row r="402" ht="15.75" customHeight="1" s="74">
      <c r="B402" s="13" t="n"/>
      <c r="C402" s="24" t="n"/>
      <c r="D402" s="25" t="n"/>
    </row>
    <row r="403" ht="15.75" customHeight="1" s="74">
      <c r="B403" s="13" t="n"/>
      <c r="C403" s="24" t="n"/>
      <c r="D403" s="25" t="n"/>
    </row>
    <row r="404" ht="15.75" customHeight="1" s="74">
      <c r="B404" s="13" t="n"/>
      <c r="C404" s="24" t="n"/>
      <c r="D404" s="25" t="n"/>
    </row>
    <row r="405" ht="15.75" customHeight="1" s="74">
      <c r="B405" s="13" t="n"/>
      <c r="C405" s="24" t="n"/>
      <c r="D405" s="25" t="n"/>
    </row>
    <row r="406" ht="15.75" customHeight="1" s="74">
      <c r="B406" s="13" t="n"/>
      <c r="C406" s="24" t="n"/>
      <c r="D406" s="25" t="n"/>
    </row>
    <row r="407" ht="15.75" customHeight="1" s="74">
      <c r="B407" s="13" t="n"/>
      <c r="C407" s="24" t="n"/>
      <c r="D407" s="25" t="n"/>
    </row>
    <row r="408" ht="15.75" customHeight="1" s="74">
      <c r="B408" s="13" t="n"/>
      <c r="C408" s="24" t="n"/>
      <c r="D408" s="25" t="n"/>
    </row>
    <row r="409" ht="15.75" customHeight="1" s="74">
      <c r="B409" s="13" t="n"/>
      <c r="C409" s="24" t="n"/>
      <c r="D409" s="25" t="n"/>
    </row>
    <row r="410" ht="15.75" customHeight="1" s="74">
      <c r="B410" s="13" t="n"/>
      <c r="C410" s="24" t="n"/>
      <c r="D410" s="25" t="n"/>
    </row>
    <row r="411" ht="15.75" customHeight="1" s="74">
      <c r="B411" s="13" t="n"/>
      <c r="C411" s="24" t="n"/>
      <c r="D411" s="25" t="n"/>
    </row>
    <row r="412" ht="15.75" customHeight="1" s="74">
      <c r="B412" s="13" t="n"/>
      <c r="C412" s="24" t="n"/>
      <c r="D412" s="25" t="n"/>
    </row>
    <row r="413" ht="15.75" customHeight="1" s="74">
      <c r="B413" s="13" t="n"/>
      <c r="C413" s="24" t="n"/>
      <c r="D413" s="25" t="n"/>
    </row>
    <row r="414" ht="15.75" customHeight="1" s="74">
      <c r="B414" s="13" t="n"/>
      <c r="C414" s="24" t="n"/>
      <c r="D414" s="25" t="n"/>
    </row>
    <row r="415" ht="15.75" customHeight="1" s="74">
      <c r="B415" s="13" t="n"/>
      <c r="C415" s="24" t="n"/>
      <c r="D415" s="25" t="n"/>
    </row>
    <row r="416" ht="15.75" customHeight="1" s="74">
      <c r="B416" s="13" t="n"/>
      <c r="C416" s="24" t="n"/>
      <c r="D416" s="25" t="n"/>
    </row>
    <row r="417" ht="15.75" customHeight="1" s="74">
      <c r="B417" s="13" t="n"/>
      <c r="C417" s="24" t="n"/>
      <c r="D417" s="25" t="n"/>
    </row>
    <row r="418" ht="15.75" customHeight="1" s="74">
      <c r="B418" s="13" t="n"/>
      <c r="C418" s="24" t="n"/>
      <c r="D418" s="25" t="n"/>
    </row>
    <row r="419" ht="15.75" customHeight="1" s="74">
      <c r="B419" s="13" t="n"/>
      <c r="C419" s="24" t="n"/>
      <c r="D419" s="25" t="n"/>
    </row>
    <row r="420" ht="15.75" customHeight="1" s="74">
      <c r="B420" s="13" t="n"/>
      <c r="C420" s="24" t="n"/>
      <c r="D420" s="25" t="n"/>
    </row>
    <row r="421" ht="15.75" customHeight="1" s="74">
      <c r="B421" s="13" t="n"/>
      <c r="C421" s="24" t="n"/>
      <c r="D421" s="25" t="n"/>
    </row>
    <row r="422" ht="15.75" customHeight="1" s="74">
      <c r="B422" s="13" t="n"/>
      <c r="C422" s="24" t="n"/>
      <c r="D422" s="25" t="n"/>
    </row>
    <row r="423" ht="15.75" customHeight="1" s="74">
      <c r="B423" s="13" t="n"/>
      <c r="C423" s="24" t="n"/>
      <c r="D423" s="25" t="n"/>
    </row>
    <row r="424" ht="15.75" customHeight="1" s="74">
      <c r="B424" s="13" t="n"/>
      <c r="C424" s="24" t="n"/>
      <c r="D424" s="25" t="n"/>
    </row>
    <row r="425" ht="15.75" customHeight="1" s="74">
      <c r="B425" s="13" t="n"/>
      <c r="C425" s="24" t="n"/>
      <c r="D425" s="25" t="n"/>
    </row>
    <row r="426" ht="15.75" customHeight="1" s="74">
      <c r="B426" s="13" t="n"/>
      <c r="C426" s="24" t="n"/>
      <c r="D426" s="25" t="n"/>
    </row>
    <row r="427" ht="15.75" customHeight="1" s="74">
      <c r="B427" s="13" t="n"/>
      <c r="C427" s="24" t="n"/>
      <c r="D427" s="25" t="n"/>
    </row>
    <row r="428" ht="15.75" customHeight="1" s="74">
      <c r="B428" s="13" t="n"/>
      <c r="C428" s="24" t="n"/>
      <c r="D428" s="25" t="n"/>
    </row>
    <row r="429" ht="15.75" customHeight="1" s="74">
      <c r="B429" s="13" t="n"/>
      <c r="C429" s="24" t="n"/>
      <c r="D429" s="25" t="n"/>
    </row>
    <row r="430" ht="15.75" customHeight="1" s="74">
      <c r="B430" s="13" t="n"/>
      <c r="C430" s="24" t="n"/>
      <c r="D430" s="25" t="n"/>
    </row>
    <row r="431" ht="15.75" customHeight="1" s="74">
      <c r="B431" s="13" t="n"/>
      <c r="C431" s="24" t="n"/>
      <c r="D431" s="25" t="n"/>
    </row>
    <row r="432" ht="15.75" customHeight="1" s="74">
      <c r="B432" s="13" t="n"/>
      <c r="C432" s="24" t="n"/>
      <c r="D432" s="25" t="n"/>
    </row>
    <row r="433" ht="15.75" customHeight="1" s="74">
      <c r="B433" s="13" t="n"/>
      <c r="C433" s="24" t="n"/>
      <c r="D433" s="25" t="n"/>
    </row>
    <row r="434" ht="15.75" customHeight="1" s="74">
      <c r="B434" s="13" t="n"/>
      <c r="C434" s="24" t="n"/>
      <c r="D434" s="25" t="n"/>
    </row>
    <row r="435" ht="15.75" customHeight="1" s="74">
      <c r="B435" s="13" t="n"/>
      <c r="C435" s="24" t="n"/>
      <c r="D435" s="25" t="n"/>
    </row>
    <row r="436" ht="15.75" customHeight="1" s="74">
      <c r="B436" s="13" t="n"/>
      <c r="C436" s="24" t="n"/>
      <c r="D436" s="25" t="n"/>
    </row>
    <row r="437" ht="15.75" customHeight="1" s="74">
      <c r="B437" s="13" t="n"/>
      <c r="C437" s="24" t="n"/>
      <c r="D437" s="25" t="n"/>
    </row>
    <row r="438" ht="15.75" customHeight="1" s="74">
      <c r="B438" s="13" t="n"/>
      <c r="C438" s="24" t="n"/>
      <c r="D438" s="25" t="n"/>
    </row>
    <row r="439" ht="15.75" customHeight="1" s="74">
      <c r="B439" s="13" t="n"/>
      <c r="C439" s="24" t="n"/>
      <c r="D439" s="25" t="n"/>
    </row>
    <row r="440" ht="15.75" customHeight="1" s="74">
      <c r="B440" s="13" t="n"/>
      <c r="C440" s="24" t="n"/>
      <c r="D440" s="25" t="n"/>
    </row>
    <row r="441" ht="15.75" customHeight="1" s="74">
      <c r="B441" s="13" t="n"/>
      <c r="C441" s="24" t="n"/>
      <c r="D441" s="25" t="n"/>
    </row>
    <row r="442" ht="15.75" customHeight="1" s="74">
      <c r="B442" s="13" t="n"/>
      <c r="C442" s="24" t="n"/>
      <c r="D442" s="25" t="n"/>
    </row>
    <row r="443" ht="15.75" customHeight="1" s="74">
      <c r="B443" s="13" t="n"/>
      <c r="C443" s="24" t="n"/>
      <c r="D443" s="25" t="n"/>
    </row>
    <row r="444" ht="15.75" customHeight="1" s="74">
      <c r="B444" s="13" t="n"/>
      <c r="C444" s="24" t="n"/>
      <c r="D444" s="25" t="n"/>
    </row>
    <row r="445" ht="15.75" customHeight="1" s="74">
      <c r="B445" s="13" t="n"/>
      <c r="C445" s="24" t="n"/>
      <c r="D445" s="25" t="n"/>
    </row>
    <row r="446" ht="15.75" customHeight="1" s="74">
      <c r="B446" s="13" t="n"/>
      <c r="C446" s="24" t="n"/>
      <c r="D446" s="25" t="n"/>
    </row>
    <row r="447" ht="15.75" customHeight="1" s="74">
      <c r="B447" s="13" t="n"/>
      <c r="C447" s="24" t="n"/>
      <c r="D447" s="25" t="n"/>
    </row>
    <row r="448" ht="15.75" customHeight="1" s="74">
      <c r="B448" s="13" t="n"/>
      <c r="C448" s="24" t="n"/>
      <c r="D448" s="25" t="n"/>
    </row>
    <row r="449" ht="15.75" customHeight="1" s="74">
      <c r="B449" s="13" t="n"/>
      <c r="C449" s="24" t="n"/>
      <c r="D449" s="25" t="n"/>
    </row>
    <row r="450" ht="15.75" customHeight="1" s="74">
      <c r="B450" s="13" t="n"/>
      <c r="C450" s="24" t="n"/>
      <c r="D450" s="25" t="n"/>
    </row>
    <row r="451" ht="15.75" customHeight="1" s="74">
      <c r="B451" s="13" t="n"/>
      <c r="C451" s="24" t="n"/>
      <c r="D451" s="25" t="n"/>
    </row>
    <row r="452" ht="15.75" customHeight="1" s="74">
      <c r="B452" s="13" t="n"/>
      <c r="C452" s="24" t="n"/>
      <c r="D452" s="25" t="n"/>
    </row>
    <row r="453" ht="15.75" customHeight="1" s="74">
      <c r="B453" s="13" t="n"/>
      <c r="C453" s="24" t="n"/>
      <c r="D453" s="25" t="n"/>
    </row>
    <row r="454" ht="15.75" customHeight="1" s="74">
      <c r="B454" s="13" t="n"/>
      <c r="C454" s="24" t="n"/>
      <c r="D454" s="25" t="n"/>
    </row>
    <row r="455" ht="15.75" customHeight="1" s="74">
      <c r="B455" s="13" t="n"/>
      <c r="C455" s="24" t="n"/>
      <c r="D455" s="25" t="n"/>
    </row>
    <row r="456" ht="15.75" customHeight="1" s="74">
      <c r="B456" s="13" t="n"/>
      <c r="C456" s="24" t="n"/>
      <c r="D456" s="25" t="n"/>
    </row>
    <row r="457" ht="15.75" customHeight="1" s="74">
      <c r="B457" s="13" t="n"/>
      <c r="C457" s="24" t="n"/>
      <c r="D457" s="25" t="n"/>
    </row>
    <row r="458" ht="15.75" customHeight="1" s="74">
      <c r="B458" s="13" t="n"/>
      <c r="C458" s="24" t="n"/>
      <c r="D458" s="25" t="n"/>
    </row>
    <row r="459" ht="15.75" customHeight="1" s="74">
      <c r="B459" s="13" t="n"/>
      <c r="C459" s="24" t="n"/>
      <c r="D459" s="25" t="n"/>
    </row>
    <row r="460" ht="15.75" customHeight="1" s="74">
      <c r="B460" s="13" t="n"/>
      <c r="C460" s="24" t="n"/>
      <c r="D460" s="25" t="n"/>
    </row>
    <row r="461" ht="15.75" customHeight="1" s="74">
      <c r="B461" s="13" t="n"/>
      <c r="C461" s="24" t="n"/>
      <c r="D461" s="25" t="n"/>
    </row>
    <row r="462" ht="15.75" customHeight="1" s="74">
      <c r="B462" s="13" t="n"/>
      <c r="C462" s="24" t="n"/>
      <c r="D462" s="25" t="n"/>
    </row>
    <row r="463" ht="15.75" customHeight="1" s="74">
      <c r="B463" s="13" t="n"/>
      <c r="C463" s="24" t="n"/>
      <c r="D463" s="25" t="n"/>
    </row>
    <row r="464" ht="15.75" customHeight="1" s="74">
      <c r="B464" s="13" t="n"/>
      <c r="C464" s="24" t="n"/>
      <c r="D464" s="25" t="n"/>
    </row>
    <row r="465" ht="15.75" customHeight="1" s="74">
      <c r="B465" s="13" t="n"/>
      <c r="C465" s="24" t="n"/>
      <c r="D465" s="25" t="n"/>
    </row>
    <row r="466" ht="15.75" customHeight="1" s="74">
      <c r="B466" s="13" t="n"/>
      <c r="C466" s="24" t="n"/>
      <c r="D466" s="25" t="n"/>
    </row>
    <row r="467" ht="15.75" customHeight="1" s="74">
      <c r="B467" s="13" t="n"/>
      <c r="C467" s="24" t="n"/>
      <c r="D467" s="25" t="n"/>
    </row>
    <row r="468" ht="15.75" customHeight="1" s="74">
      <c r="B468" s="13" t="n"/>
      <c r="C468" s="24" t="n"/>
      <c r="D468" s="25" t="n"/>
    </row>
    <row r="469" ht="15.75" customHeight="1" s="74">
      <c r="B469" s="13" t="n"/>
      <c r="C469" s="24" t="n"/>
      <c r="D469" s="25" t="n"/>
    </row>
    <row r="470" ht="15.75" customHeight="1" s="74">
      <c r="B470" s="13" t="n"/>
      <c r="C470" s="24" t="n"/>
      <c r="D470" s="25" t="n"/>
    </row>
    <row r="471" ht="15.75" customHeight="1" s="74">
      <c r="B471" s="13" t="n"/>
      <c r="C471" s="24" t="n"/>
      <c r="D471" s="25" t="n"/>
    </row>
    <row r="472" ht="15.75" customHeight="1" s="74">
      <c r="B472" s="13" t="n"/>
      <c r="C472" s="24" t="n"/>
      <c r="D472" s="25" t="n"/>
    </row>
    <row r="473" ht="15.75" customHeight="1" s="74">
      <c r="B473" s="13" t="n"/>
      <c r="C473" s="24" t="n"/>
      <c r="D473" s="25" t="n"/>
    </row>
    <row r="474" ht="15.75" customHeight="1" s="74">
      <c r="B474" s="13" t="n"/>
      <c r="C474" s="24" t="n"/>
      <c r="D474" s="25" t="n"/>
    </row>
    <row r="475" ht="15.75" customHeight="1" s="74">
      <c r="B475" s="13" t="n"/>
      <c r="C475" s="24" t="n"/>
      <c r="D475" s="25" t="n"/>
    </row>
    <row r="476" ht="15.75" customHeight="1" s="74">
      <c r="B476" s="13" t="n"/>
      <c r="C476" s="24" t="n"/>
      <c r="D476" s="25" t="n"/>
    </row>
    <row r="477" ht="15.75" customHeight="1" s="74">
      <c r="B477" s="13" t="n"/>
      <c r="C477" s="24" t="n"/>
      <c r="D477" s="25" t="n"/>
    </row>
    <row r="478" ht="15.75" customHeight="1" s="74">
      <c r="B478" s="13" t="n"/>
      <c r="C478" s="24" t="n"/>
      <c r="D478" s="25" t="n"/>
    </row>
    <row r="479" ht="15.75" customHeight="1" s="74">
      <c r="B479" s="13" t="n"/>
      <c r="C479" s="24" t="n"/>
      <c r="D479" s="25" t="n"/>
    </row>
    <row r="480" ht="15.75" customHeight="1" s="74">
      <c r="B480" s="13" t="n"/>
      <c r="C480" s="24" t="n"/>
      <c r="D480" s="25" t="n"/>
    </row>
    <row r="481" ht="15.75" customHeight="1" s="74">
      <c r="B481" s="13" t="n"/>
      <c r="C481" s="24" t="n"/>
      <c r="D481" s="25" t="n"/>
    </row>
    <row r="482" ht="15.75" customHeight="1" s="74">
      <c r="B482" s="13" t="n"/>
      <c r="C482" s="24" t="n"/>
      <c r="D482" s="25" t="n"/>
    </row>
    <row r="483" ht="15.75" customHeight="1" s="74">
      <c r="B483" s="13" t="n"/>
      <c r="C483" s="24" t="n"/>
      <c r="D483" s="25" t="n"/>
    </row>
    <row r="484" ht="15.75" customHeight="1" s="74">
      <c r="B484" s="13" t="n"/>
      <c r="C484" s="24" t="n"/>
      <c r="D484" s="25" t="n"/>
    </row>
    <row r="485" ht="15.75" customHeight="1" s="74">
      <c r="B485" s="13" t="n"/>
      <c r="C485" s="24" t="n"/>
      <c r="D485" s="25" t="n"/>
    </row>
    <row r="486" ht="15.75" customHeight="1" s="74">
      <c r="B486" s="13" t="n"/>
      <c r="C486" s="24" t="n"/>
      <c r="D486" s="25" t="n"/>
    </row>
    <row r="487" ht="15.75" customHeight="1" s="74">
      <c r="B487" s="13" t="n"/>
      <c r="C487" s="24" t="n"/>
      <c r="D487" s="25" t="n"/>
    </row>
    <row r="488" ht="15.75" customHeight="1" s="74">
      <c r="B488" s="13" t="n"/>
      <c r="C488" s="24" t="n"/>
      <c r="D488" s="25" t="n"/>
    </row>
    <row r="489" ht="15.75" customHeight="1" s="74">
      <c r="B489" s="13" t="n"/>
      <c r="C489" s="24" t="n"/>
      <c r="D489" s="25" t="n"/>
    </row>
    <row r="490" ht="15.75" customHeight="1" s="74">
      <c r="B490" s="13" t="n"/>
      <c r="C490" s="24" t="n"/>
      <c r="D490" s="25" t="n"/>
    </row>
    <row r="491" ht="15.75" customHeight="1" s="74">
      <c r="B491" s="13" t="n"/>
      <c r="C491" s="24" t="n"/>
      <c r="D491" s="25" t="n"/>
    </row>
    <row r="492" ht="15.75" customHeight="1" s="74">
      <c r="B492" s="13" t="n"/>
      <c r="C492" s="24" t="n"/>
      <c r="D492" s="25" t="n"/>
    </row>
    <row r="493" ht="15.75" customHeight="1" s="74">
      <c r="B493" s="13" t="n"/>
      <c r="C493" s="24" t="n"/>
      <c r="D493" s="25" t="n"/>
    </row>
    <row r="494" ht="15.75" customHeight="1" s="74">
      <c r="B494" s="13" t="n"/>
      <c r="C494" s="24" t="n"/>
      <c r="D494" s="25" t="n"/>
    </row>
    <row r="495" ht="15.75" customHeight="1" s="74">
      <c r="B495" s="13" t="n"/>
      <c r="C495" s="24" t="n"/>
      <c r="D495" s="25" t="n"/>
    </row>
    <row r="496" ht="15.75" customHeight="1" s="74">
      <c r="B496" s="13" t="n"/>
      <c r="C496" s="24" t="n"/>
      <c r="D496" s="25" t="n"/>
    </row>
    <row r="497" ht="15.75" customHeight="1" s="74">
      <c r="B497" s="13" t="n"/>
      <c r="C497" s="24" t="n"/>
      <c r="D497" s="25" t="n"/>
    </row>
    <row r="498" ht="15.75" customHeight="1" s="74">
      <c r="B498" s="13" t="n"/>
      <c r="C498" s="24" t="n"/>
      <c r="D498" s="25" t="n"/>
    </row>
    <row r="499" ht="15.75" customHeight="1" s="74">
      <c r="B499" s="13" t="n"/>
      <c r="C499" s="24" t="n"/>
      <c r="D499" s="25" t="n"/>
    </row>
    <row r="500" ht="15.75" customHeight="1" s="74">
      <c r="B500" s="13" t="n"/>
      <c r="C500" s="24" t="n"/>
      <c r="D500" s="25" t="n"/>
    </row>
    <row r="501" ht="15.75" customHeight="1" s="74">
      <c r="B501" s="13" t="n"/>
      <c r="C501" s="24" t="n"/>
      <c r="D501" s="25" t="n"/>
    </row>
    <row r="502" ht="15.75" customHeight="1" s="74">
      <c r="B502" s="13" t="n"/>
      <c r="C502" s="24" t="n"/>
      <c r="D502" s="25" t="n"/>
    </row>
    <row r="503" ht="15.75" customHeight="1" s="74">
      <c r="B503" s="13" t="n"/>
      <c r="C503" s="24" t="n"/>
      <c r="D503" s="25" t="n"/>
    </row>
    <row r="504" ht="15.75" customHeight="1" s="74">
      <c r="B504" s="13" t="n"/>
      <c r="C504" s="24" t="n"/>
      <c r="D504" s="25" t="n"/>
    </row>
    <row r="505" ht="15.75" customHeight="1" s="74">
      <c r="B505" s="13" t="n"/>
      <c r="C505" s="24" t="n"/>
      <c r="D505" s="25" t="n"/>
    </row>
    <row r="506" ht="15.75" customHeight="1" s="74">
      <c r="B506" s="13" t="n"/>
      <c r="C506" s="24" t="n"/>
      <c r="D506" s="25" t="n"/>
    </row>
    <row r="507" ht="15.75" customHeight="1" s="74">
      <c r="B507" s="13" t="n"/>
      <c r="C507" s="24" t="n"/>
      <c r="D507" s="25" t="n"/>
    </row>
    <row r="508" ht="15.75" customHeight="1" s="74">
      <c r="B508" s="13" t="n"/>
      <c r="C508" s="24" t="n"/>
      <c r="D508" s="25" t="n"/>
    </row>
    <row r="509" ht="15.75" customHeight="1" s="74">
      <c r="B509" s="13" t="n"/>
      <c r="C509" s="24" t="n"/>
      <c r="D509" s="25" t="n"/>
    </row>
    <row r="510" ht="15.75" customHeight="1" s="74">
      <c r="B510" s="13" t="n"/>
      <c r="C510" s="24" t="n"/>
      <c r="D510" s="25" t="n"/>
    </row>
    <row r="511" ht="15.75" customHeight="1" s="74">
      <c r="B511" s="13" t="n"/>
      <c r="C511" s="24" t="n"/>
      <c r="D511" s="25" t="n"/>
    </row>
    <row r="512" ht="15.75" customHeight="1" s="74">
      <c r="B512" s="13" t="n"/>
      <c r="C512" s="24" t="n"/>
      <c r="D512" s="25" t="n"/>
    </row>
    <row r="513" ht="15.75" customHeight="1" s="74">
      <c r="B513" s="13" t="n"/>
      <c r="C513" s="24" t="n"/>
      <c r="D513" s="25" t="n"/>
    </row>
    <row r="514" ht="15.75" customHeight="1" s="74">
      <c r="B514" s="13" t="n"/>
      <c r="C514" s="24" t="n"/>
      <c r="D514" s="25" t="n"/>
    </row>
    <row r="515" ht="15.75" customHeight="1" s="74">
      <c r="B515" s="13" t="n"/>
      <c r="C515" s="24" t="n"/>
      <c r="D515" s="25" t="n"/>
    </row>
    <row r="516" ht="15.75" customHeight="1" s="74">
      <c r="B516" s="13" t="n"/>
      <c r="C516" s="24" t="n"/>
      <c r="D516" s="25" t="n"/>
    </row>
    <row r="517" ht="15.75" customHeight="1" s="74">
      <c r="B517" s="13" t="n"/>
      <c r="C517" s="24" t="n"/>
      <c r="D517" s="25" t="n"/>
    </row>
    <row r="518" ht="15.75" customHeight="1" s="74">
      <c r="B518" s="13" t="n"/>
      <c r="C518" s="24" t="n"/>
      <c r="D518" s="25" t="n"/>
    </row>
    <row r="519" ht="15.75" customHeight="1" s="74">
      <c r="B519" s="13" t="n"/>
      <c r="C519" s="24" t="n"/>
      <c r="D519" s="25" t="n"/>
    </row>
    <row r="520" ht="15.75" customHeight="1" s="74">
      <c r="B520" s="13" t="n"/>
      <c r="C520" s="24" t="n"/>
      <c r="D520" s="25" t="n"/>
    </row>
    <row r="521" ht="15.75" customHeight="1" s="74">
      <c r="B521" s="13" t="n"/>
      <c r="C521" s="24" t="n"/>
      <c r="D521" s="25" t="n"/>
    </row>
    <row r="522" ht="15.75" customHeight="1" s="74">
      <c r="B522" s="13" t="n"/>
      <c r="C522" s="24" t="n"/>
      <c r="D522" s="25" t="n"/>
    </row>
    <row r="523" ht="15.75" customHeight="1" s="74">
      <c r="B523" s="13" t="n"/>
      <c r="C523" s="24" t="n"/>
      <c r="D523" s="25" t="n"/>
    </row>
    <row r="524" ht="15.75" customHeight="1" s="74">
      <c r="B524" s="13" t="n"/>
      <c r="C524" s="24" t="n"/>
      <c r="D524" s="25" t="n"/>
    </row>
    <row r="525" ht="15.75" customHeight="1" s="74">
      <c r="B525" s="13" t="n"/>
      <c r="C525" s="24" t="n"/>
      <c r="D525" s="25" t="n"/>
    </row>
    <row r="526" ht="15.75" customHeight="1" s="74">
      <c r="B526" s="13" t="n"/>
      <c r="C526" s="24" t="n"/>
      <c r="D526" s="25" t="n"/>
    </row>
    <row r="527" ht="15.75" customHeight="1" s="74">
      <c r="B527" s="13" t="n"/>
      <c r="C527" s="24" t="n"/>
      <c r="D527" s="25" t="n"/>
    </row>
    <row r="528" ht="15.75" customHeight="1" s="74">
      <c r="B528" s="13" t="n"/>
      <c r="C528" s="24" t="n"/>
      <c r="D528" s="25" t="n"/>
    </row>
    <row r="529" ht="15.75" customHeight="1" s="74">
      <c r="B529" s="13" t="n"/>
      <c r="C529" s="24" t="n"/>
      <c r="D529" s="25" t="n"/>
    </row>
    <row r="530" ht="15.75" customHeight="1" s="74">
      <c r="B530" s="13" t="n"/>
      <c r="C530" s="24" t="n"/>
      <c r="D530" s="25" t="n"/>
    </row>
    <row r="531" ht="15.75" customHeight="1" s="74">
      <c r="B531" s="13" t="n"/>
      <c r="C531" s="24" t="n"/>
      <c r="D531" s="25" t="n"/>
    </row>
    <row r="532" ht="15.75" customHeight="1" s="74">
      <c r="B532" s="13" t="n"/>
      <c r="C532" s="24" t="n"/>
      <c r="D532" s="25" t="n"/>
    </row>
    <row r="533" ht="15.75" customHeight="1" s="74">
      <c r="B533" s="13" t="n"/>
      <c r="C533" s="24" t="n"/>
      <c r="D533" s="25" t="n"/>
    </row>
    <row r="534" ht="15.75" customHeight="1" s="74">
      <c r="B534" s="13" t="n"/>
      <c r="C534" s="24" t="n"/>
      <c r="D534" s="25" t="n"/>
    </row>
    <row r="535" ht="15.75" customHeight="1" s="74">
      <c r="B535" s="13" t="n"/>
      <c r="C535" s="24" t="n"/>
      <c r="D535" s="25" t="n"/>
    </row>
    <row r="536" ht="15.75" customHeight="1" s="74">
      <c r="B536" s="13" t="n"/>
      <c r="C536" s="24" t="n"/>
      <c r="D536" s="25" t="n"/>
    </row>
    <row r="537" ht="15.75" customHeight="1" s="74">
      <c r="B537" s="13" t="n"/>
      <c r="C537" s="24" t="n"/>
      <c r="D537" s="25" t="n"/>
    </row>
    <row r="538" ht="15.75" customHeight="1" s="74">
      <c r="B538" s="13" t="n"/>
      <c r="C538" s="24" t="n"/>
      <c r="D538" s="25" t="n"/>
    </row>
    <row r="539" ht="15.75" customHeight="1" s="74">
      <c r="B539" s="13" t="n"/>
      <c r="C539" s="24" t="n"/>
      <c r="D539" s="25" t="n"/>
    </row>
    <row r="540" ht="15.75" customHeight="1" s="74">
      <c r="B540" s="13" t="n"/>
      <c r="C540" s="24" t="n"/>
      <c r="D540" s="25" t="n"/>
    </row>
    <row r="541" ht="15.75" customHeight="1" s="74">
      <c r="B541" s="13" t="n"/>
      <c r="C541" s="24" t="n"/>
      <c r="D541" s="25" t="n"/>
    </row>
    <row r="542" ht="15.75" customHeight="1" s="74">
      <c r="B542" s="13" t="n"/>
      <c r="C542" s="24" t="n"/>
      <c r="D542" s="25" t="n"/>
    </row>
    <row r="543" ht="15.75" customHeight="1" s="74">
      <c r="B543" s="13" t="n"/>
      <c r="C543" s="24" t="n"/>
      <c r="D543" s="25" t="n"/>
    </row>
    <row r="544" ht="15.75" customHeight="1" s="74">
      <c r="B544" s="13" t="n"/>
      <c r="C544" s="24" t="n"/>
      <c r="D544" s="25" t="n"/>
    </row>
    <row r="545" ht="15.75" customHeight="1" s="74">
      <c r="B545" s="13" t="n"/>
      <c r="C545" s="24" t="n"/>
      <c r="D545" s="25" t="n"/>
    </row>
    <row r="546" ht="15.75" customHeight="1" s="74">
      <c r="B546" s="13" t="n"/>
      <c r="C546" s="24" t="n"/>
      <c r="D546" s="25" t="n"/>
    </row>
    <row r="547" ht="15.75" customHeight="1" s="74">
      <c r="B547" s="13" t="n"/>
      <c r="C547" s="24" t="n"/>
      <c r="D547" s="25" t="n"/>
    </row>
    <row r="548" ht="15.75" customHeight="1" s="74">
      <c r="B548" s="13" t="n"/>
      <c r="C548" s="24" t="n"/>
      <c r="D548" s="25" t="n"/>
    </row>
    <row r="549" ht="15.75" customHeight="1" s="74">
      <c r="B549" s="13" t="n"/>
      <c r="C549" s="24" t="n"/>
      <c r="D549" s="25" t="n"/>
    </row>
    <row r="550" ht="15.75" customHeight="1" s="74">
      <c r="B550" s="13" t="n"/>
      <c r="C550" s="24" t="n"/>
      <c r="D550" s="25" t="n"/>
    </row>
    <row r="551" ht="15.75" customHeight="1" s="74">
      <c r="B551" s="13" t="n"/>
      <c r="C551" s="24" t="n"/>
      <c r="D551" s="25" t="n"/>
    </row>
    <row r="552" ht="15.75" customHeight="1" s="74">
      <c r="B552" s="13" t="n"/>
      <c r="C552" s="24" t="n"/>
      <c r="D552" s="25" t="n"/>
    </row>
    <row r="553" ht="15.75" customHeight="1" s="74">
      <c r="B553" s="13" t="n"/>
      <c r="C553" s="24" t="n"/>
      <c r="D553" s="25" t="n"/>
    </row>
    <row r="554" ht="15.75" customHeight="1" s="74">
      <c r="B554" s="13" t="n"/>
      <c r="C554" s="24" t="n"/>
      <c r="D554" s="25" t="n"/>
    </row>
    <row r="555" ht="15.75" customHeight="1" s="74">
      <c r="B555" s="13" t="n"/>
      <c r="C555" s="24" t="n"/>
      <c r="D555" s="25" t="n"/>
    </row>
    <row r="556" ht="15.75" customHeight="1" s="74">
      <c r="B556" s="13" t="n"/>
      <c r="C556" s="24" t="n"/>
      <c r="D556" s="25" t="n"/>
    </row>
    <row r="557" ht="15.75" customHeight="1" s="74">
      <c r="B557" s="13" t="n"/>
      <c r="C557" s="24" t="n"/>
      <c r="D557" s="25" t="n"/>
    </row>
    <row r="558" ht="15.75" customHeight="1" s="74">
      <c r="B558" s="13" t="n"/>
      <c r="C558" s="24" t="n"/>
      <c r="D558" s="25" t="n"/>
    </row>
    <row r="559" ht="15.75" customHeight="1" s="74">
      <c r="B559" s="13" t="n"/>
      <c r="C559" s="24" t="n"/>
      <c r="D559" s="25" t="n"/>
    </row>
    <row r="560" ht="15.75" customHeight="1" s="74">
      <c r="B560" s="13" t="n"/>
      <c r="C560" s="24" t="n"/>
      <c r="D560" s="25" t="n"/>
    </row>
    <row r="561" ht="15.75" customHeight="1" s="74">
      <c r="B561" s="13" t="n"/>
      <c r="C561" s="24" t="n"/>
      <c r="D561" s="25" t="n"/>
    </row>
    <row r="562" ht="15.75" customHeight="1" s="74">
      <c r="B562" s="13" t="n"/>
      <c r="C562" s="24" t="n"/>
      <c r="D562" s="25" t="n"/>
    </row>
    <row r="563" ht="15.75" customHeight="1" s="74">
      <c r="B563" s="13" t="n"/>
      <c r="C563" s="24" t="n"/>
      <c r="D563" s="25" t="n"/>
    </row>
    <row r="564" ht="15.75" customHeight="1" s="74">
      <c r="B564" s="13" t="n"/>
      <c r="C564" s="24" t="n"/>
      <c r="D564" s="25" t="n"/>
    </row>
    <row r="565" ht="15.75" customHeight="1" s="74">
      <c r="B565" s="13" t="n"/>
      <c r="C565" s="24" t="n"/>
      <c r="D565" s="25" t="n"/>
    </row>
    <row r="566" ht="15.75" customHeight="1" s="74">
      <c r="B566" s="13" t="n"/>
      <c r="C566" s="24" t="n"/>
      <c r="D566" s="25" t="n"/>
    </row>
    <row r="567" ht="15.75" customHeight="1" s="74">
      <c r="B567" s="13" t="n"/>
      <c r="C567" s="24" t="n"/>
      <c r="D567" s="25" t="n"/>
    </row>
    <row r="568" ht="15.75" customHeight="1" s="74">
      <c r="B568" s="13" t="n"/>
      <c r="C568" s="24" t="n"/>
      <c r="D568" s="25" t="n"/>
    </row>
    <row r="569" ht="15.75" customHeight="1" s="74">
      <c r="B569" s="13" t="n"/>
      <c r="C569" s="24" t="n"/>
      <c r="D569" s="25" t="n"/>
    </row>
    <row r="570" ht="15.75" customHeight="1" s="74">
      <c r="B570" s="13" t="n"/>
      <c r="C570" s="24" t="n"/>
      <c r="D570" s="25" t="n"/>
    </row>
    <row r="571" ht="15.75" customHeight="1" s="74">
      <c r="B571" s="13" t="n"/>
      <c r="C571" s="24" t="n"/>
      <c r="D571" s="25" t="n"/>
    </row>
    <row r="572" ht="15.75" customHeight="1" s="74">
      <c r="B572" s="13" t="n"/>
      <c r="C572" s="24" t="n"/>
      <c r="D572" s="25" t="n"/>
    </row>
    <row r="573" ht="15.75" customHeight="1" s="74">
      <c r="B573" s="13" t="n"/>
      <c r="C573" s="24" t="n"/>
      <c r="D573" s="25" t="n"/>
    </row>
    <row r="574" ht="15.75" customHeight="1" s="74">
      <c r="B574" s="13" t="n"/>
      <c r="C574" s="24" t="n"/>
      <c r="D574" s="25" t="n"/>
    </row>
    <row r="575" ht="15.75" customHeight="1" s="74">
      <c r="B575" s="13" t="n"/>
      <c r="C575" s="24" t="n"/>
      <c r="D575" s="25" t="n"/>
    </row>
    <row r="576" ht="15.75" customHeight="1" s="74">
      <c r="B576" s="13" t="n"/>
      <c r="C576" s="24" t="n"/>
      <c r="D576" s="25" t="n"/>
    </row>
    <row r="577" ht="15.75" customHeight="1" s="74">
      <c r="B577" s="13" t="n"/>
      <c r="C577" s="24" t="n"/>
      <c r="D577" s="25" t="n"/>
    </row>
    <row r="578" ht="15.75" customHeight="1" s="74">
      <c r="B578" s="13" t="n"/>
      <c r="C578" s="24" t="n"/>
      <c r="D578" s="25" t="n"/>
    </row>
    <row r="579" ht="15.75" customHeight="1" s="74">
      <c r="B579" s="13" t="n"/>
      <c r="C579" s="24" t="n"/>
      <c r="D579" s="25" t="n"/>
    </row>
    <row r="580" ht="15.75" customHeight="1" s="74">
      <c r="B580" s="13" t="n"/>
      <c r="C580" s="24" t="n"/>
      <c r="D580" s="25" t="n"/>
    </row>
    <row r="581" ht="15.75" customHeight="1" s="74">
      <c r="B581" s="13" t="n"/>
      <c r="C581" s="24" t="n"/>
      <c r="D581" s="25" t="n"/>
    </row>
    <row r="582" ht="15.75" customHeight="1" s="74">
      <c r="B582" s="13" t="n"/>
      <c r="C582" s="24" t="n"/>
      <c r="D582" s="25" t="n"/>
    </row>
    <row r="583" ht="15.75" customHeight="1" s="74">
      <c r="B583" s="13" t="n"/>
      <c r="C583" s="24" t="n"/>
      <c r="D583" s="25" t="n"/>
    </row>
    <row r="584" ht="15.75" customHeight="1" s="74">
      <c r="B584" s="13" t="n"/>
      <c r="C584" s="24" t="n"/>
      <c r="D584" s="25" t="n"/>
    </row>
    <row r="585" ht="15.75" customHeight="1" s="74">
      <c r="B585" s="13" t="n"/>
      <c r="C585" s="24" t="n"/>
      <c r="D585" s="25" t="n"/>
    </row>
    <row r="586" ht="15.75" customHeight="1" s="74">
      <c r="B586" s="13" t="n"/>
      <c r="C586" s="24" t="n"/>
      <c r="D586" s="25" t="n"/>
    </row>
    <row r="587" ht="15.75" customHeight="1" s="74">
      <c r="B587" s="13" t="n"/>
      <c r="C587" s="24" t="n"/>
      <c r="D587" s="25" t="n"/>
    </row>
    <row r="588" ht="15.75" customHeight="1" s="74">
      <c r="B588" s="13" t="n"/>
      <c r="C588" s="24" t="n"/>
      <c r="D588" s="25" t="n"/>
    </row>
    <row r="589" ht="15.75" customHeight="1" s="74">
      <c r="B589" s="13" t="n"/>
      <c r="C589" s="24" t="n"/>
      <c r="D589" s="25" t="n"/>
    </row>
    <row r="590" ht="15.75" customHeight="1" s="74">
      <c r="B590" s="13" t="n"/>
      <c r="C590" s="24" t="n"/>
      <c r="D590" s="25" t="n"/>
    </row>
    <row r="591" ht="15.75" customHeight="1" s="74">
      <c r="B591" s="13" t="n"/>
      <c r="C591" s="24" t="n"/>
      <c r="D591" s="25" t="n"/>
    </row>
    <row r="592" ht="15.75" customHeight="1" s="74">
      <c r="B592" s="13" t="n"/>
      <c r="C592" s="24" t="n"/>
      <c r="D592" s="25" t="n"/>
    </row>
    <row r="593" ht="15.75" customHeight="1" s="74">
      <c r="B593" s="13" t="n"/>
      <c r="C593" s="24" t="n"/>
      <c r="D593" s="25" t="n"/>
    </row>
    <row r="594" ht="15.75" customHeight="1" s="74">
      <c r="B594" s="13" t="n"/>
      <c r="C594" s="24" t="n"/>
      <c r="D594" s="25" t="n"/>
    </row>
    <row r="595" ht="15.75" customHeight="1" s="74">
      <c r="B595" s="13" t="n"/>
      <c r="C595" s="24" t="n"/>
      <c r="D595" s="25" t="n"/>
    </row>
    <row r="596" ht="15.75" customHeight="1" s="74">
      <c r="B596" s="13" t="n"/>
      <c r="C596" s="24" t="n"/>
      <c r="D596" s="25" t="n"/>
    </row>
    <row r="597" ht="15.75" customHeight="1" s="74">
      <c r="B597" s="13" t="n"/>
      <c r="C597" s="24" t="n"/>
      <c r="D597" s="25" t="n"/>
    </row>
    <row r="598" ht="15.75" customHeight="1" s="74">
      <c r="B598" s="13" t="n"/>
      <c r="C598" s="24" t="n"/>
      <c r="D598" s="25" t="n"/>
    </row>
    <row r="599" ht="15.75" customHeight="1" s="74">
      <c r="B599" s="13" t="n"/>
      <c r="C599" s="24" t="n"/>
      <c r="D599" s="25" t="n"/>
    </row>
    <row r="600" ht="15.75" customHeight="1" s="74">
      <c r="B600" s="13" t="n"/>
      <c r="C600" s="24" t="n"/>
      <c r="D600" s="25" t="n"/>
    </row>
    <row r="601" ht="15.75" customHeight="1" s="74">
      <c r="B601" s="13" t="n"/>
      <c r="C601" s="24" t="n"/>
      <c r="D601" s="25" t="n"/>
    </row>
    <row r="602" ht="15.75" customHeight="1" s="74">
      <c r="B602" s="13" t="n"/>
      <c r="C602" s="24" t="n"/>
      <c r="D602" s="25" t="n"/>
    </row>
    <row r="603" ht="15.75" customHeight="1" s="74">
      <c r="B603" s="13" t="n"/>
      <c r="C603" s="24" t="n"/>
      <c r="D603" s="25" t="n"/>
    </row>
    <row r="604" ht="15.75" customHeight="1" s="74">
      <c r="B604" s="13" t="n"/>
      <c r="C604" s="24" t="n"/>
      <c r="D604" s="25" t="n"/>
    </row>
    <row r="605" ht="15.75" customHeight="1" s="74">
      <c r="B605" s="13" t="n"/>
      <c r="C605" s="24" t="n"/>
      <c r="D605" s="25" t="n"/>
    </row>
    <row r="606" ht="15.75" customHeight="1" s="74">
      <c r="B606" s="13" t="n"/>
      <c r="C606" s="24" t="n"/>
      <c r="D606" s="25" t="n"/>
    </row>
    <row r="607" ht="15.75" customHeight="1" s="74">
      <c r="B607" s="13" t="n"/>
      <c r="C607" s="24" t="n"/>
      <c r="D607" s="25" t="n"/>
    </row>
    <row r="608" ht="15.75" customHeight="1" s="74">
      <c r="B608" s="13" t="n"/>
      <c r="C608" s="24" t="n"/>
      <c r="D608" s="25" t="n"/>
    </row>
    <row r="609" ht="15.75" customHeight="1" s="74">
      <c r="B609" s="13" t="n"/>
      <c r="C609" s="24" t="n"/>
      <c r="D609" s="25" t="n"/>
    </row>
    <row r="610" ht="15.75" customHeight="1" s="74">
      <c r="B610" s="13" t="n"/>
      <c r="C610" s="24" t="n"/>
      <c r="D610" s="25" t="n"/>
    </row>
    <row r="611" ht="15.75" customHeight="1" s="74">
      <c r="B611" s="13" t="n"/>
      <c r="C611" s="24" t="n"/>
      <c r="D611" s="25" t="n"/>
    </row>
    <row r="612" ht="15.75" customHeight="1" s="74">
      <c r="B612" s="13" t="n"/>
      <c r="C612" s="24" t="n"/>
      <c r="D612" s="25" t="n"/>
    </row>
    <row r="613" ht="15.75" customHeight="1" s="74">
      <c r="B613" s="13" t="n"/>
      <c r="C613" s="24" t="n"/>
      <c r="D613" s="25" t="n"/>
    </row>
    <row r="614" ht="15.75" customHeight="1" s="74">
      <c r="B614" s="13" t="n"/>
      <c r="C614" s="24" t="n"/>
      <c r="D614" s="25" t="n"/>
    </row>
    <row r="615" ht="15.75" customHeight="1" s="74">
      <c r="B615" s="13" t="n"/>
      <c r="C615" s="24" t="n"/>
      <c r="D615" s="25" t="n"/>
    </row>
    <row r="616" ht="15.75" customHeight="1" s="74">
      <c r="B616" s="13" t="n"/>
      <c r="C616" s="24" t="n"/>
      <c r="D616" s="25" t="n"/>
    </row>
    <row r="617" ht="15.75" customHeight="1" s="74">
      <c r="B617" s="13" t="n"/>
      <c r="C617" s="24" t="n"/>
      <c r="D617" s="25" t="n"/>
    </row>
    <row r="618" ht="15.75" customHeight="1" s="74">
      <c r="B618" s="13" t="n"/>
      <c r="C618" s="24" t="n"/>
      <c r="D618" s="25" t="n"/>
    </row>
    <row r="619" ht="15.75" customHeight="1" s="74">
      <c r="B619" s="13" t="n"/>
      <c r="C619" s="24" t="n"/>
      <c r="D619" s="25" t="n"/>
    </row>
    <row r="620" ht="15.75" customHeight="1" s="74">
      <c r="B620" s="13" t="n"/>
      <c r="C620" s="24" t="n"/>
      <c r="D620" s="25" t="n"/>
    </row>
    <row r="621" ht="15.75" customHeight="1" s="74">
      <c r="B621" s="13" t="n"/>
      <c r="C621" s="24" t="n"/>
      <c r="D621" s="25" t="n"/>
    </row>
    <row r="622" ht="15.75" customHeight="1" s="74">
      <c r="B622" s="13" t="n"/>
      <c r="C622" s="24" t="n"/>
      <c r="D622" s="25" t="n"/>
    </row>
    <row r="623" ht="15.75" customHeight="1" s="74">
      <c r="B623" s="13" t="n"/>
      <c r="C623" s="24" t="n"/>
      <c r="D623" s="25" t="n"/>
    </row>
    <row r="624" ht="15.75" customHeight="1" s="74">
      <c r="B624" s="13" t="n"/>
      <c r="C624" s="24" t="n"/>
      <c r="D624" s="25" t="n"/>
    </row>
    <row r="625" ht="15.75" customHeight="1" s="74">
      <c r="B625" s="13" t="n"/>
      <c r="C625" s="24" t="n"/>
      <c r="D625" s="25" t="n"/>
    </row>
    <row r="626" ht="15.75" customHeight="1" s="74">
      <c r="B626" s="13" t="n"/>
      <c r="C626" s="24" t="n"/>
      <c r="D626" s="25" t="n"/>
    </row>
    <row r="627" ht="15.75" customHeight="1" s="74">
      <c r="B627" s="13" t="n"/>
      <c r="C627" s="24" t="n"/>
      <c r="D627" s="25" t="n"/>
    </row>
    <row r="628" ht="15.75" customHeight="1" s="74">
      <c r="B628" s="13" t="n"/>
      <c r="C628" s="24" t="n"/>
      <c r="D628" s="25" t="n"/>
    </row>
    <row r="629" ht="15.75" customHeight="1" s="74">
      <c r="B629" s="13" t="n"/>
      <c r="C629" s="24" t="n"/>
      <c r="D629" s="25" t="n"/>
    </row>
    <row r="630" ht="15.75" customHeight="1" s="74">
      <c r="B630" s="13" t="n"/>
      <c r="C630" s="24" t="n"/>
      <c r="D630" s="25" t="n"/>
    </row>
    <row r="631" ht="15.75" customHeight="1" s="74">
      <c r="B631" s="13" t="n"/>
      <c r="C631" s="24" t="n"/>
      <c r="D631" s="25" t="n"/>
    </row>
    <row r="632" ht="15.75" customHeight="1" s="74">
      <c r="B632" s="13" t="n"/>
      <c r="C632" s="24" t="n"/>
      <c r="D632" s="25" t="n"/>
    </row>
    <row r="633" ht="15.75" customHeight="1" s="74">
      <c r="B633" s="13" t="n"/>
      <c r="C633" s="24" t="n"/>
      <c r="D633" s="25" t="n"/>
    </row>
    <row r="634" ht="15.75" customHeight="1" s="74">
      <c r="B634" s="13" t="n"/>
      <c r="C634" s="24" t="n"/>
      <c r="D634" s="25" t="n"/>
    </row>
    <row r="635" ht="15.75" customHeight="1" s="74">
      <c r="B635" s="13" t="n"/>
      <c r="C635" s="24" t="n"/>
      <c r="D635" s="25" t="n"/>
    </row>
    <row r="636" ht="15.75" customHeight="1" s="74">
      <c r="B636" s="13" t="n"/>
      <c r="C636" s="24" t="n"/>
      <c r="D636" s="25" t="n"/>
    </row>
    <row r="637" ht="15.75" customHeight="1" s="74">
      <c r="B637" s="13" t="n"/>
      <c r="C637" s="24" t="n"/>
      <c r="D637" s="25" t="n"/>
    </row>
    <row r="638" ht="15.75" customHeight="1" s="74">
      <c r="B638" s="13" t="n"/>
      <c r="C638" s="24" t="n"/>
      <c r="D638" s="25" t="n"/>
    </row>
    <row r="639" ht="15.75" customHeight="1" s="74">
      <c r="B639" s="13" t="n"/>
      <c r="C639" s="24" t="n"/>
      <c r="D639" s="25" t="n"/>
    </row>
    <row r="640" ht="15.75" customHeight="1" s="74">
      <c r="B640" s="13" t="n"/>
      <c r="C640" s="24" t="n"/>
      <c r="D640" s="25" t="n"/>
    </row>
    <row r="641" ht="15.75" customHeight="1" s="74">
      <c r="B641" s="13" t="n"/>
      <c r="C641" s="24" t="n"/>
      <c r="D641" s="25" t="n"/>
    </row>
    <row r="642" ht="15.75" customHeight="1" s="74">
      <c r="B642" s="13" t="n"/>
      <c r="C642" s="24" t="n"/>
      <c r="D642" s="25" t="n"/>
    </row>
    <row r="643" ht="15.75" customHeight="1" s="74">
      <c r="B643" s="13" t="n"/>
      <c r="C643" s="24" t="n"/>
      <c r="D643" s="25" t="n"/>
    </row>
    <row r="644" ht="15.75" customHeight="1" s="74">
      <c r="B644" s="13" t="n"/>
      <c r="C644" s="24" t="n"/>
      <c r="D644" s="25" t="n"/>
    </row>
    <row r="645" ht="15.75" customHeight="1" s="74">
      <c r="B645" s="13" t="n"/>
      <c r="C645" s="24" t="n"/>
      <c r="D645" s="25" t="n"/>
    </row>
    <row r="646" ht="15.75" customHeight="1" s="74">
      <c r="B646" s="13" t="n"/>
      <c r="C646" s="24" t="n"/>
      <c r="D646" s="25" t="n"/>
    </row>
    <row r="647" ht="15.75" customHeight="1" s="74">
      <c r="B647" s="13" t="n"/>
      <c r="C647" s="24" t="n"/>
      <c r="D647" s="25" t="n"/>
    </row>
    <row r="648" ht="15.75" customHeight="1" s="74">
      <c r="B648" s="13" t="n"/>
      <c r="C648" s="24" t="n"/>
      <c r="D648" s="25" t="n"/>
    </row>
    <row r="649" ht="15.75" customHeight="1" s="74">
      <c r="B649" s="13" t="n"/>
      <c r="C649" s="24" t="n"/>
      <c r="D649" s="25" t="n"/>
    </row>
    <row r="650" ht="15.75" customHeight="1" s="74">
      <c r="B650" s="13" t="n"/>
      <c r="C650" s="24" t="n"/>
      <c r="D650" s="25" t="n"/>
    </row>
    <row r="651" ht="15.75" customHeight="1" s="74">
      <c r="B651" s="13" t="n"/>
      <c r="C651" s="24" t="n"/>
      <c r="D651" s="25" t="n"/>
    </row>
    <row r="652" ht="15.75" customHeight="1" s="74">
      <c r="B652" s="13" t="n"/>
      <c r="C652" s="24" t="n"/>
      <c r="D652" s="25" t="n"/>
    </row>
    <row r="653" ht="15.75" customHeight="1" s="74">
      <c r="B653" s="13" t="n"/>
      <c r="C653" s="24" t="n"/>
      <c r="D653" s="25" t="n"/>
    </row>
    <row r="654" ht="15.75" customHeight="1" s="74">
      <c r="B654" s="13" t="n"/>
      <c r="C654" s="24" t="n"/>
      <c r="D654" s="25" t="n"/>
    </row>
    <row r="655" ht="15.75" customHeight="1" s="74">
      <c r="B655" s="13" t="n"/>
      <c r="C655" s="24" t="n"/>
      <c r="D655" s="25" t="n"/>
    </row>
    <row r="656" ht="15.75" customHeight="1" s="74">
      <c r="B656" s="13" t="n"/>
      <c r="C656" s="24" t="n"/>
      <c r="D656" s="25" t="n"/>
    </row>
    <row r="657" ht="15.75" customHeight="1" s="74">
      <c r="B657" s="13" t="n"/>
      <c r="C657" s="24" t="n"/>
      <c r="D657" s="25" t="n"/>
    </row>
    <row r="658" ht="15.75" customHeight="1" s="74">
      <c r="B658" s="13" t="n"/>
      <c r="C658" s="24" t="n"/>
      <c r="D658" s="25" t="n"/>
    </row>
    <row r="659" ht="15.75" customHeight="1" s="74">
      <c r="B659" s="13" t="n"/>
      <c r="C659" s="24" t="n"/>
      <c r="D659" s="25" t="n"/>
    </row>
    <row r="660" ht="15.75" customHeight="1" s="74">
      <c r="B660" s="13" t="n"/>
      <c r="C660" s="24" t="n"/>
      <c r="D660" s="25" t="n"/>
    </row>
    <row r="661" ht="15.75" customHeight="1" s="74">
      <c r="B661" s="13" t="n"/>
      <c r="C661" s="24" t="n"/>
      <c r="D661" s="25" t="n"/>
    </row>
    <row r="662" ht="15.75" customHeight="1" s="74">
      <c r="B662" s="13" t="n"/>
      <c r="C662" s="24" t="n"/>
      <c r="D662" s="25" t="n"/>
    </row>
    <row r="663" ht="15.75" customHeight="1" s="74">
      <c r="B663" s="13" t="n"/>
      <c r="C663" s="24" t="n"/>
      <c r="D663" s="25" t="n"/>
    </row>
    <row r="664" ht="15.75" customHeight="1" s="74">
      <c r="B664" s="13" t="n"/>
      <c r="C664" s="24" t="n"/>
      <c r="D664" s="25" t="n"/>
    </row>
    <row r="665" ht="15.75" customHeight="1" s="74">
      <c r="B665" s="13" t="n"/>
      <c r="C665" s="24" t="n"/>
      <c r="D665" s="25" t="n"/>
    </row>
    <row r="666" ht="15.75" customHeight="1" s="74">
      <c r="B666" s="13" t="n"/>
      <c r="C666" s="24" t="n"/>
      <c r="D666" s="25" t="n"/>
    </row>
    <row r="667" ht="15.75" customHeight="1" s="74">
      <c r="B667" s="13" t="n"/>
      <c r="C667" s="24" t="n"/>
      <c r="D667" s="25" t="n"/>
    </row>
    <row r="668" ht="15.75" customHeight="1" s="74">
      <c r="B668" s="13" t="n"/>
      <c r="C668" s="24" t="n"/>
      <c r="D668" s="25" t="n"/>
    </row>
    <row r="669" ht="15.75" customHeight="1" s="74">
      <c r="B669" s="13" t="n"/>
      <c r="C669" s="24" t="n"/>
      <c r="D669" s="25" t="n"/>
    </row>
    <row r="670" ht="15.75" customHeight="1" s="74">
      <c r="B670" s="13" t="n"/>
      <c r="C670" s="24" t="n"/>
      <c r="D670" s="25" t="n"/>
    </row>
    <row r="671" ht="15.75" customHeight="1" s="74">
      <c r="B671" s="13" t="n"/>
      <c r="C671" s="24" t="n"/>
      <c r="D671" s="25" t="n"/>
    </row>
    <row r="672" ht="15.75" customHeight="1" s="74">
      <c r="B672" s="13" t="n"/>
      <c r="C672" s="24" t="n"/>
      <c r="D672" s="25" t="n"/>
    </row>
    <row r="673" ht="15.75" customHeight="1" s="74">
      <c r="B673" s="13" t="n"/>
      <c r="C673" s="24" t="n"/>
      <c r="D673" s="25" t="n"/>
    </row>
    <row r="674" ht="15.75" customHeight="1" s="74">
      <c r="B674" s="13" t="n"/>
      <c r="C674" s="24" t="n"/>
      <c r="D674" s="25" t="n"/>
    </row>
    <row r="675" ht="15.75" customHeight="1" s="74">
      <c r="B675" s="13" t="n"/>
      <c r="C675" s="24" t="n"/>
      <c r="D675" s="25" t="n"/>
    </row>
    <row r="676" ht="15.75" customHeight="1" s="74">
      <c r="B676" s="13" t="n"/>
      <c r="C676" s="24" t="n"/>
      <c r="D676" s="25" t="n"/>
    </row>
    <row r="677" ht="15.75" customHeight="1" s="74">
      <c r="B677" s="13" t="n"/>
      <c r="C677" s="24" t="n"/>
      <c r="D677" s="25" t="n"/>
    </row>
    <row r="678" ht="15.75" customHeight="1" s="74">
      <c r="B678" s="13" t="n"/>
      <c r="C678" s="24" t="n"/>
      <c r="D678" s="25" t="n"/>
    </row>
    <row r="679" ht="15.75" customHeight="1" s="74">
      <c r="B679" s="13" t="n"/>
      <c r="C679" s="24" t="n"/>
      <c r="D679" s="25" t="n"/>
    </row>
    <row r="680" ht="15.75" customHeight="1" s="74">
      <c r="B680" s="13" t="n"/>
      <c r="C680" s="24" t="n"/>
      <c r="D680" s="25" t="n"/>
    </row>
    <row r="681" ht="15.75" customHeight="1" s="74">
      <c r="B681" s="13" t="n"/>
      <c r="C681" s="24" t="n"/>
      <c r="D681" s="25" t="n"/>
    </row>
    <row r="682" ht="15.75" customHeight="1" s="74">
      <c r="B682" s="13" t="n"/>
      <c r="C682" s="24" t="n"/>
      <c r="D682" s="25" t="n"/>
    </row>
    <row r="683" ht="15.75" customHeight="1" s="74">
      <c r="B683" s="13" t="n"/>
      <c r="C683" s="24" t="n"/>
      <c r="D683" s="25" t="n"/>
    </row>
    <row r="684" ht="15.75" customHeight="1" s="74">
      <c r="B684" s="13" t="n"/>
      <c r="C684" s="24" t="n"/>
      <c r="D684" s="25" t="n"/>
    </row>
    <row r="685" ht="15.75" customHeight="1" s="74">
      <c r="B685" s="13" t="n"/>
      <c r="C685" s="24" t="n"/>
      <c r="D685" s="25" t="n"/>
    </row>
    <row r="686" ht="15.75" customHeight="1" s="74">
      <c r="B686" s="13" t="n"/>
      <c r="C686" s="24" t="n"/>
      <c r="D686" s="25" t="n"/>
    </row>
    <row r="687" ht="15.75" customHeight="1" s="74">
      <c r="B687" s="13" t="n"/>
      <c r="C687" s="24" t="n"/>
      <c r="D687" s="25" t="n"/>
    </row>
    <row r="688" ht="15.75" customHeight="1" s="74">
      <c r="B688" s="13" t="n"/>
      <c r="C688" s="24" t="n"/>
      <c r="D688" s="25" t="n"/>
    </row>
    <row r="689" ht="15.75" customHeight="1" s="74">
      <c r="B689" s="13" t="n"/>
      <c r="C689" s="24" t="n"/>
      <c r="D689" s="25" t="n"/>
    </row>
    <row r="690" ht="15.75" customHeight="1" s="74">
      <c r="B690" s="13" t="n"/>
      <c r="C690" s="24" t="n"/>
      <c r="D690" s="25" t="n"/>
    </row>
    <row r="691" ht="15.75" customHeight="1" s="74">
      <c r="B691" s="13" t="n"/>
      <c r="C691" s="24" t="n"/>
      <c r="D691" s="25" t="n"/>
    </row>
    <row r="692" ht="15.75" customHeight="1" s="74">
      <c r="B692" s="13" t="n"/>
      <c r="C692" s="24" t="n"/>
      <c r="D692" s="25" t="n"/>
    </row>
    <row r="693" ht="15.75" customHeight="1" s="74">
      <c r="B693" s="13" t="n"/>
      <c r="C693" s="24" t="n"/>
      <c r="D693" s="25" t="n"/>
    </row>
    <row r="694" ht="15.75" customHeight="1" s="74">
      <c r="B694" s="13" t="n"/>
      <c r="C694" s="24" t="n"/>
      <c r="D694" s="25" t="n"/>
    </row>
    <row r="695" ht="15.75" customHeight="1" s="74">
      <c r="B695" s="13" t="n"/>
      <c r="C695" s="24" t="n"/>
      <c r="D695" s="25" t="n"/>
    </row>
    <row r="696" ht="15.75" customHeight="1" s="74">
      <c r="B696" s="13" t="n"/>
      <c r="C696" s="24" t="n"/>
      <c r="D696" s="25" t="n"/>
    </row>
    <row r="697" ht="15.75" customHeight="1" s="74">
      <c r="B697" s="13" t="n"/>
      <c r="C697" s="24" t="n"/>
      <c r="D697" s="25" t="n"/>
    </row>
    <row r="698" ht="15.75" customHeight="1" s="74">
      <c r="B698" s="13" t="n"/>
      <c r="C698" s="24" t="n"/>
      <c r="D698" s="25" t="n"/>
    </row>
    <row r="699" ht="15.75" customHeight="1" s="74">
      <c r="B699" s="13" t="n"/>
      <c r="C699" s="24" t="n"/>
      <c r="D699" s="25" t="n"/>
    </row>
    <row r="700" ht="15.75" customHeight="1" s="74">
      <c r="B700" s="13" t="n"/>
      <c r="C700" s="24" t="n"/>
      <c r="D700" s="25" t="n"/>
    </row>
    <row r="701" ht="15.75" customHeight="1" s="74">
      <c r="B701" s="13" t="n"/>
      <c r="C701" s="24" t="n"/>
      <c r="D701" s="25" t="n"/>
    </row>
    <row r="702" ht="15.75" customHeight="1" s="74">
      <c r="B702" s="13" t="n"/>
      <c r="C702" s="24" t="n"/>
      <c r="D702" s="25" t="n"/>
    </row>
    <row r="703" ht="15.75" customHeight="1" s="74">
      <c r="B703" s="13" t="n"/>
      <c r="C703" s="24" t="n"/>
      <c r="D703" s="25" t="n"/>
    </row>
    <row r="704" ht="15.75" customHeight="1" s="74">
      <c r="B704" s="13" t="n"/>
      <c r="C704" s="24" t="n"/>
      <c r="D704" s="25" t="n"/>
    </row>
    <row r="705" ht="15.75" customHeight="1" s="74">
      <c r="B705" s="13" t="n"/>
      <c r="C705" s="24" t="n"/>
      <c r="D705" s="25" t="n"/>
    </row>
    <row r="706" ht="15.75" customHeight="1" s="74">
      <c r="B706" s="13" t="n"/>
      <c r="C706" s="24" t="n"/>
      <c r="D706" s="25" t="n"/>
    </row>
    <row r="707" ht="15.75" customHeight="1" s="74">
      <c r="B707" s="13" t="n"/>
      <c r="C707" s="24" t="n"/>
      <c r="D707" s="25" t="n"/>
    </row>
    <row r="708" ht="15.75" customHeight="1" s="74">
      <c r="B708" s="13" t="n"/>
      <c r="C708" s="24" t="n"/>
      <c r="D708" s="25" t="n"/>
    </row>
    <row r="709" ht="15.75" customHeight="1" s="74">
      <c r="B709" s="13" t="n"/>
      <c r="C709" s="24" t="n"/>
      <c r="D709" s="25" t="n"/>
    </row>
    <row r="710" ht="15.75" customHeight="1" s="74">
      <c r="B710" s="13" t="n"/>
      <c r="C710" s="24" t="n"/>
      <c r="D710" s="25" t="n"/>
    </row>
    <row r="711" ht="15.75" customHeight="1" s="74">
      <c r="B711" s="13" t="n"/>
      <c r="C711" s="24" t="n"/>
      <c r="D711" s="25" t="n"/>
    </row>
    <row r="712" ht="15.75" customHeight="1" s="74">
      <c r="B712" s="13" t="n"/>
      <c r="C712" s="24" t="n"/>
      <c r="D712" s="25" t="n"/>
    </row>
    <row r="713" ht="15.75" customHeight="1" s="74">
      <c r="B713" s="13" t="n"/>
      <c r="C713" s="24" t="n"/>
      <c r="D713" s="25" t="n"/>
    </row>
    <row r="714" ht="15.75" customHeight="1" s="74">
      <c r="B714" s="13" t="n"/>
      <c r="C714" s="24" t="n"/>
      <c r="D714" s="25" t="n"/>
    </row>
    <row r="715" ht="15.75" customHeight="1" s="74">
      <c r="B715" s="13" t="n"/>
      <c r="C715" s="24" t="n"/>
      <c r="D715" s="25" t="n"/>
    </row>
    <row r="716" ht="15.75" customHeight="1" s="74">
      <c r="B716" s="13" t="n"/>
      <c r="C716" s="24" t="n"/>
      <c r="D716" s="25" t="n"/>
    </row>
    <row r="717" ht="15.75" customHeight="1" s="74">
      <c r="B717" s="13" t="n"/>
      <c r="C717" s="24" t="n"/>
      <c r="D717" s="25" t="n"/>
    </row>
    <row r="718" ht="15.75" customHeight="1" s="74">
      <c r="B718" s="13" t="n"/>
      <c r="C718" s="24" t="n"/>
      <c r="D718" s="25" t="n"/>
    </row>
    <row r="719" ht="15.75" customHeight="1" s="74">
      <c r="B719" s="13" t="n"/>
      <c r="C719" s="24" t="n"/>
      <c r="D719" s="25" t="n"/>
    </row>
    <row r="720" ht="15.75" customHeight="1" s="74">
      <c r="B720" s="13" t="n"/>
      <c r="C720" s="24" t="n"/>
      <c r="D720" s="25" t="n"/>
    </row>
    <row r="721" ht="15.75" customHeight="1" s="74">
      <c r="B721" s="13" t="n"/>
      <c r="C721" s="24" t="n"/>
      <c r="D721" s="25" t="n"/>
    </row>
    <row r="722" ht="15.75" customHeight="1" s="74">
      <c r="B722" s="13" t="n"/>
      <c r="C722" s="24" t="n"/>
      <c r="D722" s="25" t="n"/>
    </row>
    <row r="723" ht="15.75" customHeight="1" s="74">
      <c r="B723" s="13" t="n"/>
      <c r="C723" s="24" t="n"/>
      <c r="D723" s="25" t="n"/>
    </row>
    <row r="724" ht="15.75" customHeight="1" s="74">
      <c r="B724" s="13" t="n"/>
      <c r="C724" s="24" t="n"/>
      <c r="D724" s="25" t="n"/>
    </row>
    <row r="725" ht="15.75" customHeight="1" s="74">
      <c r="B725" s="13" t="n"/>
      <c r="C725" s="24" t="n"/>
      <c r="D725" s="25" t="n"/>
    </row>
    <row r="726" ht="15.75" customHeight="1" s="74">
      <c r="B726" s="13" t="n"/>
      <c r="C726" s="24" t="n"/>
      <c r="D726" s="25" t="n"/>
    </row>
    <row r="727" ht="15.75" customHeight="1" s="74">
      <c r="B727" s="13" t="n"/>
      <c r="C727" s="24" t="n"/>
      <c r="D727" s="25" t="n"/>
    </row>
    <row r="728" ht="15.75" customHeight="1" s="74">
      <c r="B728" s="13" t="n"/>
      <c r="C728" s="24" t="n"/>
      <c r="D728" s="25" t="n"/>
    </row>
    <row r="729" ht="15.75" customHeight="1" s="74">
      <c r="B729" s="13" t="n"/>
      <c r="C729" s="24" t="n"/>
      <c r="D729" s="25" t="n"/>
    </row>
    <row r="730" ht="15.75" customHeight="1" s="74">
      <c r="B730" s="13" t="n"/>
      <c r="C730" s="24" t="n"/>
      <c r="D730" s="25" t="n"/>
    </row>
    <row r="731" ht="15.75" customHeight="1" s="74">
      <c r="B731" s="13" t="n"/>
      <c r="C731" s="24" t="n"/>
      <c r="D731" s="25" t="n"/>
    </row>
    <row r="732" ht="15.75" customHeight="1" s="74">
      <c r="B732" s="13" t="n"/>
      <c r="C732" s="24" t="n"/>
      <c r="D732" s="25" t="n"/>
    </row>
    <row r="733" ht="15.75" customHeight="1" s="74">
      <c r="B733" s="13" t="n"/>
      <c r="C733" s="24" t="n"/>
      <c r="D733" s="25" t="n"/>
    </row>
    <row r="734" ht="15.75" customHeight="1" s="74">
      <c r="B734" s="13" t="n"/>
      <c r="C734" s="24" t="n"/>
      <c r="D734" s="25" t="n"/>
    </row>
    <row r="735" ht="15.75" customHeight="1" s="74">
      <c r="B735" s="13" t="n"/>
      <c r="C735" s="24" t="n"/>
      <c r="D735" s="25" t="n"/>
    </row>
    <row r="736" ht="15.75" customHeight="1" s="74">
      <c r="B736" s="13" t="n"/>
      <c r="C736" s="24" t="n"/>
      <c r="D736" s="25" t="n"/>
    </row>
    <row r="737" ht="15.75" customHeight="1" s="74">
      <c r="B737" s="13" t="n"/>
      <c r="C737" s="24" t="n"/>
      <c r="D737" s="25" t="n"/>
    </row>
    <row r="738" ht="15.75" customHeight="1" s="74">
      <c r="B738" s="13" t="n"/>
      <c r="C738" s="24" t="n"/>
      <c r="D738" s="25" t="n"/>
    </row>
    <row r="739" ht="15.75" customHeight="1" s="74">
      <c r="B739" s="13" t="n"/>
      <c r="C739" s="24" t="n"/>
      <c r="D739" s="25" t="n"/>
    </row>
    <row r="740" ht="15.75" customHeight="1" s="74">
      <c r="B740" s="13" t="n"/>
      <c r="C740" s="24" t="n"/>
      <c r="D740" s="25" t="n"/>
    </row>
    <row r="741" ht="15.75" customHeight="1" s="74">
      <c r="B741" s="13" t="n"/>
      <c r="C741" s="24" t="n"/>
      <c r="D741" s="25" t="n"/>
    </row>
    <row r="742" ht="15.75" customHeight="1" s="74">
      <c r="B742" s="13" t="n"/>
      <c r="C742" s="24" t="n"/>
      <c r="D742" s="25" t="n"/>
    </row>
    <row r="743" ht="15.75" customHeight="1" s="74">
      <c r="B743" s="13" t="n"/>
      <c r="C743" s="24" t="n"/>
      <c r="D743" s="25" t="n"/>
    </row>
    <row r="744" ht="15.75" customHeight="1" s="74">
      <c r="B744" s="13" t="n"/>
      <c r="C744" s="24" t="n"/>
      <c r="D744" s="25" t="n"/>
    </row>
    <row r="745" ht="15.75" customHeight="1" s="74">
      <c r="B745" s="13" t="n"/>
      <c r="C745" s="24" t="n"/>
      <c r="D745" s="25" t="n"/>
    </row>
    <row r="746" ht="15.75" customHeight="1" s="74">
      <c r="B746" s="13" t="n"/>
      <c r="C746" s="24" t="n"/>
      <c r="D746" s="25" t="n"/>
    </row>
    <row r="747" ht="15.75" customHeight="1" s="74">
      <c r="B747" s="13" t="n"/>
      <c r="C747" s="24" t="n"/>
      <c r="D747" s="25" t="n"/>
    </row>
    <row r="748" ht="15.75" customHeight="1" s="74">
      <c r="B748" s="13" t="n"/>
      <c r="C748" s="24" t="n"/>
      <c r="D748" s="25" t="n"/>
    </row>
    <row r="749" ht="15.75" customHeight="1" s="74">
      <c r="B749" s="13" t="n"/>
      <c r="C749" s="24" t="n"/>
      <c r="D749" s="25" t="n"/>
    </row>
    <row r="750" ht="15.75" customHeight="1" s="74">
      <c r="B750" s="13" t="n"/>
      <c r="C750" s="24" t="n"/>
      <c r="D750" s="25" t="n"/>
    </row>
    <row r="751" ht="15.75" customHeight="1" s="74">
      <c r="B751" s="13" t="n"/>
      <c r="C751" s="24" t="n"/>
      <c r="D751" s="25" t="n"/>
    </row>
    <row r="752" ht="15.75" customHeight="1" s="74">
      <c r="B752" s="13" t="n"/>
      <c r="C752" s="24" t="n"/>
      <c r="D752" s="25" t="n"/>
    </row>
    <row r="753" ht="15.75" customHeight="1" s="74">
      <c r="B753" s="13" t="n"/>
      <c r="C753" s="24" t="n"/>
      <c r="D753" s="25" t="n"/>
    </row>
    <row r="754" ht="15.75" customHeight="1" s="74">
      <c r="B754" s="13" t="n"/>
      <c r="C754" s="24" t="n"/>
      <c r="D754" s="25" t="n"/>
    </row>
    <row r="755" ht="15.75" customHeight="1" s="74">
      <c r="B755" s="13" t="n"/>
      <c r="C755" s="24" t="n"/>
      <c r="D755" s="25" t="n"/>
    </row>
    <row r="756" ht="15.75" customHeight="1" s="74">
      <c r="B756" s="13" t="n"/>
      <c r="C756" s="24" t="n"/>
      <c r="D756" s="25" t="n"/>
    </row>
    <row r="757" ht="15.75" customHeight="1" s="74">
      <c r="B757" s="13" t="n"/>
      <c r="C757" s="24" t="n"/>
      <c r="D757" s="25" t="n"/>
    </row>
    <row r="758" ht="15.75" customHeight="1" s="74">
      <c r="B758" s="13" t="n"/>
      <c r="C758" s="24" t="n"/>
      <c r="D758" s="25" t="n"/>
    </row>
    <row r="759" ht="15.75" customHeight="1" s="74">
      <c r="B759" s="13" t="n"/>
      <c r="C759" s="24" t="n"/>
      <c r="D759" s="25" t="n"/>
    </row>
    <row r="760" ht="15.75" customHeight="1" s="74">
      <c r="B760" s="13" t="n"/>
      <c r="C760" s="24" t="n"/>
      <c r="D760" s="25" t="n"/>
    </row>
    <row r="761" ht="15.75" customHeight="1" s="74">
      <c r="B761" s="13" t="n"/>
      <c r="C761" s="24" t="n"/>
      <c r="D761" s="25" t="n"/>
    </row>
    <row r="762" ht="15.75" customHeight="1" s="74">
      <c r="B762" s="13" t="n"/>
      <c r="C762" s="24" t="n"/>
      <c r="D762" s="25" t="n"/>
    </row>
    <row r="763" ht="15.75" customHeight="1" s="74">
      <c r="B763" s="13" t="n"/>
      <c r="C763" s="24" t="n"/>
      <c r="D763" s="25" t="n"/>
    </row>
    <row r="764" ht="15.75" customHeight="1" s="74">
      <c r="B764" s="13" t="n"/>
      <c r="C764" s="24" t="n"/>
      <c r="D764" s="25" t="n"/>
    </row>
    <row r="765" ht="15.75" customHeight="1" s="74">
      <c r="B765" s="13" t="n"/>
      <c r="C765" s="24" t="n"/>
      <c r="D765" s="25" t="n"/>
    </row>
    <row r="766" ht="15.75" customHeight="1" s="74">
      <c r="B766" s="13" t="n"/>
      <c r="C766" s="24" t="n"/>
      <c r="D766" s="25" t="n"/>
    </row>
    <row r="767" ht="15.75" customHeight="1" s="74">
      <c r="B767" s="13" t="n"/>
      <c r="C767" s="24" t="n"/>
      <c r="D767" s="25" t="n"/>
    </row>
    <row r="768" ht="15.75" customHeight="1" s="74">
      <c r="B768" s="13" t="n"/>
      <c r="C768" s="24" t="n"/>
      <c r="D768" s="25" t="n"/>
    </row>
    <row r="769" ht="15.75" customHeight="1" s="74">
      <c r="B769" s="13" t="n"/>
      <c r="C769" s="24" t="n"/>
      <c r="D769" s="25" t="n"/>
    </row>
    <row r="770" ht="15.75" customHeight="1" s="74">
      <c r="B770" s="13" t="n"/>
      <c r="C770" s="24" t="n"/>
      <c r="D770" s="25" t="n"/>
    </row>
    <row r="771" ht="15.75" customHeight="1" s="74">
      <c r="B771" s="13" t="n"/>
      <c r="C771" s="24" t="n"/>
      <c r="D771" s="25" t="n"/>
    </row>
    <row r="772" ht="15.75" customHeight="1" s="74">
      <c r="B772" s="13" t="n"/>
      <c r="C772" s="24" t="n"/>
      <c r="D772" s="25" t="n"/>
    </row>
    <row r="773" ht="15.75" customHeight="1" s="74">
      <c r="B773" s="13" t="n"/>
      <c r="C773" s="24" t="n"/>
      <c r="D773" s="25" t="n"/>
    </row>
    <row r="774" ht="15.75" customHeight="1" s="74">
      <c r="B774" s="13" t="n"/>
      <c r="C774" s="24" t="n"/>
      <c r="D774" s="25" t="n"/>
    </row>
    <row r="775" ht="15.75" customHeight="1" s="74">
      <c r="B775" s="13" t="n"/>
      <c r="C775" s="24" t="n"/>
      <c r="D775" s="25" t="n"/>
    </row>
    <row r="776" ht="15.75" customHeight="1" s="74">
      <c r="B776" s="13" t="n"/>
      <c r="C776" s="24" t="n"/>
      <c r="D776" s="25" t="n"/>
    </row>
    <row r="777" ht="15.75" customHeight="1" s="74">
      <c r="B777" s="13" t="n"/>
      <c r="C777" s="24" t="n"/>
      <c r="D777" s="25" t="n"/>
    </row>
    <row r="778" ht="15.75" customHeight="1" s="74">
      <c r="B778" s="13" t="n"/>
      <c r="C778" s="24" t="n"/>
      <c r="D778" s="25" t="n"/>
    </row>
    <row r="779" ht="15.75" customHeight="1" s="74">
      <c r="B779" s="13" t="n"/>
      <c r="C779" s="24" t="n"/>
      <c r="D779" s="25" t="n"/>
    </row>
    <row r="780" ht="15.75" customHeight="1" s="74">
      <c r="B780" s="13" t="n"/>
      <c r="C780" s="24" t="n"/>
      <c r="D780" s="25" t="n"/>
    </row>
    <row r="781" ht="15.75" customHeight="1" s="74">
      <c r="B781" s="13" t="n"/>
      <c r="C781" s="24" t="n"/>
      <c r="D781" s="25" t="n"/>
    </row>
    <row r="782" ht="15.75" customHeight="1" s="74">
      <c r="B782" s="13" t="n"/>
      <c r="C782" s="24" t="n"/>
      <c r="D782" s="25" t="n"/>
    </row>
    <row r="783" ht="15.75" customHeight="1" s="74">
      <c r="B783" s="13" t="n"/>
      <c r="C783" s="24" t="n"/>
      <c r="D783" s="25" t="n"/>
    </row>
    <row r="784" ht="15.75" customHeight="1" s="74">
      <c r="B784" s="13" t="n"/>
      <c r="C784" s="24" t="n"/>
      <c r="D784" s="25" t="n"/>
    </row>
    <row r="785" ht="15.75" customHeight="1" s="74">
      <c r="B785" s="13" t="n"/>
      <c r="C785" s="24" t="n"/>
      <c r="D785" s="25" t="n"/>
    </row>
    <row r="786" ht="15.75" customHeight="1" s="74">
      <c r="B786" s="13" t="n"/>
      <c r="C786" s="24" t="n"/>
      <c r="D786" s="25" t="n"/>
    </row>
    <row r="787" ht="15.75" customHeight="1" s="74">
      <c r="B787" s="13" t="n"/>
      <c r="C787" s="24" t="n"/>
      <c r="D787" s="25" t="n"/>
    </row>
    <row r="788" ht="15.75" customHeight="1" s="74">
      <c r="B788" s="13" t="n"/>
      <c r="C788" s="24" t="n"/>
      <c r="D788" s="25" t="n"/>
    </row>
    <row r="789" ht="15.75" customHeight="1" s="74">
      <c r="B789" s="13" t="n"/>
      <c r="C789" s="24" t="n"/>
      <c r="D789" s="25" t="n"/>
    </row>
    <row r="790" ht="15.75" customHeight="1" s="74">
      <c r="B790" s="13" t="n"/>
      <c r="C790" s="24" t="n"/>
      <c r="D790" s="25" t="n"/>
    </row>
    <row r="791" ht="15.75" customHeight="1" s="74">
      <c r="B791" s="13" t="n"/>
      <c r="C791" s="24" t="n"/>
      <c r="D791" s="25" t="n"/>
    </row>
    <row r="792" ht="15.75" customHeight="1" s="74">
      <c r="B792" s="13" t="n"/>
      <c r="C792" s="24" t="n"/>
      <c r="D792" s="25" t="n"/>
    </row>
    <row r="793" ht="15.75" customHeight="1" s="74">
      <c r="B793" s="13" t="n"/>
      <c r="C793" s="24" t="n"/>
      <c r="D793" s="25" t="n"/>
    </row>
    <row r="794" ht="15.75" customHeight="1" s="74">
      <c r="B794" s="13" t="n"/>
      <c r="C794" s="24" t="n"/>
      <c r="D794" s="25" t="n"/>
    </row>
    <row r="795" ht="15.75" customHeight="1" s="74">
      <c r="B795" s="13" t="n"/>
      <c r="C795" s="24" t="n"/>
      <c r="D795" s="25" t="n"/>
    </row>
    <row r="796" ht="15.75" customHeight="1" s="74">
      <c r="B796" s="13" t="n"/>
      <c r="C796" s="24" t="n"/>
      <c r="D796" s="25" t="n"/>
    </row>
    <row r="797" ht="15.75" customHeight="1" s="74">
      <c r="B797" s="13" t="n"/>
      <c r="C797" s="24" t="n"/>
      <c r="D797" s="25" t="n"/>
    </row>
    <row r="798" ht="15.75" customHeight="1" s="74">
      <c r="B798" s="13" t="n"/>
      <c r="C798" s="24" t="n"/>
      <c r="D798" s="25" t="n"/>
    </row>
    <row r="799" ht="15.75" customHeight="1" s="74">
      <c r="B799" s="13" t="n"/>
      <c r="C799" s="24" t="n"/>
      <c r="D799" s="25" t="n"/>
    </row>
    <row r="800" ht="15.75" customHeight="1" s="74">
      <c r="B800" s="13" t="n"/>
      <c r="C800" s="24" t="n"/>
      <c r="D800" s="25" t="n"/>
    </row>
    <row r="801" ht="15.75" customHeight="1" s="74">
      <c r="B801" s="13" t="n"/>
      <c r="C801" s="24" t="n"/>
      <c r="D801" s="25" t="n"/>
    </row>
    <row r="802" ht="15.75" customHeight="1" s="74">
      <c r="B802" s="13" t="n"/>
      <c r="C802" s="24" t="n"/>
      <c r="D802" s="25" t="n"/>
    </row>
    <row r="803" ht="15.75" customHeight="1" s="74">
      <c r="B803" s="13" t="n"/>
      <c r="C803" s="24" t="n"/>
      <c r="D803" s="25" t="n"/>
    </row>
    <row r="804" ht="15.75" customHeight="1" s="74">
      <c r="B804" s="13" t="n"/>
      <c r="C804" s="24" t="n"/>
      <c r="D804" s="25" t="n"/>
    </row>
    <row r="805" ht="15.75" customHeight="1" s="74">
      <c r="B805" s="13" t="n"/>
      <c r="C805" s="24" t="n"/>
      <c r="D805" s="25" t="n"/>
    </row>
    <row r="806" ht="15.75" customHeight="1" s="74">
      <c r="B806" s="13" t="n"/>
      <c r="C806" s="24" t="n"/>
      <c r="D806" s="25" t="n"/>
    </row>
    <row r="807" ht="15.75" customHeight="1" s="74">
      <c r="B807" s="13" t="n"/>
      <c r="C807" s="24" t="n"/>
      <c r="D807" s="25" t="n"/>
    </row>
    <row r="808" ht="15.75" customHeight="1" s="74">
      <c r="B808" s="13" t="n"/>
      <c r="C808" s="24" t="n"/>
      <c r="D808" s="25" t="n"/>
    </row>
    <row r="809" ht="15.75" customHeight="1" s="74">
      <c r="B809" s="13" t="n"/>
      <c r="C809" s="24" t="n"/>
      <c r="D809" s="25" t="n"/>
    </row>
    <row r="810" ht="15.75" customHeight="1" s="74">
      <c r="B810" s="13" t="n"/>
      <c r="C810" s="24" t="n"/>
      <c r="D810" s="25" t="n"/>
    </row>
    <row r="811" ht="15.75" customHeight="1" s="74">
      <c r="B811" s="13" t="n"/>
      <c r="C811" s="24" t="n"/>
      <c r="D811" s="25" t="n"/>
    </row>
    <row r="812" ht="15.75" customHeight="1" s="74">
      <c r="B812" s="13" t="n"/>
      <c r="C812" s="24" t="n"/>
      <c r="D812" s="25" t="n"/>
    </row>
    <row r="813" ht="15.75" customHeight="1" s="74">
      <c r="B813" s="13" t="n"/>
      <c r="C813" s="24" t="n"/>
      <c r="D813" s="25" t="n"/>
    </row>
    <row r="814" ht="15.75" customHeight="1" s="74">
      <c r="B814" s="13" t="n"/>
      <c r="C814" s="24" t="n"/>
      <c r="D814" s="25" t="n"/>
    </row>
    <row r="815" ht="15.75" customHeight="1" s="74">
      <c r="B815" s="13" t="n"/>
      <c r="C815" s="24" t="n"/>
      <c r="D815" s="25" t="n"/>
    </row>
    <row r="816" ht="15.75" customHeight="1" s="74">
      <c r="B816" s="13" t="n"/>
      <c r="C816" s="24" t="n"/>
      <c r="D816" s="25" t="n"/>
    </row>
    <row r="817" ht="15.75" customHeight="1" s="74">
      <c r="B817" s="13" t="n"/>
      <c r="C817" s="24" t="n"/>
      <c r="D817" s="25" t="n"/>
    </row>
    <row r="818" ht="15.75" customHeight="1" s="74">
      <c r="B818" s="13" t="n"/>
      <c r="C818" s="24" t="n"/>
      <c r="D818" s="25" t="n"/>
    </row>
    <row r="819" ht="15.75" customHeight="1" s="74">
      <c r="B819" s="13" t="n"/>
      <c r="C819" s="24" t="n"/>
      <c r="D819" s="25" t="n"/>
    </row>
    <row r="820" ht="15.75" customHeight="1" s="74">
      <c r="B820" s="13" t="n"/>
      <c r="C820" s="24" t="n"/>
      <c r="D820" s="25" t="n"/>
    </row>
    <row r="821" ht="15.75" customHeight="1" s="74">
      <c r="B821" s="13" t="n"/>
      <c r="C821" s="24" t="n"/>
      <c r="D821" s="25" t="n"/>
    </row>
    <row r="822" ht="15.75" customHeight="1" s="74">
      <c r="B822" s="13" t="n"/>
      <c r="C822" s="24" t="n"/>
      <c r="D822" s="25" t="n"/>
    </row>
    <row r="823" ht="15.75" customHeight="1" s="74">
      <c r="B823" s="13" t="n"/>
      <c r="C823" s="24" t="n"/>
      <c r="D823" s="25" t="n"/>
    </row>
    <row r="824" ht="15.75" customHeight="1" s="74">
      <c r="B824" s="13" t="n"/>
      <c r="C824" s="24" t="n"/>
      <c r="D824" s="25" t="n"/>
    </row>
    <row r="825" ht="15.75" customHeight="1" s="74">
      <c r="B825" s="13" t="n"/>
      <c r="C825" s="24" t="n"/>
      <c r="D825" s="25" t="n"/>
    </row>
    <row r="826" ht="15.75" customHeight="1" s="74">
      <c r="B826" s="13" t="n"/>
      <c r="C826" s="24" t="n"/>
      <c r="D826" s="25" t="n"/>
    </row>
    <row r="827" ht="15.75" customHeight="1" s="74">
      <c r="B827" s="13" t="n"/>
      <c r="C827" s="24" t="n"/>
      <c r="D827" s="25" t="n"/>
    </row>
    <row r="828" ht="15.75" customHeight="1" s="74">
      <c r="B828" s="13" t="n"/>
      <c r="C828" s="24" t="n"/>
      <c r="D828" s="25" t="n"/>
    </row>
    <row r="829" ht="15.75" customHeight="1" s="74">
      <c r="B829" s="13" t="n"/>
      <c r="C829" s="24" t="n"/>
      <c r="D829" s="25" t="n"/>
    </row>
    <row r="830" ht="15.75" customHeight="1" s="74">
      <c r="B830" s="13" t="n"/>
      <c r="C830" s="24" t="n"/>
      <c r="D830" s="25" t="n"/>
    </row>
    <row r="831" ht="15.75" customHeight="1" s="74">
      <c r="B831" s="13" t="n"/>
      <c r="C831" s="24" t="n"/>
      <c r="D831" s="25" t="n"/>
    </row>
    <row r="832" ht="15.75" customHeight="1" s="74">
      <c r="B832" s="13" t="n"/>
      <c r="C832" s="24" t="n"/>
      <c r="D832" s="25" t="n"/>
    </row>
    <row r="833" ht="15.75" customHeight="1" s="74">
      <c r="B833" s="13" t="n"/>
      <c r="C833" s="24" t="n"/>
      <c r="D833" s="25" t="n"/>
    </row>
    <row r="834" ht="15.75" customHeight="1" s="74">
      <c r="B834" s="13" t="n"/>
      <c r="C834" s="24" t="n"/>
      <c r="D834" s="25" t="n"/>
    </row>
    <row r="835" ht="15.75" customHeight="1" s="74">
      <c r="B835" s="13" t="n"/>
      <c r="C835" s="24" t="n"/>
      <c r="D835" s="25" t="n"/>
    </row>
    <row r="836" ht="15.75" customHeight="1" s="74">
      <c r="B836" s="13" t="n"/>
      <c r="C836" s="24" t="n"/>
      <c r="D836" s="25" t="n"/>
    </row>
    <row r="837" ht="15.75" customHeight="1" s="74">
      <c r="B837" s="13" t="n"/>
      <c r="C837" s="24" t="n"/>
      <c r="D837" s="25" t="n"/>
    </row>
    <row r="838" ht="15.75" customHeight="1" s="74">
      <c r="B838" s="13" t="n"/>
      <c r="C838" s="24" t="n"/>
      <c r="D838" s="25" t="n"/>
    </row>
    <row r="839" ht="15.75" customHeight="1" s="74">
      <c r="B839" s="13" t="n"/>
      <c r="C839" s="24" t="n"/>
      <c r="D839" s="25" t="n"/>
    </row>
    <row r="840" ht="15.75" customHeight="1" s="74">
      <c r="B840" s="13" t="n"/>
      <c r="C840" s="24" t="n"/>
      <c r="D840" s="25" t="n"/>
    </row>
    <row r="841" ht="15.75" customHeight="1" s="74">
      <c r="B841" s="13" t="n"/>
      <c r="C841" s="24" t="n"/>
      <c r="D841" s="25" t="n"/>
    </row>
    <row r="842" ht="15.75" customHeight="1" s="74">
      <c r="B842" s="13" t="n"/>
      <c r="C842" s="24" t="n"/>
      <c r="D842" s="25" t="n"/>
    </row>
    <row r="843" ht="15.75" customHeight="1" s="74">
      <c r="B843" s="13" t="n"/>
      <c r="C843" s="24" t="n"/>
      <c r="D843" s="25" t="n"/>
    </row>
    <row r="844" ht="15.75" customHeight="1" s="74">
      <c r="B844" s="13" t="n"/>
      <c r="C844" s="24" t="n"/>
      <c r="D844" s="25" t="n"/>
    </row>
    <row r="845" ht="15.75" customHeight="1" s="74">
      <c r="B845" s="13" t="n"/>
      <c r="C845" s="24" t="n"/>
      <c r="D845" s="25" t="n"/>
    </row>
    <row r="846" ht="15.75" customHeight="1" s="74">
      <c r="B846" s="13" t="n"/>
      <c r="C846" s="24" t="n"/>
      <c r="D846" s="25" t="n"/>
    </row>
    <row r="847" ht="15.75" customHeight="1" s="74">
      <c r="B847" s="13" t="n"/>
      <c r="C847" s="24" t="n"/>
      <c r="D847" s="25" t="n"/>
    </row>
    <row r="848" ht="15.75" customHeight="1" s="74">
      <c r="B848" s="13" t="n"/>
      <c r="C848" s="24" t="n"/>
      <c r="D848" s="25" t="n"/>
    </row>
    <row r="849" ht="15.75" customHeight="1" s="74">
      <c r="B849" s="13" t="n"/>
      <c r="C849" s="24" t="n"/>
      <c r="D849" s="25" t="n"/>
    </row>
    <row r="850" ht="15.75" customHeight="1" s="74">
      <c r="B850" s="13" t="n"/>
      <c r="C850" s="24" t="n"/>
      <c r="D850" s="25" t="n"/>
    </row>
    <row r="851" ht="15.75" customHeight="1" s="74">
      <c r="B851" s="13" t="n"/>
      <c r="C851" s="24" t="n"/>
      <c r="D851" s="25" t="n"/>
    </row>
    <row r="852" ht="15.75" customHeight="1" s="74">
      <c r="B852" s="13" t="n"/>
      <c r="C852" s="24" t="n"/>
      <c r="D852" s="25" t="n"/>
    </row>
    <row r="853" ht="15.75" customHeight="1" s="74">
      <c r="B853" s="13" t="n"/>
      <c r="C853" s="24" t="n"/>
      <c r="D853" s="25" t="n"/>
    </row>
    <row r="854" ht="15.75" customHeight="1" s="74">
      <c r="B854" s="13" t="n"/>
      <c r="C854" s="24" t="n"/>
      <c r="D854" s="25" t="n"/>
    </row>
    <row r="855" ht="15.75" customHeight="1" s="74">
      <c r="B855" s="13" t="n"/>
      <c r="C855" s="24" t="n"/>
      <c r="D855" s="25" t="n"/>
    </row>
    <row r="856" ht="15.75" customHeight="1" s="74">
      <c r="B856" s="13" t="n"/>
      <c r="C856" s="24" t="n"/>
      <c r="D856" s="25" t="n"/>
    </row>
    <row r="857" ht="15.75" customHeight="1" s="74">
      <c r="B857" s="13" t="n"/>
      <c r="C857" s="24" t="n"/>
      <c r="D857" s="25" t="n"/>
    </row>
    <row r="858" ht="15.75" customHeight="1" s="74">
      <c r="B858" s="13" t="n"/>
      <c r="C858" s="24" t="n"/>
      <c r="D858" s="25" t="n"/>
    </row>
    <row r="859" ht="15.75" customHeight="1" s="74">
      <c r="B859" s="13" t="n"/>
      <c r="C859" s="24" t="n"/>
      <c r="D859" s="25" t="n"/>
    </row>
    <row r="860" ht="15.75" customHeight="1" s="74">
      <c r="B860" s="13" t="n"/>
      <c r="C860" s="24" t="n"/>
      <c r="D860" s="25" t="n"/>
    </row>
    <row r="861" ht="15.75" customHeight="1" s="74">
      <c r="B861" s="13" t="n"/>
      <c r="C861" s="24" t="n"/>
      <c r="D861" s="25" t="n"/>
    </row>
    <row r="862" ht="15.75" customHeight="1" s="74">
      <c r="B862" s="13" t="n"/>
      <c r="C862" s="24" t="n"/>
      <c r="D862" s="25" t="n"/>
    </row>
    <row r="863" ht="15.75" customHeight="1" s="74">
      <c r="B863" s="13" t="n"/>
      <c r="C863" s="24" t="n"/>
      <c r="D863" s="25" t="n"/>
    </row>
    <row r="864" ht="15.75" customHeight="1" s="74">
      <c r="B864" s="13" t="n"/>
      <c r="C864" s="24" t="n"/>
      <c r="D864" s="25" t="n"/>
    </row>
    <row r="865" ht="15.75" customHeight="1" s="74">
      <c r="B865" s="13" t="n"/>
      <c r="C865" s="24" t="n"/>
      <c r="D865" s="25" t="n"/>
    </row>
    <row r="866" ht="15.75" customHeight="1" s="74">
      <c r="B866" s="13" t="n"/>
      <c r="C866" s="24" t="n"/>
      <c r="D866" s="25" t="n"/>
    </row>
    <row r="867" ht="15.75" customHeight="1" s="74">
      <c r="B867" s="13" t="n"/>
      <c r="C867" s="24" t="n"/>
      <c r="D867" s="25" t="n"/>
    </row>
    <row r="868" ht="15.75" customHeight="1" s="74">
      <c r="B868" s="13" t="n"/>
      <c r="C868" s="24" t="n"/>
      <c r="D868" s="25" t="n"/>
    </row>
    <row r="869" ht="15.75" customHeight="1" s="74">
      <c r="B869" s="13" t="n"/>
      <c r="C869" s="24" t="n"/>
      <c r="D869" s="25" t="n"/>
    </row>
    <row r="870" ht="15.75" customHeight="1" s="74">
      <c r="B870" s="13" t="n"/>
      <c r="C870" s="24" t="n"/>
      <c r="D870" s="25" t="n"/>
    </row>
    <row r="871" ht="15.75" customHeight="1" s="74">
      <c r="B871" s="13" t="n"/>
      <c r="C871" s="24" t="n"/>
      <c r="D871" s="25" t="n"/>
    </row>
    <row r="872" ht="15.75" customHeight="1" s="74">
      <c r="B872" s="13" t="n"/>
      <c r="C872" s="24" t="n"/>
      <c r="D872" s="25" t="n"/>
    </row>
    <row r="873" ht="15.75" customHeight="1" s="74">
      <c r="B873" s="13" t="n"/>
      <c r="C873" s="24" t="n"/>
      <c r="D873" s="25" t="n"/>
    </row>
    <row r="874" ht="15.75" customHeight="1" s="74">
      <c r="B874" s="13" t="n"/>
      <c r="C874" s="24" t="n"/>
      <c r="D874" s="25" t="n"/>
    </row>
    <row r="875" ht="15.75" customHeight="1" s="74">
      <c r="B875" s="13" t="n"/>
      <c r="C875" s="24" t="n"/>
      <c r="D875" s="25" t="n"/>
    </row>
    <row r="876" ht="15.75" customHeight="1" s="74">
      <c r="B876" s="13" t="n"/>
      <c r="C876" s="24" t="n"/>
      <c r="D876" s="25" t="n"/>
    </row>
    <row r="877" ht="15.75" customHeight="1" s="74">
      <c r="B877" s="13" t="n"/>
      <c r="C877" s="24" t="n"/>
      <c r="D877" s="25" t="n"/>
    </row>
    <row r="878" ht="15.75" customHeight="1" s="74">
      <c r="B878" s="13" t="n"/>
      <c r="C878" s="24" t="n"/>
      <c r="D878" s="25" t="n"/>
    </row>
    <row r="879" ht="15.75" customHeight="1" s="74">
      <c r="B879" s="13" t="n"/>
      <c r="C879" s="24" t="n"/>
      <c r="D879" s="25" t="n"/>
    </row>
    <row r="880" ht="15.75" customHeight="1" s="74">
      <c r="B880" s="13" t="n"/>
      <c r="C880" s="24" t="n"/>
      <c r="D880" s="25" t="n"/>
    </row>
    <row r="881" ht="15.75" customHeight="1" s="74">
      <c r="B881" s="13" t="n"/>
      <c r="C881" s="24" t="n"/>
      <c r="D881" s="25" t="n"/>
    </row>
    <row r="882" ht="15.75" customHeight="1" s="74">
      <c r="B882" s="13" t="n"/>
      <c r="C882" s="24" t="n"/>
      <c r="D882" s="25" t="n"/>
    </row>
    <row r="883" ht="15.75" customHeight="1" s="74">
      <c r="B883" s="13" t="n"/>
      <c r="C883" s="24" t="n"/>
      <c r="D883" s="25" t="n"/>
    </row>
    <row r="884" ht="15.75" customHeight="1" s="74">
      <c r="B884" s="13" t="n"/>
      <c r="C884" s="24" t="n"/>
      <c r="D884" s="25" t="n"/>
    </row>
    <row r="885" ht="15.75" customHeight="1" s="74">
      <c r="B885" s="13" t="n"/>
      <c r="C885" s="24" t="n"/>
      <c r="D885" s="25" t="n"/>
    </row>
    <row r="886" ht="15.75" customHeight="1" s="74">
      <c r="B886" s="13" t="n"/>
      <c r="C886" s="24" t="n"/>
      <c r="D886" s="25" t="n"/>
    </row>
    <row r="887" ht="15.75" customHeight="1" s="74">
      <c r="B887" s="13" t="n"/>
      <c r="C887" s="24" t="n"/>
      <c r="D887" s="25" t="n"/>
    </row>
    <row r="888" ht="15.75" customHeight="1" s="74">
      <c r="B888" s="13" t="n"/>
      <c r="C888" s="24" t="n"/>
      <c r="D888" s="25" t="n"/>
    </row>
    <row r="889" ht="15.75" customHeight="1" s="74">
      <c r="B889" s="13" t="n"/>
      <c r="C889" s="24" t="n"/>
      <c r="D889" s="25" t="n"/>
    </row>
    <row r="890" ht="15.75" customHeight="1" s="74">
      <c r="B890" s="13" t="n"/>
      <c r="C890" s="24" t="n"/>
      <c r="D890" s="25" t="n"/>
    </row>
    <row r="891" ht="15.75" customHeight="1" s="74">
      <c r="B891" s="13" t="n"/>
      <c r="C891" s="24" t="n"/>
      <c r="D891" s="25" t="n"/>
    </row>
    <row r="892" ht="15.75" customHeight="1" s="74">
      <c r="B892" s="13" t="n"/>
      <c r="C892" s="24" t="n"/>
      <c r="D892" s="25" t="n"/>
    </row>
    <row r="893" ht="15.75" customHeight="1" s="74">
      <c r="B893" s="13" t="n"/>
      <c r="C893" s="24" t="n"/>
      <c r="D893" s="25" t="n"/>
    </row>
    <row r="894" ht="15.75" customHeight="1" s="74">
      <c r="B894" s="13" t="n"/>
      <c r="C894" s="24" t="n"/>
      <c r="D894" s="25" t="n"/>
    </row>
    <row r="895" ht="15.75" customHeight="1" s="74">
      <c r="B895" s="13" t="n"/>
      <c r="C895" s="24" t="n"/>
      <c r="D895" s="25" t="n"/>
    </row>
    <row r="896" ht="15.75" customHeight="1" s="74">
      <c r="B896" s="13" t="n"/>
      <c r="C896" s="24" t="n"/>
      <c r="D896" s="25" t="n"/>
    </row>
    <row r="897" ht="15.75" customHeight="1" s="74">
      <c r="B897" s="13" t="n"/>
      <c r="C897" s="24" t="n"/>
      <c r="D897" s="25" t="n"/>
    </row>
    <row r="898" ht="15.75" customHeight="1" s="74">
      <c r="B898" s="13" t="n"/>
      <c r="C898" s="24" t="n"/>
      <c r="D898" s="25" t="n"/>
    </row>
    <row r="899" ht="15.75" customHeight="1" s="74">
      <c r="B899" s="13" t="n"/>
      <c r="C899" s="24" t="n"/>
      <c r="D899" s="25" t="n"/>
    </row>
    <row r="900" ht="15.75" customHeight="1" s="74">
      <c r="B900" s="13" t="n"/>
      <c r="C900" s="24" t="n"/>
      <c r="D900" s="25" t="n"/>
    </row>
    <row r="901" ht="15.75" customHeight="1" s="74">
      <c r="B901" s="13" t="n"/>
      <c r="C901" s="24" t="n"/>
      <c r="D901" s="25" t="n"/>
    </row>
    <row r="902" ht="15.75" customHeight="1" s="74">
      <c r="B902" s="13" t="n"/>
      <c r="C902" s="24" t="n"/>
      <c r="D902" s="25" t="n"/>
    </row>
    <row r="903" ht="15.75" customHeight="1" s="74">
      <c r="B903" s="13" t="n"/>
      <c r="C903" s="24" t="n"/>
      <c r="D903" s="25" t="n"/>
    </row>
    <row r="904" ht="15.75" customHeight="1" s="74">
      <c r="B904" s="13" t="n"/>
      <c r="C904" s="24" t="n"/>
      <c r="D904" s="25" t="n"/>
    </row>
    <row r="905" ht="15.75" customHeight="1" s="74">
      <c r="B905" s="13" t="n"/>
      <c r="C905" s="24" t="n"/>
      <c r="D905" s="25" t="n"/>
    </row>
    <row r="906" ht="15.75" customHeight="1" s="74">
      <c r="B906" s="13" t="n"/>
      <c r="C906" s="24" t="n"/>
      <c r="D906" s="25" t="n"/>
    </row>
    <row r="907" ht="15.75" customHeight="1" s="74">
      <c r="B907" s="13" t="n"/>
      <c r="C907" s="24" t="n"/>
      <c r="D907" s="25" t="n"/>
    </row>
    <row r="908" ht="15.75" customHeight="1" s="74">
      <c r="B908" s="13" t="n"/>
      <c r="C908" s="24" t="n"/>
      <c r="D908" s="25" t="n"/>
    </row>
    <row r="909" ht="15.75" customHeight="1" s="74">
      <c r="B909" s="13" t="n"/>
      <c r="C909" s="24" t="n"/>
      <c r="D909" s="25" t="n"/>
    </row>
    <row r="910" ht="15.75" customHeight="1" s="74">
      <c r="B910" s="13" t="n"/>
      <c r="C910" s="24" t="n"/>
      <c r="D910" s="25" t="n"/>
    </row>
    <row r="911" ht="15.75" customHeight="1" s="74">
      <c r="B911" s="13" t="n"/>
      <c r="C911" s="24" t="n"/>
      <c r="D911" s="25" t="n"/>
    </row>
    <row r="912" ht="15.75" customHeight="1" s="74">
      <c r="B912" s="13" t="n"/>
      <c r="C912" s="24" t="n"/>
      <c r="D912" s="25" t="n"/>
    </row>
    <row r="913" ht="15.75" customHeight="1" s="74">
      <c r="B913" s="13" t="n"/>
      <c r="C913" s="24" t="n"/>
      <c r="D913" s="25" t="n"/>
    </row>
    <row r="914" ht="15.75" customHeight="1" s="74">
      <c r="B914" s="13" t="n"/>
      <c r="C914" s="24" t="n"/>
      <c r="D914" s="25" t="n"/>
    </row>
    <row r="915" ht="15.75" customHeight="1" s="74">
      <c r="B915" s="13" t="n"/>
      <c r="C915" s="24" t="n"/>
      <c r="D915" s="25" t="n"/>
    </row>
    <row r="916" ht="15.75" customHeight="1" s="74">
      <c r="B916" s="13" t="n"/>
      <c r="C916" s="24" t="n"/>
      <c r="D916" s="25" t="n"/>
    </row>
    <row r="917" ht="15.75" customHeight="1" s="74">
      <c r="B917" s="13" t="n"/>
      <c r="C917" s="24" t="n"/>
      <c r="D917" s="25" t="n"/>
    </row>
    <row r="918" ht="15.75" customHeight="1" s="74">
      <c r="B918" s="13" t="n"/>
      <c r="C918" s="24" t="n"/>
      <c r="D918" s="25" t="n"/>
    </row>
    <row r="919" ht="15.75" customHeight="1" s="74">
      <c r="B919" s="13" t="n"/>
      <c r="C919" s="24" t="n"/>
      <c r="D919" s="25" t="n"/>
    </row>
    <row r="920" ht="15.75" customHeight="1" s="74">
      <c r="B920" s="13" t="n"/>
      <c r="C920" s="24" t="n"/>
      <c r="D920" s="25" t="n"/>
    </row>
    <row r="921" ht="15.75" customHeight="1" s="74">
      <c r="B921" s="13" t="n"/>
      <c r="C921" s="24" t="n"/>
      <c r="D921" s="25" t="n"/>
    </row>
    <row r="922" ht="15.75" customHeight="1" s="74">
      <c r="B922" s="13" t="n"/>
      <c r="C922" s="24" t="n"/>
      <c r="D922" s="25" t="n"/>
    </row>
    <row r="923" ht="15.75" customHeight="1" s="74">
      <c r="B923" s="13" t="n"/>
      <c r="C923" s="24" t="n"/>
      <c r="D923" s="25" t="n"/>
    </row>
    <row r="924" ht="15.75" customHeight="1" s="74">
      <c r="B924" s="13" t="n"/>
      <c r="C924" s="24" t="n"/>
      <c r="D924" s="25" t="n"/>
    </row>
    <row r="925" ht="15.75" customHeight="1" s="74">
      <c r="B925" s="13" t="n"/>
      <c r="C925" s="24" t="n"/>
      <c r="D925" s="25" t="n"/>
    </row>
    <row r="926" ht="15.75" customHeight="1" s="74">
      <c r="B926" s="13" t="n"/>
      <c r="C926" s="24" t="n"/>
      <c r="D926" s="25" t="n"/>
    </row>
    <row r="927" ht="15.75" customHeight="1" s="74">
      <c r="B927" s="13" t="n"/>
      <c r="C927" s="24" t="n"/>
      <c r="D927" s="25" t="n"/>
    </row>
    <row r="928" ht="15.75" customHeight="1" s="74">
      <c r="B928" s="13" t="n"/>
      <c r="C928" s="24" t="n"/>
      <c r="D928" s="25" t="n"/>
    </row>
    <row r="929" ht="15.75" customHeight="1" s="74">
      <c r="B929" s="13" t="n"/>
      <c r="C929" s="24" t="n"/>
      <c r="D929" s="25" t="n"/>
    </row>
    <row r="930" ht="15.75" customHeight="1" s="74">
      <c r="B930" s="13" t="n"/>
      <c r="C930" s="24" t="n"/>
      <c r="D930" s="25" t="n"/>
    </row>
    <row r="931" ht="15.75" customHeight="1" s="74">
      <c r="B931" s="13" t="n"/>
      <c r="C931" s="24" t="n"/>
      <c r="D931" s="25" t="n"/>
    </row>
    <row r="932" ht="15.75" customHeight="1" s="74">
      <c r="B932" s="13" t="n"/>
      <c r="C932" s="24" t="n"/>
      <c r="D932" s="25" t="n"/>
    </row>
    <row r="933" ht="15.75" customHeight="1" s="74">
      <c r="B933" s="13" t="n"/>
      <c r="C933" s="24" t="n"/>
      <c r="D933" s="25" t="n"/>
    </row>
    <row r="934" ht="15.75" customHeight="1" s="74">
      <c r="B934" s="13" t="n"/>
      <c r="C934" s="24" t="n"/>
      <c r="D934" s="25" t="n"/>
    </row>
    <row r="935" ht="15.75" customHeight="1" s="74">
      <c r="B935" s="13" t="n"/>
      <c r="C935" s="24" t="n"/>
      <c r="D935" s="25" t="n"/>
    </row>
    <row r="936" ht="15.75" customHeight="1" s="74">
      <c r="B936" s="13" t="n"/>
      <c r="C936" s="24" t="n"/>
      <c r="D936" s="25" t="n"/>
    </row>
    <row r="937" ht="15.75" customHeight="1" s="74">
      <c r="B937" s="13" t="n"/>
      <c r="C937" s="24" t="n"/>
      <c r="D937" s="25" t="n"/>
    </row>
    <row r="938" ht="15.75" customHeight="1" s="74">
      <c r="B938" s="13" t="n"/>
      <c r="C938" s="24" t="n"/>
      <c r="D938" s="25" t="n"/>
    </row>
    <row r="939" ht="15.75" customHeight="1" s="74">
      <c r="B939" s="13" t="n"/>
      <c r="C939" s="24" t="n"/>
      <c r="D939" s="25" t="n"/>
    </row>
    <row r="940" ht="15.75" customHeight="1" s="74">
      <c r="B940" s="13" t="n"/>
      <c r="C940" s="24" t="n"/>
      <c r="D940" s="25" t="n"/>
    </row>
    <row r="941" ht="15.75" customHeight="1" s="74">
      <c r="B941" s="13" t="n"/>
      <c r="C941" s="24" t="n"/>
      <c r="D941" s="25" t="n"/>
    </row>
    <row r="942" ht="15.75" customHeight="1" s="74">
      <c r="B942" s="13" t="n"/>
      <c r="C942" s="24" t="n"/>
      <c r="D942" s="25" t="n"/>
    </row>
    <row r="943" ht="15.75" customHeight="1" s="74">
      <c r="B943" s="13" t="n"/>
      <c r="C943" s="24" t="n"/>
      <c r="D943" s="25" t="n"/>
    </row>
    <row r="944" ht="15.75" customHeight="1" s="74">
      <c r="B944" s="13" t="n"/>
      <c r="C944" s="24" t="n"/>
      <c r="D944" s="25" t="n"/>
    </row>
    <row r="945" ht="15.75" customHeight="1" s="74">
      <c r="B945" s="13" t="n"/>
      <c r="C945" s="24" t="n"/>
      <c r="D945" s="25" t="n"/>
    </row>
    <row r="946" ht="15.75" customHeight="1" s="74">
      <c r="B946" s="13" t="n"/>
      <c r="C946" s="24" t="n"/>
      <c r="D946" s="25" t="n"/>
    </row>
    <row r="947" ht="15.75" customHeight="1" s="74">
      <c r="B947" s="13" t="n"/>
      <c r="C947" s="24" t="n"/>
      <c r="D947" s="25" t="n"/>
    </row>
    <row r="948" ht="15.75" customHeight="1" s="74">
      <c r="B948" s="13" t="n"/>
      <c r="C948" s="24" t="n"/>
      <c r="D948" s="25" t="n"/>
    </row>
    <row r="949" ht="15.75" customHeight="1" s="74">
      <c r="B949" s="13" t="n"/>
      <c r="C949" s="24" t="n"/>
      <c r="D949" s="25" t="n"/>
    </row>
    <row r="950" ht="15.75" customHeight="1" s="74">
      <c r="B950" s="13" t="n"/>
      <c r="C950" s="24" t="n"/>
      <c r="D950" s="25" t="n"/>
    </row>
    <row r="951" ht="15.75" customHeight="1" s="74">
      <c r="B951" s="13" t="n"/>
      <c r="C951" s="24" t="n"/>
      <c r="D951" s="25" t="n"/>
    </row>
    <row r="952" ht="15.75" customHeight="1" s="74">
      <c r="B952" s="13" t="n"/>
      <c r="C952" s="24" t="n"/>
      <c r="D952" s="25" t="n"/>
    </row>
    <row r="953" ht="15.75" customHeight="1" s="74">
      <c r="B953" s="13" t="n"/>
      <c r="C953" s="24" t="n"/>
      <c r="D953" s="25" t="n"/>
    </row>
    <row r="954" ht="15.75" customHeight="1" s="74">
      <c r="B954" s="13" t="n"/>
      <c r="C954" s="24" t="n"/>
      <c r="D954" s="25" t="n"/>
    </row>
    <row r="955" ht="15.75" customHeight="1" s="74">
      <c r="B955" s="13" t="n"/>
      <c r="C955" s="24" t="n"/>
      <c r="D955" s="25" t="n"/>
    </row>
    <row r="956" ht="15.75" customHeight="1" s="74">
      <c r="B956" s="13" t="n"/>
      <c r="C956" s="24" t="n"/>
      <c r="D956" s="25" t="n"/>
    </row>
    <row r="957" ht="15.75" customHeight="1" s="74">
      <c r="B957" s="13" t="n"/>
      <c r="C957" s="24" t="n"/>
      <c r="D957" s="25" t="n"/>
    </row>
    <row r="958" ht="15.75" customHeight="1" s="74">
      <c r="B958" s="13" t="n"/>
      <c r="C958" s="24" t="n"/>
      <c r="D958" s="25" t="n"/>
    </row>
    <row r="959" ht="15.75" customHeight="1" s="74">
      <c r="B959" s="13" t="n"/>
      <c r="C959" s="24" t="n"/>
      <c r="D959" s="25" t="n"/>
    </row>
    <row r="960" ht="15.75" customHeight="1" s="74">
      <c r="B960" s="13" t="n"/>
      <c r="C960" s="24" t="n"/>
      <c r="D960" s="25" t="n"/>
    </row>
    <row r="961" ht="15.75" customHeight="1" s="74">
      <c r="B961" s="13" t="n"/>
      <c r="C961" s="24" t="n"/>
      <c r="D961" s="25" t="n"/>
    </row>
    <row r="962" ht="15.75" customHeight="1" s="74">
      <c r="B962" s="13" t="n"/>
      <c r="C962" s="24" t="n"/>
      <c r="D962" s="25" t="n"/>
    </row>
    <row r="963" ht="15.75" customHeight="1" s="74">
      <c r="B963" s="13" t="n"/>
      <c r="C963" s="24" t="n"/>
      <c r="D963" s="25" t="n"/>
    </row>
    <row r="964" ht="15.75" customHeight="1" s="74">
      <c r="B964" s="13" t="n"/>
      <c r="C964" s="24" t="n"/>
      <c r="D964" s="25" t="n"/>
    </row>
    <row r="965" ht="15.75" customHeight="1" s="74">
      <c r="B965" s="13" t="n"/>
      <c r="C965" s="24" t="n"/>
      <c r="D965" s="25" t="n"/>
    </row>
    <row r="966" ht="15.75" customHeight="1" s="74">
      <c r="B966" s="13" t="n"/>
      <c r="C966" s="24" t="n"/>
      <c r="D966" s="25" t="n"/>
    </row>
    <row r="967" ht="15.75" customHeight="1" s="74">
      <c r="B967" s="13" t="n"/>
      <c r="C967" s="24" t="n"/>
      <c r="D967" s="25" t="n"/>
    </row>
    <row r="968" ht="15.75" customHeight="1" s="74">
      <c r="B968" s="13" t="n"/>
      <c r="C968" s="24" t="n"/>
      <c r="D968" s="25" t="n"/>
    </row>
    <row r="969" ht="15.75" customHeight="1" s="74">
      <c r="B969" s="13" t="n"/>
      <c r="C969" s="24" t="n"/>
      <c r="D969" s="25" t="n"/>
    </row>
    <row r="970" ht="15.75" customHeight="1" s="74">
      <c r="B970" s="13" t="n"/>
      <c r="C970" s="24" t="n"/>
      <c r="D970" s="25" t="n"/>
    </row>
    <row r="971" ht="15.75" customHeight="1" s="74">
      <c r="B971" s="13" t="n"/>
      <c r="C971" s="24" t="n"/>
      <c r="D971" s="25" t="n"/>
    </row>
    <row r="972" ht="15.75" customHeight="1" s="74">
      <c r="B972" s="13" t="n"/>
      <c r="C972" s="24" t="n"/>
      <c r="D972" s="25" t="n"/>
    </row>
    <row r="973" ht="15.75" customHeight="1" s="74">
      <c r="B973" s="13" t="n"/>
      <c r="C973" s="24" t="n"/>
      <c r="D973" s="25" t="n"/>
    </row>
    <row r="974" ht="15.75" customHeight="1" s="74">
      <c r="B974" s="13" t="n"/>
      <c r="C974" s="24" t="n"/>
      <c r="D974" s="25" t="n"/>
    </row>
    <row r="975" ht="15.75" customHeight="1" s="74">
      <c r="B975" s="13" t="n"/>
      <c r="C975" s="24" t="n"/>
      <c r="D975" s="25" t="n"/>
    </row>
    <row r="976" ht="15.75" customHeight="1" s="74">
      <c r="B976" s="13" t="n"/>
      <c r="C976" s="24" t="n"/>
      <c r="D976" s="25" t="n"/>
    </row>
    <row r="977" ht="15.75" customHeight="1" s="74">
      <c r="B977" s="13" t="n"/>
      <c r="C977" s="24" t="n"/>
      <c r="D977" s="25" t="n"/>
    </row>
    <row r="978" ht="15.75" customHeight="1" s="74">
      <c r="B978" s="13" t="n"/>
      <c r="C978" s="24" t="n"/>
      <c r="D978" s="25" t="n"/>
    </row>
    <row r="979" ht="15.75" customHeight="1" s="74">
      <c r="B979" s="13" t="n"/>
      <c r="C979" s="24" t="n"/>
      <c r="D979" s="25" t="n"/>
    </row>
    <row r="980" ht="15.75" customHeight="1" s="74">
      <c r="B980" s="13" t="n"/>
      <c r="C980" s="24" t="n"/>
      <c r="D980" s="25" t="n"/>
    </row>
  </sheetData>
  <dataValidations count="3">
    <dataValidation sqref="A23:A28" showDropDown="0" showInputMessage="0" showErrorMessage="0" allowBlank="1" type="list">
      <formula1>"Vendor,Phase,Role,Annual Licensing Fees,One Time Implementation Fee"</formula1>
    </dataValidation>
    <dataValidation sqref="A4:A9 A14:A18" showDropDown="0" showInputMessage="0" showErrorMessage="0" allowBlank="1" type="list">
      <formula1>"Vendor,Phase,Role,Annual Licensing Fee,One Time Implementation Fee"</formula1>
    </dataValidation>
    <dataValidation sqref="D4:E9 D14:E18 D23:E28" showDropDown="1" showInputMessage="0" showErrorMessage="0" allowBlank="1" type="custom">
      <formula1>AND(ISNUMBER(D4),(NOT(OR(NOT(ISERROR(DATEVALUE(D4))), AND(ISNUMBER(D4), LEFT(CELL("format", D4))="D")))))</formula1>
    </dataValidation>
  </dataValidations>
  <pageMargins left="0.75" right="0.75" top="1" bottom="1" header="0" footer="0"/>
  <pageSetup orientation="landscape"/>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6.xml><?xml version="1.0" encoding="utf-8"?>
<worksheet xmlns="http://schemas.openxmlformats.org/spreadsheetml/2006/main">
  <sheetPr>
    <outlinePr summaryBelow="0" summaryRight="0"/>
    <pageSetUpPr/>
  </sheetPr>
  <dimension ref="A1:A10"/>
  <sheetViews>
    <sheetView workbookViewId="0">
      <selection activeCell="A1" sqref="A1"/>
    </sheetView>
  </sheetViews>
  <sheetFormatPr baseColWidth="8" defaultColWidth="14.43" defaultRowHeight="15" customHeight="1"/>
  <cols>
    <col width="70" customWidth="1" style="74" min="1" max="1"/>
  </cols>
  <sheetData>
    <row r="1">
      <c r="A1" s="6" t="inlineStr">
        <is>
          <t>Adobe Resource Planning Model v2.0 — How to:</t>
        </is>
      </c>
    </row>
    <row r="2"/>
    <row r="3">
      <c r="A3" s="11" t="inlineStr">
        <is>
          <t>1) Milestones: Review/adjust phases, activities, dates. (Source of truth)</t>
        </is>
      </c>
    </row>
    <row r="4">
      <c r="A4" s="11" t="inlineStr">
        <is>
          <t>2) Lookups - Rates: Confirm Vendor/Role rates. (Procurement-owned)</t>
        </is>
      </c>
    </row>
    <row r="5">
      <c r="A5" s="11" t="inlineStr">
        <is>
          <t>3) Lookups - Complexity: Set hours by Low/Medium/High for tasks.</t>
        </is>
      </c>
    </row>
    <row r="6">
      <c r="A6" s="11" t="inlineStr">
        <is>
          <t>4) Plan: Pick Milestone, Vendor, Role, Effort Type (Hours/Days/FTE) &amp; Complexity.</t>
        </is>
      </c>
    </row>
    <row r="7">
      <c r="A7" s="11" t="inlineStr">
        <is>
          <t xml:space="preserve">   - Hours auto-calc from Complexity when selected; can be overridden.</t>
        </is>
      </c>
    </row>
    <row r="8">
      <c r="A8" s="11" t="inlineStr">
        <is>
          <t xml:space="preserve">   - Costs derive from Rate Card and Assumptions.</t>
        </is>
      </c>
    </row>
    <row r="9">
      <c r="A9" s="11" t="inlineStr">
        <is>
          <t>5) TimePhasing: Hours &amp; costs spread by month from Start to End dates.</t>
        </is>
      </c>
    </row>
    <row r="10">
      <c r="A10" s="11" t="inlineStr">
        <is>
          <t>6) Summary: Rollups by Vendor, Role, Phase for executive review.</t>
        </is>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AD1006"/>
  <sheetViews>
    <sheetView workbookViewId="0">
      <selection activeCell="A1" sqref="A1"/>
    </sheetView>
  </sheetViews>
  <sheetFormatPr baseColWidth="8" defaultColWidth="14.43" defaultRowHeight="15" customHeight="1"/>
  <cols>
    <col width="21.57" customWidth="1" style="74" min="1" max="1"/>
    <col width="11.57" customWidth="1" style="74" min="2" max="2"/>
    <col width="41.43" customWidth="1" style="74" min="3" max="3"/>
    <col width="24.43" customWidth="1" style="74" min="4" max="4"/>
    <col width="31" customWidth="1" style="74" min="5" max="5"/>
    <col width="45.86" customWidth="1" style="74" min="6" max="6"/>
    <col width="49.71" customWidth="1" style="74" min="7" max="7"/>
  </cols>
  <sheetData>
    <row r="1">
      <c r="A1" s="58" t="inlineStr">
        <is>
          <t>Rate Card</t>
        </is>
      </c>
      <c r="G1" s="59" t="n"/>
      <c r="H1" s="59" t="n"/>
      <c r="I1" s="59" t="n"/>
      <c r="J1" s="59" t="n"/>
      <c r="K1" s="59" t="n"/>
      <c r="L1" s="59" t="n"/>
      <c r="M1" s="59" t="n"/>
      <c r="N1" s="59" t="n"/>
      <c r="O1" s="59" t="n"/>
      <c r="P1" s="59" t="n"/>
      <c r="Q1" s="59" t="n"/>
      <c r="R1" s="59" t="n"/>
      <c r="S1" s="59" t="n"/>
      <c r="T1" s="60" t="n"/>
      <c r="U1" s="60" t="n"/>
      <c r="V1" s="60" t="n"/>
      <c r="W1" s="59" t="n"/>
      <c r="X1" s="59" t="n"/>
      <c r="Y1" s="59" t="n"/>
      <c r="Z1" s="59" t="n"/>
      <c r="AA1" s="59" t="n"/>
      <c r="AB1" s="59" t="n"/>
      <c r="AC1" s="59" t="n"/>
      <c r="AD1" s="59" t="n"/>
    </row>
    <row r="2">
      <c r="A2" s="59" t="n"/>
      <c r="B2" s="60" t="n"/>
      <c r="C2" s="60" t="n"/>
      <c r="D2" s="59" t="n"/>
      <c r="E2" s="59" t="n"/>
      <c r="F2" s="59" t="n"/>
      <c r="G2" s="59" t="n"/>
      <c r="H2" s="59" t="n"/>
      <c r="I2" s="59" t="n"/>
      <c r="J2" s="59" t="n"/>
      <c r="K2" s="59" t="n"/>
      <c r="L2" s="59" t="n"/>
      <c r="M2" s="59" t="n"/>
      <c r="N2" s="59" t="n"/>
      <c r="O2" s="59" t="n"/>
      <c r="P2" s="59" t="n"/>
      <c r="Q2" s="59" t="n"/>
      <c r="R2" s="59" t="n"/>
      <c r="S2" s="60" t="n"/>
      <c r="T2" s="60" t="n"/>
      <c r="U2" s="60" t="n"/>
      <c r="V2" s="60" t="n"/>
      <c r="W2" s="59" t="n"/>
      <c r="X2" s="59" t="n"/>
      <c r="Y2" s="59" t="n"/>
      <c r="Z2" s="59" t="n"/>
      <c r="AA2" s="59" t="n"/>
      <c r="AB2" s="59" t="n"/>
      <c r="AC2" s="59" t="n"/>
      <c r="AD2" s="59" t="n"/>
    </row>
    <row r="3">
      <c r="A3" s="59" t="n"/>
      <c r="B3" s="60" t="n"/>
      <c r="C3" s="60" t="n"/>
      <c r="D3" s="61" t="n"/>
      <c r="E3" s="61" t="n"/>
      <c r="F3" s="61" t="n"/>
      <c r="G3" s="62" t="n"/>
      <c r="H3" s="61" t="n"/>
      <c r="I3" s="61" t="n"/>
      <c r="J3" s="61" t="n"/>
      <c r="K3" s="61" t="n"/>
      <c r="L3" s="61" t="n"/>
      <c r="M3" s="61" t="n"/>
      <c r="N3" s="61" t="n"/>
      <c r="O3" s="61" t="n"/>
      <c r="P3" s="61" t="n"/>
      <c r="Q3" s="61" t="n"/>
      <c r="R3" s="61" t="n"/>
      <c r="S3" s="61" t="n"/>
      <c r="T3" s="61" t="n"/>
      <c r="U3" s="61" t="n"/>
      <c r="V3" s="61" t="n"/>
      <c r="W3" s="61" t="n"/>
      <c r="X3" s="61" t="n"/>
      <c r="Y3" s="61" t="n"/>
      <c r="Z3" s="61" t="n"/>
      <c r="AA3" s="61" t="n"/>
      <c r="AB3" s="61" t="n"/>
      <c r="AC3" s="61" t="n"/>
      <c r="AD3" s="61" t="n"/>
    </row>
    <row r="4">
      <c r="A4" s="63" t="inlineStr">
        <is>
          <t>Knapsack ProServices Resource</t>
        </is>
      </c>
      <c r="B4" s="63" t="inlineStr">
        <is>
          <t>Rate</t>
        </is>
      </c>
      <c r="C4" s="63" t="inlineStr">
        <is>
          <t>Complexity Rating from Assessment</t>
        </is>
      </c>
      <c r="D4" s="63" t="inlineStr">
        <is>
          <t>Approxiamate FTE Utilization</t>
        </is>
      </c>
      <c r="E4" s="63" t="inlineStr">
        <is>
          <t>Approxiamate Hours</t>
        </is>
      </c>
      <c r="F4" s="63" t="inlineStr">
        <is>
          <t>Resource Justification</t>
        </is>
      </c>
      <c r="G4" s="63" t="inlineStr">
        <is>
          <t>Additional Notes</t>
        </is>
      </c>
      <c r="H4" s="61" t="n"/>
      <c r="I4" s="61" t="n"/>
      <c r="J4" s="61" t="n"/>
      <c r="K4" s="61" t="n"/>
      <c r="L4" s="61" t="n"/>
      <c r="M4" s="61" t="n"/>
      <c r="N4" s="61" t="n"/>
      <c r="O4" s="61" t="n"/>
      <c r="P4" s="61" t="n"/>
      <c r="Q4" s="61" t="n"/>
      <c r="R4" s="61" t="n"/>
      <c r="S4" s="61" t="n"/>
      <c r="T4" s="61" t="n"/>
      <c r="U4" s="61" t="n"/>
      <c r="V4" s="61" t="n"/>
      <c r="W4" s="61" t="n"/>
      <c r="X4" s="61" t="n"/>
      <c r="Y4" s="61" t="n"/>
      <c r="Z4" s="61" t="n"/>
      <c r="AA4" s="61" t="n"/>
      <c r="AB4" s="61" t="n"/>
      <c r="AC4" s="61" t="n"/>
      <c r="AD4" s="61" t="n"/>
    </row>
    <row r="5">
      <c r="A5" s="51" t="inlineStr">
        <is>
          <t xml:space="preserve">Senior Solutions Engineer </t>
        </is>
      </c>
      <c r="B5" s="52" t="n">
        <v>220</v>
      </c>
      <c r="C5" s="64" t="inlineStr">
        <is>
          <t>High - high impact score, high impact score</t>
        </is>
      </c>
      <c r="D5" s="65" t="n">
        <v>0.3</v>
      </c>
      <c r="E5" s="66">
        <f>2000*D5</f>
        <v/>
      </c>
      <c r="F5" s="64" t="inlineStr">
        <is>
          <t>Implementation + Architecture + Governance scope and lacking a dedicated engineering resource requires a Forward Deployed Engineer to derisk and accelerate time to value for Adobe Users</t>
        </is>
      </c>
      <c r="G5" s="51" t="inlineStr">
        <is>
          <t>Knapsack will provide this resource as part of the subscription offering</t>
        </is>
      </c>
      <c r="H5" s="59" t="n"/>
      <c r="I5" s="59" t="n"/>
      <c r="J5" s="61" t="n"/>
      <c r="K5" s="61" t="n"/>
      <c r="L5" s="61" t="n"/>
      <c r="M5" s="61" t="n"/>
      <c r="N5" s="61" t="n"/>
      <c r="O5" s="61" t="n"/>
      <c r="P5" s="61" t="n"/>
      <c r="Q5" s="61" t="n"/>
      <c r="R5" s="61" t="n"/>
      <c r="S5" s="61" t="n"/>
      <c r="T5" s="61" t="n"/>
      <c r="U5" s="61" t="n"/>
      <c r="V5" s="61" t="n"/>
      <c r="W5" s="61" t="n"/>
      <c r="X5" s="61" t="n"/>
      <c r="Y5" s="61" t="n"/>
      <c r="Z5" s="61" t="n"/>
      <c r="AA5" s="61" t="n"/>
      <c r="AB5" s="61" t="n"/>
      <c r="AC5" s="61" t="n"/>
      <c r="AD5" s="61" t="n"/>
    </row>
    <row r="6">
      <c r="A6" s="51" t="inlineStr">
        <is>
          <t>CX Partner</t>
        </is>
      </c>
      <c r="B6" s="52" t="n">
        <v>300</v>
      </c>
      <c r="C6" s="64" t="inlineStr">
        <is>
          <t>High - high impact score, high impact score</t>
        </is>
      </c>
      <c r="D6" s="65" t="n">
        <v>0.2</v>
      </c>
      <c r="E6" s="66">
        <f>2000*D6</f>
        <v/>
      </c>
      <c r="F6" s="64" t="inlineStr">
        <is>
          <t>Spectrum 2 Migration requirement, shift to a multi-platform delivery model, Implementation Partner Network scale, Users in Scope, and Change Management Scope requires a CX Partner Engaged</t>
        </is>
      </c>
      <c r="G6" s="51" t="inlineStr">
        <is>
          <t>Knapsack will provide this resource as part of the subscription offering</t>
        </is>
      </c>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row>
    <row r="7">
      <c r="A7" s="59" t="n"/>
      <c r="B7" s="60" t="n"/>
      <c r="C7" s="61" t="n"/>
      <c r="D7" s="67" t="n"/>
      <c r="E7" s="59" t="n"/>
      <c r="F7" s="59" t="n"/>
      <c r="G7" s="59" t="n"/>
      <c r="H7" s="59" t="n"/>
      <c r="I7" s="59" t="n"/>
      <c r="J7" s="59" t="n"/>
      <c r="K7" s="59" t="n"/>
      <c r="L7" s="59" t="n"/>
      <c r="M7" s="59" t="n"/>
      <c r="N7" s="59" t="n"/>
      <c r="O7" s="59" t="n"/>
      <c r="P7" s="60" t="n"/>
      <c r="Q7" s="60" t="n"/>
      <c r="R7" s="60" t="n"/>
      <c r="S7" s="60" t="n"/>
      <c r="T7" s="60" t="n"/>
      <c r="U7" s="60" t="n"/>
      <c r="V7" s="60" t="n"/>
      <c r="W7" s="59" t="n"/>
      <c r="X7" s="59" t="n"/>
      <c r="Y7" s="59" t="n"/>
      <c r="Z7" s="59" t="n"/>
      <c r="AA7" s="59" t="n"/>
      <c r="AB7" s="59" t="n"/>
      <c r="AC7" s="59" t="n"/>
      <c r="AD7" s="59" t="n"/>
    </row>
    <row r="8">
      <c r="A8" s="63" t="inlineStr">
        <is>
          <t>Knapsack T&amp;M Contract Resource</t>
        </is>
      </c>
      <c r="B8" s="63" t="inlineStr">
        <is>
          <t>Rate</t>
        </is>
      </c>
      <c r="C8" s="63" t="inlineStr">
        <is>
          <t>Complexity Rating from Assessment</t>
        </is>
      </c>
      <c r="D8" s="63" t="inlineStr">
        <is>
          <t>Approxiamate FTE Utilization</t>
        </is>
      </c>
      <c r="E8" s="63" t="inlineStr">
        <is>
          <t xml:space="preserve">Actual Hours </t>
        </is>
      </c>
      <c r="F8" s="63" t="inlineStr">
        <is>
          <t>Resource Justification</t>
        </is>
      </c>
      <c r="G8" s="63" t="inlineStr">
        <is>
          <t>Additional Notes</t>
        </is>
      </c>
      <c r="H8" s="61" t="n"/>
      <c r="I8" s="61" t="n"/>
      <c r="J8" s="61" t="n"/>
      <c r="K8" s="61" t="n"/>
      <c r="L8" s="61" t="n"/>
      <c r="M8" s="61" t="n"/>
      <c r="N8" s="61" t="n"/>
      <c r="O8" s="61" t="n"/>
      <c r="P8" s="61" t="n"/>
      <c r="Q8" s="61" t="n"/>
      <c r="R8" s="61" t="n"/>
      <c r="S8" s="61" t="n"/>
      <c r="T8" s="61" t="n"/>
      <c r="U8" s="61" t="n"/>
      <c r="V8" s="61" t="n"/>
      <c r="W8" s="61" t="n"/>
      <c r="X8" s="61" t="n"/>
      <c r="Y8" s="61" t="n"/>
      <c r="Z8" s="61" t="n"/>
      <c r="AA8" s="61" t="n"/>
      <c r="AB8" s="61" t="n"/>
      <c r="AC8" s="61" t="n"/>
      <c r="AD8" s="61" t="n"/>
    </row>
    <row r="9">
      <c r="A9" s="51" t="inlineStr">
        <is>
          <t>Project Manager</t>
        </is>
      </c>
      <c r="B9" s="52" t="n">
        <v>180</v>
      </c>
      <c r="C9" s="64" t="inlineStr">
        <is>
          <t>Medium - high impact score, low complexity score</t>
        </is>
      </c>
      <c r="D9" s="65" t="n">
        <v>0.05</v>
      </c>
      <c r="E9" s="68">
        <f>D9*2000</f>
        <v/>
      </c>
      <c r="F9" s="64" t="inlineStr">
        <is>
          <t xml:space="preserve">Steering Committee required for implementations with a High Level of complexity and given the Change Management scope required to de-risk the Spectrum 2 Migration and enablement of Implementation Partners </t>
        </is>
      </c>
      <c r="G9" s="51" t="inlineStr">
        <is>
          <t>Knapsack will provide this resource as a part of the subscription offering for 120 hours</t>
        </is>
      </c>
      <c r="H9" s="59" t="n"/>
      <c r="I9" s="59" t="n"/>
      <c r="J9" s="59" t="n"/>
      <c r="K9" s="61" t="n"/>
      <c r="L9" s="61" t="n"/>
      <c r="M9" s="61" t="n"/>
      <c r="N9" s="61" t="n"/>
      <c r="O9" s="61" t="n"/>
      <c r="P9" s="61" t="n"/>
      <c r="Q9" s="61" t="n"/>
      <c r="R9" s="61" t="n"/>
      <c r="S9" s="61" t="n"/>
      <c r="T9" s="61" t="n"/>
      <c r="U9" s="61" t="n"/>
      <c r="V9" s="61" t="n"/>
      <c r="W9" s="61" t="n"/>
      <c r="X9" s="61" t="n"/>
      <c r="Y9" s="61" t="n"/>
      <c r="Z9" s="61" t="n"/>
      <c r="AA9" s="61" t="n"/>
      <c r="AB9" s="61" t="n"/>
      <c r="AC9" s="61" t="n"/>
      <c r="AD9" s="61" t="n"/>
    </row>
    <row r="10">
      <c r="A10" s="51" t="inlineStr">
        <is>
          <t xml:space="preserve">Subject Matter Expert </t>
        </is>
      </c>
      <c r="B10" s="52" t="n">
        <v>500</v>
      </c>
      <c r="C10" s="64" t="inlineStr">
        <is>
          <t>High - high impact score, high impact score - enhancements in scope</t>
        </is>
      </c>
      <c r="D10" s="69" t="n">
        <v>0.05</v>
      </c>
      <c r="E10" s="68">
        <f>D10*2000</f>
        <v/>
      </c>
      <c r="F10" s="64" t="inlineStr">
        <is>
          <t>Complex Cloud Authoring requirements scope required to support the volume of users and enterprise security requirements</t>
        </is>
      </c>
      <c r="G10" s="51" t="inlineStr">
        <is>
          <t>Knapsack will provide this resource as a part of the subscription offering for 40 hours</t>
        </is>
      </c>
      <c r="H10" s="59" t="n"/>
      <c r="I10" s="59" t="n"/>
      <c r="J10" s="59" t="n"/>
      <c r="K10" s="59" t="n"/>
      <c r="L10" s="59" t="n"/>
      <c r="M10" s="59" t="n"/>
      <c r="N10" s="59" t="n"/>
      <c r="O10" s="59" t="n"/>
      <c r="P10" s="60" t="n"/>
      <c r="Q10" s="60" t="n"/>
      <c r="R10" s="60" t="n"/>
      <c r="S10" s="60" t="n"/>
      <c r="T10" s="60" t="n"/>
      <c r="U10" s="60" t="n"/>
      <c r="V10" s="60" t="n"/>
      <c r="W10" s="59" t="n"/>
      <c r="X10" s="59" t="n"/>
      <c r="Y10" s="59" t="n"/>
      <c r="Z10" s="59" t="n"/>
      <c r="AA10" s="59" t="n"/>
      <c r="AB10" s="59" t="n"/>
      <c r="AC10" s="59" t="n"/>
      <c r="AD10" s="59" t="n"/>
    </row>
    <row r="11">
      <c r="A11" s="59" t="inlineStr">
        <is>
          <t>Product Engineer</t>
        </is>
      </c>
      <c r="B11" s="47" t="n">
        <v>400</v>
      </c>
      <c r="C11" s="64" t="inlineStr">
        <is>
          <t>High - high impact score, high impact score - enhancements in scope</t>
        </is>
      </c>
      <c r="D11" s="65" t="n">
        <v>0.05</v>
      </c>
      <c r="E11" s="68">
        <f>D11*2000</f>
        <v/>
      </c>
      <c r="F11" s="64" t="inlineStr">
        <is>
          <t>Some enhancements may be required to support the desired multi-platform delivery requirements and self-serve workflows</t>
        </is>
      </c>
      <c r="G11" s="51" t="inlineStr">
        <is>
          <t>Knapsack will provide this resource as a part of the subscription offering for 40 hours</t>
        </is>
      </c>
      <c r="H11" s="59" t="n"/>
      <c r="I11" s="59" t="n"/>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n"/>
      <c r="AD11" s="59" t="n"/>
    </row>
    <row r="12">
      <c r="A12" s="59" t="inlineStr">
        <is>
          <t>Contractor Resources</t>
        </is>
      </c>
      <c r="B12" s="59" t="n"/>
      <c r="C12" s="59" t="n"/>
      <c r="D12" s="59" t="n"/>
      <c r="E12" s="59" t="n"/>
      <c r="F12" s="64" t="inlineStr">
        <is>
          <t xml:space="preserve">If requirements are discovered that are outside of the current scope of work - a specialized resource may be required and Knapsack will support carrying that resource on our paper and will manage the delivery if required </t>
        </is>
      </c>
      <c r="G12" s="51" t="inlineStr">
        <is>
          <t xml:space="preserve">Knapsack will support retaining contractor resources as needed at a 15% mark up </t>
        </is>
      </c>
      <c r="H12" s="59" t="n"/>
      <c r="I12" s="59" t="n"/>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9" t="n"/>
    </row>
    <row r="13">
      <c r="A13" s="59" t="n"/>
      <c r="B13" s="59" t="n"/>
      <c r="C13" s="59" t="n"/>
      <c r="D13" s="59" t="n"/>
      <c r="E13" s="59" t="n"/>
      <c r="F13" s="59" t="n"/>
      <c r="G13" s="59" t="n"/>
      <c r="H13" s="59" t="n"/>
      <c r="I13" s="59" t="n"/>
      <c r="J13" s="59" t="n"/>
      <c r="K13" s="59" t="n"/>
      <c r="L13" s="59" t="n"/>
      <c r="M13" s="59" t="n"/>
      <c r="N13" s="59" t="n"/>
      <c r="O13" s="59" t="n"/>
      <c r="P13" s="59" t="n"/>
      <c r="Q13" s="59" t="n"/>
      <c r="R13" s="59" t="n"/>
      <c r="S13" s="59" t="n"/>
      <c r="T13" s="59" t="n"/>
      <c r="U13" s="59" t="n"/>
      <c r="V13" s="59" t="n"/>
      <c r="W13" s="59" t="n"/>
      <c r="X13" s="59" t="n"/>
      <c r="Y13" s="59" t="n"/>
      <c r="Z13" s="59" t="n"/>
      <c r="AA13" s="59" t="n"/>
      <c r="AB13" s="59" t="n"/>
      <c r="AC13" s="59" t="n"/>
      <c r="AD13" s="59" t="n"/>
    </row>
    <row r="14">
      <c r="A14" s="59" t="n"/>
      <c r="B14" s="59" t="n"/>
      <c r="C14" s="59" t="n"/>
      <c r="D14" s="59" t="n"/>
      <c r="E14" s="59" t="n"/>
      <c r="F14" s="59" t="n"/>
      <c r="G14" s="59" t="n"/>
      <c r="H14" s="59" t="n"/>
      <c r="I14" s="59" t="n"/>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9" t="n"/>
    </row>
    <row r="15">
      <c r="A15" s="59" t="n"/>
      <c r="B15" s="59" t="n"/>
      <c r="C15" s="59" t="n"/>
      <c r="D15" s="59" t="n"/>
      <c r="E15" s="59" t="n"/>
      <c r="F15" s="59" t="n"/>
      <c r="G15" s="59" t="n"/>
      <c r="H15" s="59" t="n"/>
      <c r="I15" s="59" t="n"/>
      <c r="J15" s="59"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row>
    <row r="16">
      <c r="A16" s="59" t="n"/>
      <c r="B16" s="59" t="n"/>
      <c r="C16" s="59" t="n"/>
      <c r="D16" s="59" t="n"/>
      <c r="E16" s="59" t="n"/>
      <c r="F16" s="59" t="n"/>
      <c r="G16" s="59" t="n"/>
      <c r="H16" s="59" t="n"/>
      <c r="I16" s="59" t="n"/>
      <c r="J16" s="59"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row>
    <row r="17">
      <c r="A17" s="59" t="n"/>
      <c r="B17" s="59" t="n"/>
      <c r="C17" s="59" t="n"/>
      <c r="D17" s="59" t="n"/>
      <c r="E17" s="59" t="n"/>
      <c r="F17" s="59" t="n"/>
      <c r="G17" s="59" t="n"/>
      <c r="H17" s="59" t="n"/>
      <c r="I17" s="59" t="n"/>
      <c r="J17" s="59" t="n"/>
      <c r="K17" s="59" t="n"/>
      <c r="L17" s="59" t="n"/>
      <c r="M17" s="59" t="n"/>
      <c r="N17" s="59" t="n"/>
      <c r="O17" s="59" t="n"/>
      <c r="P17" s="59" t="n"/>
      <c r="Q17" s="59" t="n"/>
      <c r="R17" s="59" t="n"/>
      <c r="S17" s="59" t="n"/>
      <c r="T17" s="59" t="n"/>
      <c r="U17" s="59" t="n"/>
      <c r="V17" s="59" t="n"/>
      <c r="W17" s="59" t="n"/>
      <c r="X17" s="59" t="n"/>
      <c r="Y17" s="59" t="n"/>
      <c r="Z17" s="59" t="n"/>
      <c r="AA17" s="59" t="n"/>
      <c r="AB17" s="59" t="n"/>
      <c r="AC17" s="59" t="n"/>
      <c r="AD17" s="59" t="n"/>
    </row>
    <row r="18">
      <c r="A18" s="59" t="n"/>
      <c r="B18" s="59" t="n"/>
      <c r="C18" s="59" t="n"/>
      <c r="D18" s="59" t="n"/>
      <c r="E18" s="59" t="n"/>
      <c r="F18" s="59" t="n"/>
      <c r="G18" s="59" t="n"/>
      <c r="H18" s="59" t="n"/>
      <c r="I18" s="59" t="n"/>
      <c r="J18" s="59" t="n"/>
      <c r="K18" s="59" t="n"/>
      <c r="L18" s="59" t="n"/>
      <c r="M18" s="59" t="n"/>
      <c r="N18" s="59" t="n"/>
      <c r="O18" s="59" t="n"/>
      <c r="P18" s="59" t="n"/>
      <c r="Q18" s="59" t="n"/>
      <c r="R18" s="59" t="n"/>
      <c r="S18" s="59" t="n"/>
      <c r="T18" s="59" t="n"/>
      <c r="U18" s="59" t="n"/>
      <c r="V18" s="59" t="n"/>
      <c r="W18" s="59" t="n"/>
      <c r="X18" s="59" t="n"/>
      <c r="Y18" s="59" t="n"/>
      <c r="Z18" s="59" t="n"/>
      <c r="AA18" s="59" t="n"/>
      <c r="AB18" s="59" t="n"/>
      <c r="AC18" s="59" t="n"/>
      <c r="AD18" s="59" t="n"/>
    </row>
    <row r="19">
      <c r="A19" s="59" t="n"/>
      <c r="B19" s="59" t="n"/>
      <c r="C19" s="59" t="n"/>
      <c r="D19" s="59" t="n"/>
      <c r="E19" s="59" t="n"/>
      <c r="F19" s="59" t="n"/>
      <c r="G19" s="59" t="n"/>
      <c r="H19" s="59" t="n"/>
      <c r="I19" s="59" t="n"/>
      <c r="J19" s="59" t="n"/>
      <c r="K19" s="59" t="n"/>
      <c r="L19" s="59" t="n"/>
      <c r="M19" s="59" t="n"/>
      <c r="N19" s="59" t="n"/>
      <c r="O19" s="59" t="n"/>
      <c r="P19" s="59" t="n"/>
      <c r="Q19" s="59" t="n"/>
      <c r="R19" s="59" t="n"/>
      <c r="S19" s="59" t="n"/>
      <c r="T19" s="59" t="n"/>
      <c r="U19" s="59" t="n"/>
      <c r="V19" s="59" t="n"/>
      <c r="W19" s="59" t="n"/>
      <c r="X19" s="59" t="n"/>
      <c r="Y19" s="59" t="n"/>
      <c r="Z19" s="59" t="n"/>
      <c r="AA19" s="59" t="n"/>
      <c r="AB19" s="59" t="n"/>
      <c r="AC19" s="59" t="n"/>
      <c r="AD19" s="59" t="n"/>
    </row>
    <row r="20">
      <c r="A20" s="59" t="n"/>
      <c r="B20" s="59" t="n"/>
      <c r="C20" s="59" t="n"/>
      <c r="D20" s="59" t="n"/>
      <c r="E20" s="59" t="n"/>
      <c r="F20" s="59" t="n"/>
      <c r="G20" s="59" t="n"/>
      <c r="H20" s="59" t="n"/>
      <c r="I20" s="59" t="n"/>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row>
    <row r="21">
      <c r="A21" s="59" t="n"/>
      <c r="B21" s="59" t="n"/>
      <c r="C21" s="59" t="n"/>
      <c r="D21" s="59" t="n"/>
      <c r="E21" s="59" t="n"/>
      <c r="F21" s="59" t="n"/>
      <c r="G21" s="59" t="n"/>
      <c r="H21" s="59" t="n"/>
      <c r="I21" s="59" t="n"/>
      <c r="J21" s="59" t="n"/>
      <c r="K21" s="59" t="n"/>
      <c r="L21" s="59" t="n"/>
      <c r="M21" s="59" t="n"/>
      <c r="N21" s="59" t="n"/>
      <c r="O21" s="59" t="n"/>
      <c r="P21" s="59" t="n"/>
      <c r="Q21" s="59" t="n"/>
      <c r="R21" s="59" t="n"/>
      <c r="S21" s="59" t="n"/>
      <c r="T21" s="59" t="n"/>
      <c r="U21" s="59" t="n"/>
      <c r="V21" s="59" t="n"/>
      <c r="W21" s="59" t="n"/>
      <c r="X21" s="59" t="n"/>
      <c r="Y21" s="59" t="n"/>
      <c r="Z21" s="59" t="n"/>
      <c r="AA21" s="59" t="n"/>
      <c r="AB21" s="59" t="n"/>
      <c r="AC21" s="59" t="n"/>
      <c r="AD21" s="59" t="n"/>
    </row>
    <row r="22">
      <c r="A22" s="59" t="n"/>
      <c r="B22" s="59" t="n"/>
      <c r="C22" s="59" t="n"/>
      <c r="D22" s="59" t="n"/>
      <c r="E22" s="59" t="n"/>
      <c r="F22" s="59" t="n"/>
      <c r="G22" s="59" t="n"/>
      <c r="H22" s="59" t="n"/>
      <c r="I22" s="59" t="n"/>
      <c r="J22" s="59" t="n"/>
      <c r="K22" s="59" t="n"/>
      <c r="L22" s="59" t="n"/>
      <c r="M22" s="59" t="n"/>
      <c r="N22" s="59" t="n"/>
      <c r="O22" s="59" t="n"/>
      <c r="P22" s="59" t="n"/>
      <c r="Q22" s="59" t="n"/>
      <c r="R22" s="59" t="n"/>
      <c r="S22" s="59" t="n"/>
      <c r="T22" s="59" t="n"/>
      <c r="U22" s="59" t="n"/>
      <c r="V22" s="59" t="n"/>
      <c r="W22" s="59" t="n"/>
      <c r="X22" s="59" t="n"/>
      <c r="Y22" s="59" t="n"/>
      <c r="Z22" s="59" t="n"/>
      <c r="AA22" s="59" t="n"/>
      <c r="AB22" s="59" t="n"/>
      <c r="AC22" s="59" t="n"/>
      <c r="AD22" s="59" t="n"/>
    </row>
    <row r="23">
      <c r="A23" s="59" t="n"/>
      <c r="B23" s="59" t="n"/>
      <c r="C23" s="59" t="n"/>
      <c r="D23" s="59" t="n"/>
      <c r="E23" s="59" t="n"/>
      <c r="F23" s="59" t="n"/>
      <c r="G23" s="59" t="n"/>
      <c r="H23" s="59" t="n"/>
      <c r="I23" s="59" t="n"/>
      <c r="J23" s="59" t="n"/>
      <c r="K23" s="59" t="n"/>
      <c r="L23" s="59" t="n"/>
      <c r="M23" s="59" t="n"/>
      <c r="N23" s="59" t="n"/>
      <c r="O23" s="59" t="n"/>
      <c r="P23" s="59" t="n"/>
      <c r="Q23" s="59" t="n"/>
      <c r="R23" s="59" t="n"/>
      <c r="S23" s="59" t="n"/>
      <c r="T23" s="59" t="n"/>
      <c r="U23" s="59" t="n"/>
      <c r="V23" s="59" t="n"/>
      <c r="W23" s="59" t="n"/>
      <c r="X23" s="59" t="n"/>
      <c r="Y23" s="59" t="n"/>
      <c r="Z23" s="59" t="n"/>
      <c r="AA23" s="59" t="n"/>
      <c r="AB23" s="59" t="n"/>
      <c r="AC23" s="59" t="n"/>
      <c r="AD23" s="59" t="n"/>
    </row>
    <row r="24">
      <c r="A24" s="59" t="n"/>
      <c r="B24" s="59" t="n"/>
      <c r="C24" s="59" t="n"/>
      <c r="D24" s="59" t="n"/>
      <c r="E24" s="59" t="n"/>
      <c r="F24" s="59" t="n"/>
      <c r="G24" s="59" t="n"/>
      <c r="H24" s="59" t="n"/>
      <c r="I24" s="59" t="n"/>
      <c r="J24" s="59" t="n"/>
      <c r="K24" s="59" t="n"/>
      <c r="L24" s="59" t="n"/>
      <c r="M24" s="59" t="n"/>
      <c r="N24" s="59" t="n"/>
      <c r="O24" s="59" t="n"/>
      <c r="P24" s="59" t="n"/>
      <c r="Q24" s="59" t="n"/>
      <c r="R24" s="59" t="n"/>
      <c r="S24" s="59" t="n"/>
      <c r="T24" s="59" t="n"/>
      <c r="U24" s="59" t="n"/>
      <c r="V24" s="59" t="n"/>
      <c r="W24" s="59" t="n"/>
      <c r="X24" s="59" t="n"/>
      <c r="Y24" s="59" t="n"/>
      <c r="Z24" s="59" t="n"/>
      <c r="AA24" s="59" t="n"/>
      <c r="AB24" s="59" t="n"/>
      <c r="AC24" s="59" t="n"/>
      <c r="AD24" s="59" t="n"/>
    </row>
    <row r="25">
      <c r="A25" s="59" t="n"/>
      <c r="B25" s="59" t="n"/>
      <c r="C25" s="59" t="n"/>
      <c r="D25" s="59" t="n"/>
      <c r="E25" s="59" t="n"/>
      <c r="F25" s="59" t="n"/>
      <c r="G25" s="59" t="n"/>
      <c r="H25" s="59" t="n"/>
      <c r="I25" s="59" t="n"/>
      <c r="J25" s="59" t="n"/>
      <c r="K25" s="59" t="n"/>
      <c r="L25" s="59" t="n"/>
      <c r="M25" s="59" t="n"/>
      <c r="N25" s="59" t="n"/>
      <c r="O25" s="59" t="n"/>
      <c r="P25" s="59" t="n"/>
      <c r="Q25" s="59" t="n"/>
      <c r="R25" s="59" t="n"/>
      <c r="S25" s="59" t="n"/>
      <c r="T25" s="59" t="n"/>
      <c r="U25" s="59" t="n"/>
      <c r="V25" s="59" t="n"/>
      <c r="W25" s="59" t="n"/>
      <c r="X25" s="59" t="n"/>
      <c r="Y25" s="59" t="n"/>
      <c r="Z25" s="59" t="n"/>
      <c r="AA25" s="59" t="n"/>
      <c r="AB25" s="59" t="n"/>
      <c r="AC25" s="59" t="n"/>
      <c r="AD25" s="59" t="n"/>
    </row>
    <row r="26">
      <c r="A26" s="59" t="n"/>
      <c r="B26" s="59" t="n"/>
      <c r="C26" s="59" t="n"/>
      <c r="D26" s="59" t="n"/>
      <c r="E26" s="59" t="n"/>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row>
    <row r="27">
      <c r="A27" s="59" t="n"/>
      <c r="B27" s="59" t="n"/>
      <c r="C27" s="59" t="n"/>
      <c r="D27" s="59" t="n"/>
      <c r="E27" s="59" t="n"/>
      <c r="F27" s="59" t="n"/>
      <c r="G27" s="59" t="n"/>
      <c r="H27" s="59" t="n"/>
      <c r="I27" s="59" t="n"/>
      <c r="J27" s="59" t="n"/>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9" t="n"/>
    </row>
    <row r="28">
      <c r="A28" s="59" t="n"/>
      <c r="B28" s="59" t="n"/>
      <c r="C28" s="59" t="n"/>
      <c r="D28" s="59" t="n"/>
      <c r="E28" s="59" t="n"/>
      <c r="F28" s="59" t="n"/>
      <c r="G28" s="59" t="n"/>
      <c r="H28" s="59" t="n"/>
      <c r="I28" s="59" t="n"/>
      <c r="J28" s="59" t="n"/>
      <c r="K28" s="59" t="n"/>
      <c r="L28" s="59" t="n"/>
      <c r="M28" s="59" t="n"/>
      <c r="N28" s="59" t="n"/>
      <c r="O28" s="59" t="n"/>
      <c r="P28" s="59" t="n"/>
      <c r="Q28" s="59" t="n"/>
      <c r="R28" s="59" t="n"/>
      <c r="S28" s="59" t="n"/>
      <c r="T28" s="59" t="n"/>
      <c r="U28" s="59" t="n"/>
      <c r="V28" s="59" t="n"/>
      <c r="W28" s="59" t="n"/>
      <c r="X28" s="59" t="n"/>
      <c r="Y28" s="59" t="n"/>
      <c r="Z28" s="59" t="n"/>
      <c r="AA28" s="59" t="n"/>
      <c r="AB28" s="59" t="n"/>
      <c r="AC28" s="59" t="n"/>
      <c r="AD28" s="59" t="n"/>
    </row>
    <row r="29">
      <c r="A29" s="59" t="n"/>
      <c r="B29" s="59" t="n"/>
      <c r="C29" s="59" t="n"/>
      <c r="D29" s="59" t="n"/>
      <c r="E29" s="59" t="n"/>
      <c r="F29" s="59" t="n"/>
      <c r="G29" s="59" t="n"/>
      <c r="H29" s="59" t="n"/>
      <c r="I29" s="59" t="n"/>
      <c r="J29" s="59" t="n"/>
      <c r="K29" s="59" t="n"/>
      <c r="L29" s="59" t="n"/>
      <c r="M29" s="59" t="n"/>
      <c r="N29" s="59" t="n"/>
      <c r="O29" s="59" t="n"/>
      <c r="P29" s="59" t="n"/>
      <c r="Q29" s="59" t="n"/>
      <c r="R29" s="59" t="n"/>
      <c r="S29" s="59" t="n"/>
      <c r="T29" s="59" t="n"/>
      <c r="U29" s="59" t="n"/>
      <c r="V29" s="59" t="n"/>
      <c r="W29" s="59" t="n"/>
      <c r="X29" s="59" t="n"/>
      <c r="Y29" s="59" t="n"/>
      <c r="Z29" s="59" t="n"/>
      <c r="AA29" s="59" t="n"/>
      <c r="AB29" s="59" t="n"/>
      <c r="AC29" s="59" t="n"/>
      <c r="AD29" s="59" t="n"/>
    </row>
    <row r="30">
      <c r="A30" s="59" t="n"/>
      <c r="B30" s="59" t="n"/>
      <c r="C30" s="59" t="n"/>
      <c r="D30" s="59" t="n"/>
      <c r="E30" s="59" t="n"/>
      <c r="F30" s="59" t="n"/>
      <c r="G30" s="59" t="n"/>
      <c r="H30" s="59" t="n"/>
      <c r="I30" s="59" t="n"/>
      <c r="J30" s="59" t="n"/>
      <c r="K30" s="59" t="n"/>
      <c r="L30" s="59" t="n"/>
      <c r="M30" s="59" t="n"/>
      <c r="N30" s="59" t="n"/>
      <c r="O30" s="59" t="n"/>
      <c r="P30" s="59" t="n"/>
      <c r="Q30" s="59" t="n"/>
      <c r="R30" s="59" t="n"/>
      <c r="S30" s="59" t="n"/>
      <c r="T30" s="59" t="n"/>
      <c r="U30" s="59" t="n"/>
      <c r="V30" s="59" t="n"/>
      <c r="W30" s="59" t="n"/>
      <c r="X30" s="59" t="n"/>
      <c r="Y30" s="59" t="n"/>
      <c r="Z30" s="59" t="n"/>
      <c r="AA30" s="59" t="n"/>
      <c r="AB30" s="59" t="n"/>
      <c r="AC30" s="59" t="n"/>
      <c r="AD30" s="59" t="n"/>
    </row>
    <row r="31">
      <c r="A31" s="59" t="n"/>
      <c r="B31" s="59" t="n"/>
      <c r="C31" s="59" t="n"/>
      <c r="D31" s="59" t="n"/>
      <c r="E31" s="59" t="n"/>
      <c r="F31" s="59" t="n"/>
      <c r="G31" s="59" t="n"/>
      <c r="H31" s="59" t="n"/>
      <c r="I31" s="59" t="n"/>
      <c r="J31" s="59" t="n"/>
      <c r="K31" s="59" t="n"/>
      <c r="L31" s="59" t="n"/>
      <c r="M31" s="59" t="n"/>
      <c r="N31" s="59" t="n"/>
      <c r="O31" s="59" t="n"/>
      <c r="P31" s="59" t="n"/>
      <c r="Q31" s="59" t="n"/>
      <c r="R31" s="59" t="n"/>
      <c r="S31" s="59" t="n"/>
      <c r="T31" s="59" t="n"/>
      <c r="U31" s="59" t="n"/>
      <c r="V31" s="59" t="n"/>
      <c r="W31" s="59" t="n"/>
      <c r="X31" s="59" t="n"/>
      <c r="Y31" s="59" t="n"/>
      <c r="Z31" s="59" t="n"/>
      <c r="AA31" s="59" t="n"/>
      <c r="AB31" s="59" t="n"/>
      <c r="AC31" s="59" t="n"/>
      <c r="AD31" s="59" t="n"/>
    </row>
    <row r="32">
      <c r="A32" s="59" t="n"/>
      <c r="B32" s="59" t="n"/>
      <c r="C32" s="59" t="n"/>
      <c r="D32" s="59" t="n"/>
      <c r="E32" s="59" t="n"/>
      <c r="F32" s="59" t="n"/>
      <c r="G32" s="59" t="n"/>
      <c r="H32" s="59" t="n"/>
      <c r="I32" s="59" t="n"/>
      <c r="J32" s="59" t="n"/>
      <c r="K32" s="59" t="n"/>
      <c r="L32" s="59" t="n"/>
      <c r="M32" s="59" t="n"/>
      <c r="N32" s="59" t="n"/>
      <c r="O32" s="59" t="n"/>
      <c r="P32" s="59" t="n"/>
      <c r="Q32" s="59" t="n"/>
      <c r="R32" s="59" t="n"/>
      <c r="S32" s="59" t="n"/>
      <c r="T32" s="59" t="n"/>
      <c r="U32" s="59" t="n"/>
      <c r="V32" s="59" t="n"/>
      <c r="W32" s="59" t="n"/>
      <c r="X32" s="59" t="n"/>
      <c r="Y32" s="59" t="n"/>
      <c r="Z32" s="59" t="n"/>
      <c r="AA32" s="59" t="n"/>
      <c r="AB32" s="59" t="n"/>
      <c r="AC32" s="59" t="n"/>
      <c r="AD32" s="59" t="n"/>
    </row>
    <row r="33">
      <c r="A33" s="59" t="n"/>
      <c r="B33" s="59" t="n"/>
      <c r="C33" s="59" t="n"/>
      <c r="D33" s="59" t="n"/>
      <c r="E33" s="59" t="n"/>
      <c r="F33" s="59" t="n"/>
      <c r="G33" s="59" t="n"/>
      <c r="H33" s="59" t="n"/>
      <c r="I33" s="59" t="n"/>
      <c r="J33" s="59" t="n"/>
      <c r="K33" s="59" t="n"/>
      <c r="L33" s="59" t="n"/>
      <c r="M33" s="59" t="n"/>
      <c r="N33" s="59" t="n"/>
      <c r="O33" s="59" t="n"/>
      <c r="P33" s="59" t="n"/>
      <c r="Q33" s="59" t="n"/>
      <c r="R33" s="59" t="n"/>
      <c r="S33" s="59" t="n"/>
      <c r="T33" s="59" t="n"/>
      <c r="U33" s="59" t="n"/>
      <c r="V33" s="59" t="n"/>
      <c r="W33" s="59" t="n"/>
      <c r="X33" s="59" t="n"/>
      <c r="Y33" s="59" t="n"/>
      <c r="Z33" s="59" t="n"/>
      <c r="AA33" s="59" t="n"/>
      <c r="AB33" s="59" t="n"/>
      <c r="AC33" s="59" t="n"/>
      <c r="AD33" s="59" t="n"/>
    </row>
    <row r="34">
      <c r="A34" s="59" t="n"/>
      <c r="B34" s="59" t="n"/>
      <c r="C34" s="59" t="n"/>
      <c r="D34" s="59" t="n"/>
      <c r="E34" s="59" t="n"/>
      <c r="F34" s="59" t="n"/>
      <c r="G34" s="59" t="n"/>
      <c r="H34" s="59" t="n"/>
      <c r="I34" s="59" t="n"/>
      <c r="J34" s="59" t="n"/>
      <c r="K34" s="59" t="n"/>
      <c r="L34" s="59" t="n"/>
      <c r="M34" s="59" t="n"/>
      <c r="N34" s="59" t="n"/>
      <c r="O34" s="59" t="n"/>
      <c r="P34" s="59" t="n"/>
      <c r="Q34" s="59" t="n"/>
      <c r="R34" s="59" t="n"/>
      <c r="S34" s="59" t="n"/>
      <c r="T34" s="59" t="n"/>
      <c r="U34" s="59" t="n"/>
      <c r="V34" s="59" t="n"/>
      <c r="W34" s="59" t="n"/>
      <c r="X34" s="59" t="n"/>
      <c r="Y34" s="59" t="n"/>
      <c r="Z34" s="59" t="n"/>
      <c r="AA34" s="59" t="n"/>
      <c r="AB34" s="59" t="n"/>
      <c r="AC34" s="59" t="n"/>
      <c r="AD34" s="59" t="n"/>
    </row>
    <row r="35">
      <c r="A35" s="59" t="n"/>
      <c r="B35" s="59" t="n"/>
      <c r="C35" s="59" t="n"/>
      <c r="D35" s="59" t="n"/>
      <c r="E35" s="59" t="n"/>
      <c r="F35" s="59" t="n"/>
      <c r="G35" s="59" t="n"/>
      <c r="H35" s="59" t="n"/>
      <c r="I35" s="59" t="n"/>
      <c r="J35" s="59" t="n"/>
      <c r="K35" s="59" t="n"/>
      <c r="L35" s="59" t="n"/>
      <c r="M35" s="59" t="n"/>
      <c r="N35" s="59" t="n"/>
      <c r="O35" s="59" t="n"/>
      <c r="P35" s="59" t="n"/>
      <c r="Q35" s="59" t="n"/>
      <c r="R35" s="59" t="n"/>
      <c r="S35" s="59" t="n"/>
      <c r="T35" s="59" t="n"/>
      <c r="U35" s="59" t="n"/>
      <c r="V35" s="59" t="n"/>
      <c r="W35" s="59" t="n"/>
      <c r="X35" s="59" t="n"/>
      <c r="Y35" s="59" t="n"/>
      <c r="Z35" s="59" t="n"/>
      <c r="AA35" s="59" t="n"/>
      <c r="AB35" s="59" t="n"/>
      <c r="AC35" s="59" t="n"/>
      <c r="AD35" s="59" t="n"/>
    </row>
    <row r="36">
      <c r="A36" s="59" t="n"/>
      <c r="B36" s="59" t="n"/>
      <c r="C36" s="59" t="n"/>
      <c r="D36" s="59" t="n"/>
      <c r="E36" s="59" t="n"/>
      <c r="F36" s="59" t="n"/>
      <c r="G36" s="59" t="n"/>
      <c r="H36" s="59" t="n"/>
      <c r="I36" s="59" t="n"/>
      <c r="J36" s="59" t="n"/>
      <c r="K36" s="59" t="n"/>
      <c r="L36" s="59" t="n"/>
      <c r="M36" s="59" t="n"/>
      <c r="N36" s="59" t="n"/>
      <c r="O36" s="59" t="n"/>
      <c r="P36" s="59" t="n"/>
      <c r="Q36" s="59" t="n"/>
      <c r="R36" s="59" t="n"/>
      <c r="S36" s="59" t="n"/>
      <c r="T36" s="59" t="n"/>
      <c r="U36" s="59" t="n"/>
      <c r="V36" s="59" t="n"/>
      <c r="W36" s="59" t="n"/>
      <c r="X36" s="59" t="n"/>
      <c r="Y36" s="59" t="n"/>
      <c r="Z36" s="59" t="n"/>
      <c r="AA36" s="59" t="n"/>
      <c r="AB36" s="59" t="n"/>
      <c r="AC36" s="59" t="n"/>
      <c r="AD36" s="59" t="n"/>
    </row>
    <row r="37">
      <c r="A37" s="59" t="n"/>
      <c r="B37" s="59" t="n"/>
      <c r="C37" s="59" t="n"/>
      <c r="D37" s="59" t="n"/>
      <c r="E37" s="59" t="n"/>
      <c r="F37" s="59" t="n"/>
      <c r="G37" s="59" t="n"/>
      <c r="H37" s="59" t="n"/>
      <c r="I37" s="59" t="n"/>
      <c r="J37" s="59" t="n"/>
      <c r="K37" s="59" t="n"/>
      <c r="L37" s="59" t="n"/>
      <c r="M37" s="59" t="n"/>
      <c r="N37" s="59" t="n"/>
      <c r="O37" s="59" t="n"/>
      <c r="P37" s="59" t="n"/>
      <c r="Q37" s="59" t="n"/>
      <c r="R37" s="59" t="n"/>
      <c r="S37" s="59" t="n"/>
      <c r="T37" s="59" t="n"/>
      <c r="U37" s="59" t="n"/>
      <c r="V37" s="59" t="n"/>
      <c r="W37" s="59" t="n"/>
      <c r="X37" s="59" t="n"/>
      <c r="Y37" s="59" t="n"/>
      <c r="Z37" s="59" t="n"/>
      <c r="AA37" s="59" t="n"/>
      <c r="AB37" s="59" t="n"/>
      <c r="AC37" s="59" t="n"/>
      <c r="AD37" s="59" t="n"/>
    </row>
    <row r="38">
      <c r="A38" s="59" t="n"/>
      <c r="B38" s="59" t="n"/>
      <c r="C38" s="59" t="n"/>
      <c r="D38" s="59" t="n"/>
      <c r="E38" s="59" t="n"/>
      <c r="F38" s="59" t="n"/>
      <c r="G38" s="59" t="n"/>
      <c r="H38" s="59" t="n"/>
      <c r="I38" s="59" t="n"/>
      <c r="J38" s="59" t="n"/>
      <c r="K38" s="59" t="n"/>
      <c r="L38" s="59" t="n"/>
      <c r="M38" s="59" t="n"/>
      <c r="N38" s="59" t="n"/>
      <c r="O38" s="59" t="n"/>
      <c r="P38" s="59" t="n"/>
      <c r="Q38" s="59" t="n"/>
      <c r="R38" s="59" t="n"/>
      <c r="S38" s="59" t="n"/>
      <c r="T38" s="59" t="n"/>
      <c r="U38" s="59" t="n"/>
      <c r="V38" s="59" t="n"/>
      <c r="W38" s="59" t="n"/>
      <c r="X38" s="59" t="n"/>
      <c r="Y38" s="59" t="n"/>
      <c r="Z38" s="59" t="n"/>
      <c r="AA38" s="59" t="n"/>
      <c r="AB38" s="59" t="n"/>
      <c r="AC38" s="59" t="n"/>
      <c r="AD38" s="59" t="n"/>
    </row>
    <row r="39">
      <c r="A39" s="59" t="n"/>
      <c r="B39" s="59" t="n"/>
      <c r="C39" s="59" t="n"/>
      <c r="D39" s="59" t="n"/>
      <c r="E39" s="59" t="n"/>
      <c r="F39" s="59" t="n"/>
      <c r="G39" s="59" t="n"/>
      <c r="H39" s="59" t="n"/>
      <c r="I39" s="59" t="n"/>
      <c r="J39" s="59" t="n"/>
      <c r="K39" s="59" t="n"/>
      <c r="L39" s="59" t="n"/>
      <c r="M39" s="59" t="n"/>
      <c r="N39" s="59" t="n"/>
      <c r="O39" s="59" t="n"/>
      <c r="P39" s="59" t="n"/>
      <c r="Q39" s="59" t="n"/>
      <c r="R39" s="59" t="n"/>
      <c r="S39" s="59" t="n"/>
      <c r="T39" s="59" t="n"/>
      <c r="U39" s="59" t="n"/>
      <c r="V39" s="59" t="n"/>
      <c r="W39" s="59" t="n"/>
      <c r="X39" s="59" t="n"/>
      <c r="Y39" s="59" t="n"/>
      <c r="Z39" s="59" t="n"/>
      <c r="AA39" s="59" t="n"/>
      <c r="AB39" s="59" t="n"/>
      <c r="AC39" s="59" t="n"/>
      <c r="AD39" s="59" t="n"/>
    </row>
    <row r="40">
      <c r="A40" s="59" t="n"/>
      <c r="B40" s="59" t="n"/>
      <c r="C40" s="59" t="n"/>
      <c r="D40" s="59" t="n"/>
      <c r="E40" s="59" t="n"/>
      <c r="F40" s="59" t="n"/>
      <c r="G40" s="59" t="n"/>
      <c r="H40" s="59" t="n"/>
      <c r="I40" s="59" t="n"/>
      <c r="J40" s="59" t="n"/>
      <c r="K40" s="59" t="n"/>
      <c r="L40" s="59" t="n"/>
      <c r="M40" s="59" t="n"/>
      <c r="N40" s="59" t="n"/>
      <c r="O40" s="59" t="n"/>
      <c r="P40" s="59" t="n"/>
      <c r="Q40" s="59" t="n"/>
      <c r="R40" s="59" t="n"/>
      <c r="S40" s="59" t="n"/>
      <c r="T40" s="59" t="n"/>
      <c r="U40" s="59" t="n"/>
      <c r="V40" s="59" t="n"/>
      <c r="W40" s="59" t="n"/>
      <c r="X40" s="59" t="n"/>
      <c r="Y40" s="59" t="n"/>
      <c r="Z40" s="59" t="n"/>
      <c r="AA40" s="59" t="n"/>
      <c r="AB40" s="59" t="n"/>
      <c r="AC40" s="59" t="n"/>
      <c r="AD40" s="59" t="n"/>
    </row>
    <row r="41">
      <c r="A41" s="59" t="n"/>
      <c r="B41" s="59" t="n"/>
      <c r="C41" s="59" t="n"/>
      <c r="D41" s="59" t="n"/>
      <c r="E41" s="59" t="n"/>
      <c r="F41" s="59" t="n"/>
      <c r="G41" s="59" t="n"/>
      <c r="H41" s="59" t="n"/>
      <c r="I41" s="59" t="n"/>
      <c r="J41" s="59" t="n"/>
      <c r="K41" s="59" t="n"/>
      <c r="L41" s="59" t="n"/>
      <c r="M41" s="59" t="n"/>
      <c r="N41" s="59" t="n"/>
      <c r="O41" s="59" t="n"/>
      <c r="P41" s="59" t="n"/>
      <c r="Q41" s="59" t="n"/>
      <c r="R41" s="59" t="n"/>
      <c r="S41" s="59" t="n"/>
      <c r="T41" s="59" t="n"/>
      <c r="U41" s="59" t="n"/>
      <c r="V41" s="59" t="n"/>
      <c r="W41" s="59" t="n"/>
      <c r="X41" s="59" t="n"/>
      <c r="Y41" s="59" t="n"/>
      <c r="Z41" s="59" t="n"/>
      <c r="AA41" s="59" t="n"/>
      <c r="AB41" s="59" t="n"/>
      <c r="AC41" s="59" t="n"/>
      <c r="AD41" s="59" t="n"/>
    </row>
    <row r="42">
      <c r="A42" s="59" t="n"/>
      <c r="B42" s="59" t="n"/>
      <c r="C42" s="59" t="n"/>
      <c r="D42" s="59" t="n"/>
      <c r="E42" s="59" t="n"/>
      <c r="F42" s="59" t="n"/>
      <c r="G42" s="59" t="n"/>
      <c r="H42" s="59" t="n"/>
      <c r="I42" s="59" t="n"/>
      <c r="J42" s="59" t="n"/>
      <c r="K42" s="59" t="n"/>
      <c r="L42" s="59" t="n"/>
      <c r="M42" s="59" t="n"/>
      <c r="N42" s="59" t="n"/>
      <c r="O42" s="59" t="n"/>
      <c r="P42" s="59" t="n"/>
      <c r="Q42" s="59" t="n"/>
      <c r="R42" s="59" t="n"/>
      <c r="S42" s="59" t="n"/>
      <c r="T42" s="59" t="n"/>
      <c r="U42" s="59" t="n"/>
      <c r="V42" s="59" t="n"/>
      <c r="W42" s="59" t="n"/>
      <c r="X42" s="59" t="n"/>
      <c r="Y42" s="59" t="n"/>
      <c r="Z42" s="59" t="n"/>
      <c r="AA42" s="59" t="n"/>
      <c r="AB42" s="59" t="n"/>
      <c r="AC42" s="59" t="n"/>
      <c r="AD42" s="59" t="n"/>
    </row>
    <row r="43">
      <c r="A43" s="59" t="n"/>
      <c r="B43" s="59" t="n"/>
      <c r="C43" s="59" t="n"/>
      <c r="D43" s="59" t="n"/>
      <c r="E43" s="59" t="n"/>
      <c r="F43" s="59" t="n"/>
      <c r="G43" s="59" t="n"/>
      <c r="H43" s="59" t="n"/>
      <c r="I43" s="59" t="n"/>
      <c r="J43" s="59" t="n"/>
      <c r="K43" s="59" t="n"/>
      <c r="L43" s="59" t="n"/>
      <c r="M43" s="59" t="n"/>
      <c r="N43" s="59" t="n"/>
      <c r="O43" s="59" t="n"/>
      <c r="P43" s="59" t="n"/>
      <c r="Q43" s="59" t="n"/>
      <c r="R43" s="59" t="n"/>
      <c r="S43" s="59" t="n"/>
      <c r="T43" s="59" t="n"/>
      <c r="U43" s="59" t="n"/>
      <c r="V43" s="59" t="n"/>
      <c r="W43" s="59" t="n"/>
      <c r="X43" s="59" t="n"/>
      <c r="Y43" s="59" t="n"/>
      <c r="Z43" s="59" t="n"/>
      <c r="AA43" s="59" t="n"/>
      <c r="AB43" s="59" t="n"/>
      <c r="AC43" s="59" t="n"/>
      <c r="AD43" s="59" t="n"/>
    </row>
    <row r="44">
      <c r="A44" s="59" t="n"/>
      <c r="B44" s="59" t="n"/>
      <c r="C44" s="59" t="n"/>
      <c r="D44" s="59" t="n"/>
      <c r="E44" s="59" t="n"/>
      <c r="F44" s="59" t="n"/>
      <c r="G44" s="59" t="n"/>
      <c r="H44" s="59" t="n"/>
      <c r="I44" s="59" t="n"/>
      <c r="J44" s="59" t="n"/>
      <c r="K44" s="59" t="n"/>
      <c r="L44" s="59" t="n"/>
      <c r="M44" s="59" t="n"/>
      <c r="N44" s="59" t="n"/>
      <c r="O44" s="59" t="n"/>
      <c r="P44" s="59" t="n"/>
      <c r="Q44" s="59" t="n"/>
      <c r="R44" s="59" t="n"/>
      <c r="S44" s="59" t="n"/>
      <c r="T44" s="59" t="n"/>
      <c r="U44" s="59" t="n"/>
      <c r="V44" s="59" t="n"/>
      <c r="W44" s="59" t="n"/>
      <c r="X44" s="59" t="n"/>
      <c r="Y44" s="59" t="n"/>
      <c r="Z44" s="59" t="n"/>
      <c r="AA44" s="59" t="n"/>
      <c r="AB44" s="59" t="n"/>
      <c r="AC44" s="59" t="n"/>
      <c r="AD44" s="59" t="n"/>
    </row>
    <row r="45">
      <c r="A45" s="59" t="n"/>
      <c r="B45" s="59" t="n"/>
      <c r="C45" s="59" t="n"/>
      <c r="D45" s="59" t="n"/>
      <c r="E45" s="59" t="n"/>
      <c r="F45" s="59" t="n"/>
      <c r="G45" s="59" t="n"/>
      <c r="H45" s="59" t="n"/>
      <c r="I45" s="59" t="n"/>
      <c r="J45" s="59" t="n"/>
      <c r="K45" s="59" t="n"/>
      <c r="L45" s="59" t="n"/>
      <c r="M45" s="59" t="n"/>
      <c r="N45" s="59" t="n"/>
      <c r="O45" s="59" t="n"/>
      <c r="P45" s="59" t="n"/>
      <c r="Q45" s="59" t="n"/>
      <c r="R45" s="59" t="n"/>
      <c r="S45" s="59" t="n"/>
      <c r="T45" s="59" t="n"/>
      <c r="U45" s="59" t="n"/>
      <c r="V45" s="59" t="n"/>
      <c r="W45" s="59" t="n"/>
      <c r="X45" s="59" t="n"/>
      <c r="Y45" s="59" t="n"/>
      <c r="Z45" s="59" t="n"/>
      <c r="AA45" s="59" t="n"/>
      <c r="AB45" s="59" t="n"/>
      <c r="AC45" s="59" t="n"/>
      <c r="AD45" s="59" t="n"/>
    </row>
    <row r="46">
      <c r="A46" s="59" t="n"/>
      <c r="B46" s="59" t="n"/>
      <c r="C46" s="59" t="n"/>
      <c r="D46" s="59" t="n"/>
      <c r="E46" s="59" t="n"/>
      <c r="F46" s="59" t="n"/>
      <c r="G46" s="59" t="n"/>
      <c r="H46" s="59" t="n"/>
      <c r="I46" s="59" t="n"/>
      <c r="J46" s="59" t="n"/>
      <c r="K46" s="59" t="n"/>
      <c r="L46" s="59" t="n"/>
      <c r="M46" s="59" t="n"/>
      <c r="N46" s="59" t="n"/>
      <c r="O46" s="59" t="n"/>
      <c r="P46" s="59" t="n"/>
      <c r="Q46" s="59" t="n"/>
      <c r="R46" s="59" t="n"/>
      <c r="S46" s="59" t="n"/>
      <c r="T46" s="59" t="n"/>
      <c r="U46" s="59" t="n"/>
      <c r="V46" s="59" t="n"/>
      <c r="W46" s="59" t="n"/>
      <c r="X46" s="59" t="n"/>
      <c r="Y46" s="59" t="n"/>
      <c r="Z46" s="59" t="n"/>
      <c r="AA46" s="59" t="n"/>
      <c r="AB46" s="59" t="n"/>
      <c r="AC46" s="59" t="n"/>
      <c r="AD46" s="59" t="n"/>
    </row>
    <row r="47">
      <c r="A47" s="59" t="n"/>
      <c r="B47" s="59" t="n"/>
      <c r="C47" s="59" t="n"/>
      <c r="D47" s="59" t="n"/>
      <c r="E47" s="59" t="n"/>
      <c r="F47" s="59" t="n"/>
      <c r="G47" s="59" t="n"/>
      <c r="H47" s="59" t="n"/>
      <c r="I47" s="59" t="n"/>
      <c r="J47" s="59" t="n"/>
      <c r="K47" s="59" t="n"/>
      <c r="L47" s="59" t="n"/>
      <c r="M47" s="59" t="n"/>
      <c r="N47" s="59" t="n"/>
      <c r="O47" s="59" t="n"/>
      <c r="P47" s="59" t="n"/>
      <c r="Q47" s="59" t="n"/>
      <c r="R47" s="59" t="n"/>
      <c r="S47" s="59" t="n"/>
      <c r="T47" s="59" t="n"/>
      <c r="U47" s="59" t="n"/>
      <c r="V47" s="59" t="n"/>
      <c r="W47" s="59" t="n"/>
      <c r="X47" s="59" t="n"/>
      <c r="Y47" s="59" t="n"/>
      <c r="Z47" s="59" t="n"/>
      <c r="AA47" s="59" t="n"/>
      <c r="AB47" s="59" t="n"/>
      <c r="AC47" s="59" t="n"/>
      <c r="AD47" s="59" t="n"/>
    </row>
    <row r="48">
      <c r="A48" s="59" t="n"/>
      <c r="B48" s="59" t="n"/>
      <c r="C48" s="59" t="n"/>
      <c r="D48" s="59" t="n"/>
      <c r="E48" s="59" t="n"/>
      <c r="F48" s="59" t="n"/>
      <c r="G48" s="59" t="n"/>
      <c r="H48" s="59" t="n"/>
      <c r="I48" s="59" t="n"/>
      <c r="J48" s="59" t="n"/>
      <c r="K48" s="59" t="n"/>
      <c r="L48" s="59" t="n"/>
      <c r="M48" s="59" t="n"/>
      <c r="N48" s="59" t="n"/>
      <c r="O48" s="59" t="n"/>
      <c r="P48" s="59" t="n"/>
      <c r="Q48" s="59" t="n"/>
      <c r="R48" s="59" t="n"/>
      <c r="S48" s="59" t="n"/>
      <c r="T48" s="59" t="n"/>
      <c r="U48" s="59" t="n"/>
      <c r="V48" s="59" t="n"/>
      <c r="W48" s="59" t="n"/>
      <c r="X48" s="59" t="n"/>
      <c r="Y48" s="59" t="n"/>
      <c r="Z48" s="59" t="n"/>
      <c r="AA48" s="59" t="n"/>
      <c r="AB48" s="59" t="n"/>
      <c r="AC48" s="59" t="n"/>
      <c r="AD48" s="59" t="n"/>
    </row>
    <row r="49">
      <c r="A49" s="59" t="n"/>
      <c r="B49" s="59" t="n"/>
      <c r="C49" s="59" t="n"/>
      <c r="D49" s="59" t="n"/>
      <c r="E49" s="59" t="n"/>
      <c r="F49" s="59" t="n"/>
      <c r="G49" s="59" t="n"/>
      <c r="H49" s="59" t="n"/>
      <c r="I49" s="59" t="n"/>
      <c r="J49" s="59" t="n"/>
      <c r="K49" s="59" t="n"/>
      <c r="L49" s="59" t="n"/>
      <c r="M49" s="59" t="n"/>
      <c r="N49" s="59" t="n"/>
      <c r="O49" s="59" t="n"/>
      <c r="P49" s="59" t="n"/>
      <c r="Q49" s="59" t="n"/>
      <c r="R49" s="59" t="n"/>
      <c r="S49" s="59" t="n"/>
      <c r="T49" s="59" t="n"/>
      <c r="U49" s="59" t="n"/>
      <c r="V49" s="59" t="n"/>
      <c r="W49" s="59" t="n"/>
      <c r="X49" s="59" t="n"/>
      <c r="Y49" s="59" t="n"/>
      <c r="Z49" s="59" t="n"/>
      <c r="AA49" s="59" t="n"/>
      <c r="AB49" s="59" t="n"/>
      <c r="AC49" s="59" t="n"/>
      <c r="AD49" s="59" t="n"/>
    </row>
    <row r="50">
      <c r="A50" s="59" t="n"/>
      <c r="B50" s="59" t="n"/>
      <c r="C50" s="59" t="n"/>
      <c r="D50" s="59" t="n"/>
      <c r="E50" s="59" t="n"/>
      <c r="F50" s="59" t="n"/>
      <c r="G50" s="59" t="n"/>
      <c r="H50" s="59" t="n"/>
      <c r="I50" s="59" t="n"/>
      <c r="J50" s="59" t="n"/>
      <c r="K50" s="59" t="n"/>
      <c r="L50" s="59" t="n"/>
      <c r="M50" s="59" t="n"/>
      <c r="N50" s="59" t="n"/>
      <c r="O50" s="59" t="n"/>
      <c r="P50" s="59" t="n"/>
      <c r="Q50" s="59" t="n"/>
      <c r="R50" s="59" t="n"/>
      <c r="S50" s="59" t="n"/>
      <c r="T50" s="59" t="n"/>
      <c r="U50" s="59" t="n"/>
      <c r="V50" s="59" t="n"/>
      <c r="W50" s="59" t="n"/>
      <c r="X50" s="59" t="n"/>
      <c r="Y50" s="59" t="n"/>
      <c r="Z50" s="59" t="n"/>
      <c r="AA50" s="59" t="n"/>
      <c r="AB50" s="59" t="n"/>
      <c r="AC50" s="59" t="n"/>
      <c r="AD50" s="59" t="n"/>
    </row>
    <row r="51">
      <c r="A51" s="59" t="n"/>
      <c r="B51" s="59" t="n"/>
      <c r="C51" s="59" t="n"/>
      <c r="D51" s="59" t="n"/>
      <c r="E51" s="59" t="n"/>
      <c r="F51" s="59" t="n"/>
      <c r="G51" s="59" t="n"/>
      <c r="H51" s="59" t="n"/>
      <c r="I51" s="59" t="n"/>
      <c r="J51" s="59" t="n"/>
      <c r="K51" s="59" t="n"/>
      <c r="L51" s="59" t="n"/>
      <c r="M51" s="59" t="n"/>
      <c r="N51" s="59" t="n"/>
      <c r="O51" s="59" t="n"/>
      <c r="P51" s="59" t="n"/>
      <c r="Q51" s="59" t="n"/>
      <c r="R51" s="59" t="n"/>
      <c r="S51" s="59" t="n"/>
      <c r="T51" s="59" t="n"/>
      <c r="U51" s="59" t="n"/>
      <c r="V51" s="59" t="n"/>
      <c r="W51" s="59" t="n"/>
      <c r="X51" s="59" t="n"/>
      <c r="Y51" s="59" t="n"/>
      <c r="Z51" s="59" t="n"/>
      <c r="AA51" s="59" t="n"/>
      <c r="AB51" s="59" t="n"/>
      <c r="AC51" s="59" t="n"/>
      <c r="AD51" s="59" t="n"/>
    </row>
    <row r="52">
      <c r="A52" s="59" t="n"/>
      <c r="B52" s="59" t="n"/>
      <c r="C52" s="59" t="n"/>
      <c r="D52" s="59" t="n"/>
      <c r="E52" s="59" t="n"/>
      <c r="F52" s="59" t="n"/>
      <c r="G52" s="59" t="n"/>
      <c r="H52" s="59" t="n"/>
      <c r="I52" s="59" t="n"/>
      <c r="J52" s="59" t="n"/>
      <c r="K52" s="59" t="n"/>
      <c r="L52" s="59" t="n"/>
      <c r="M52" s="59" t="n"/>
      <c r="N52" s="59" t="n"/>
      <c r="O52" s="59" t="n"/>
      <c r="P52" s="59" t="n"/>
      <c r="Q52" s="59" t="n"/>
      <c r="R52" s="59" t="n"/>
      <c r="S52" s="59" t="n"/>
      <c r="T52" s="59" t="n"/>
      <c r="U52" s="59" t="n"/>
      <c r="V52" s="59" t="n"/>
      <c r="W52" s="59" t="n"/>
      <c r="X52" s="59" t="n"/>
      <c r="Y52" s="59" t="n"/>
      <c r="Z52" s="59" t="n"/>
      <c r="AA52" s="59" t="n"/>
      <c r="AB52" s="59" t="n"/>
      <c r="AC52" s="59" t="n"/>
      <c r="AD52" s="59" t="n"/>
    </row>
    <row r="53">
      <c r="A53" s="59" t="n"/>
      <c r="B53" s="59" t="n"/>
      <c r="C53" s="59" t="n"/>
      <c r="D53" s="59" t="n"/>
      <c r="E53" s="59" t="n"/>
      <c r="F53" s="59" t="n"/>
      <c r="G53" s="59" t="n"/>
      <c r="H53" s="59" t="n"/>
      <c r="I53" s="59" t="n"/>
      <c r="J53" s="59" t="n"/>
      <c r="K53" s="59" t="n"/>
      <c r="L53" s="59" t="n"/>
      <c r="M53" s="59" t="n"/>
      <c r="N53" s="59" t="n"/>
      <c r="O53" s="59" t="n"/>
      <c r="P53" s="59" t="n"/>
      <c r="Q53" s="59" t="n"/>
      <c r="R53" s="59" t="n"/>
      <c r="S53" s="59" t="n"/>
      <c r="T53" s="59" t="n"/>
      <c r="U53" s="59" t="n"/>
      <c r="V53" s="59" t="n"/>
      <c r="W53" s="59" t="n"/>
      <c r="X53" s="59" t="n"/>
      <c r="Y53" s="59" t="n"/>
      <c r="Z53" s="59" t="n"/>
      <c r="AA53" s="59" t="n"/>
      <c r="AB53" s="59" t="n"/>
      <c r="AC53" s="59" t="n"/>
      <c r="AD53" s="59" t="n"/>
    </row>
    <row r="54">
      <c r="A54" s="59" t="n"/>
      <c r="B54" s="59" t="n"/>
      <c r="C54" s="59" t="n"/>
      <c r="D54" s="59" t="n"/>
      <c r="E54" s="59" t="n"/>
      <c r="F54" s="59" t="n"/>
      <c r="G54" s="59" t="n"/>
      <c r="H54" s="59" t="n"/>
      <c r="I54" s="59" t="n"/>
      <c r="J54" s="59" t="n"/>
      <c r="K54" s="59" t="n"/>
      <c r="L54" s="59" t="n"/>
      <c r="M54" s="59" t="n"/>
      <c r="N54" s="59" t="n"/>
      <c r="O54" s="59" t="n"/>
      <c r="P54" s="59" t="n"/>
      <c r="Q54" s="59" t="n"/>
      <c r="R54" s="59" t="n"/>
      <c r="S54" s="59" t="n"/>
      <c r="T54" s="59" t="n"/>
      <c r="U54" s="59" t="n"/>
      <c r="V54" s="59" t="n"/>
      <c r="W54" s="59" t="n"/>
      <c r="X54" s="59" t="n"/>
      <c r="Y54" s="59" t="n"/>
      <c r="Z54" s="59" t="n"/>
      <c r="AA54" s="59" t="n"/>
      <c r="AB54" s="59" t="n"/>
      <c r="AC54" s="59" t="n"/>
      <c r="AD54" s="59" t="n"/>
    </row>
    <row r="55">
      <c r="A55" s="59" t="n"/>
      <c r="B55" s="59" t="n"/>
      <c r="C55" s="59" t="n"/>
      <c r="D55" s="59" t="n"/>
      <c r="E55" s="59" t="n"/>
      <c r="F55" s="59" t="n"/>
      <c r="G55" s="59" t="n"/>
      <c r="H55" s="59" t="n"/>
      <c r="I55" s="59" t="n"/>
      <c r="J55" s="59" t="n"/>
      <c r="K55" s="59" t="n"/>
      <c r="L55" s="59" t="n"/>
      <c r="M55" s="59" t="n"/>
      <c r="N55" s="59" t="n"/>
      <c r="O55" s="59" t="n"/>
      <c r="P55" s="59" t="n"/>
      <c r="Q55" s="59" t="n"/>
      <c r="R55" s="59" t="n"/>
      <c r="S55" s="59" t="n"/>
      <c r="T55" s="59" t="n"/>
      <c r="U55" s="59" t="n"/>
      <c r="V55" s="59" t="n"/>
      <c r="W55" s="59" t="n"/>
      <c r="X55" s="59" t="n"/>
      <c r="Y55" s="59" t="n"/>
      <c r="Z55" s="59" t="n"/>
      <c r="AA55" s="59" t="n"/>
      <c r="AB55" s="59" t="n"/>
      <c r="AC55" s="59" t="n"/>
      <c r="AD55" s="59" t="n"/>
    </row>
    <row r="56">
      <c r="A56" s="59" t="n"/>
      <c r="B56" s="59" t="n"/>
      <c r="C56" s="59" t="n"/>
      <c r="D56" s="59" t="n"/>
      <c r="E56" s="59" t="n"/>
      <c r="F56" s="59" t="n"/>
      <c r="G56" s="59" t="n"/>
      <c r="H56" s="59" t="n"/>
      <c r="I56" s="59" t="n"/>
      <c r="J56" s="59" t="n"/>
      <c r="K56" s="59" t="n"/>
      <c r="L56" s="59" t="n"/>
      <c r="M56" s="59" t="n"/>
      <c r="N56" s="59" t="n"/>
      <c r="O56" s="59" t="n"/>
      <c r="P56" s="59" t="n"/>
      <c r="Q56" s="59" t="n"/>
      <c r="R56" s="59" t="n"/>
      <c r="S56" s="59" t="n"/>
      <c r="T56" s="59" t="n"/>
      <c r="U56" s="59" t="n"/>
      <c r="V56" s="59" t="n"/>
      <c r="W56" s="59" t="n"/>
      <c r="X56" s="59" t="n"/>
      <c r="Y56" s="59" t="n"/>
      <c r="Z56" s="59" t="n"/>
      <c r="AA56" s="59" t="n"/>
      <c r="AB56" s="59" t="n"/>
      <c r="AC56" s="59" t="n"/>
      <c r="AD56" s="59" t="n"/>
    </row>
    <row r="57">
      <c r="A57" s="59" t="n"/>
      <c r="B57" s="59" t="n"/>
      <c r="C57" s="59" t="n"/>
      <c r="D57" s="59" t="n"/>
      <c r="E57" s="59" t="n"/>
      <c r="F57" s="59" t="n"/>
      <c r="G57" s="59" t="n"/>
      <c r="H57" s="59" t="n"/>
      <c r="I57" s="59" t="n"/>
      <c r="J57" s="59" t="n"/>
      <c r="K57" s="59" t="n"/>
      <c r="L57" s="59" t="n"/>
      <c r="M57" s="59" t="n"/>
      <c r="N57" s="59" t="n"/>
      <c r="O57" s="59" t="n"/>
      <c r="P57" s="59" t="n"/>
      <c r="Q57" s="59" t="n"/>
      <c r="R57" s="59" t="n"/>
      <c r="S57" s="59" t="n"/>
      <c r="T57" s="59" t="n"/>
      <c r="U57" s="59" t="n"/>
      <c r="V57" s="59" t="n"/>
      <c r="W57" s="59" t="n"/>
      <c r="X57" s="59" t="n"/>
      <c r="Y57" s="59" t="n"/>
      <c r="Z57" s="59" t="n"/>
      <c r="AA57" s="59" t="n"/>
      <c r="AB57" s="59" t="n"/>
      <c r="AC57" s="59" t="n"/>
      <c r="AD57" s="59" t="n"/>
    </row>
    <row r="58">
      <c r="A58" s="59" t="n"/>
      <c r="B58" s="59" t="n"/>
      <c r="C58" s="59" t="n"/>
      <c r="D58" s="59" t="n"/>
      <c r="E58" s="59" t="n"/>
      <c r="F58" s="59" t="n"/>
      <c r="G58" s="59" t="n"/>
      <c r="H58" s="59" t="n"/>
      <c r="I58" s="59" t="n"/>
      <c r="J58" s="59" t="n"/>
      <c r="K58" s="59" t="n"/>
      <c r="L58" s="59" t="n"/>
      <c r="M58" s="59" t="n"/>
      <c r="N58" s="59" t="n"/>
      <c r="O58" s="59" t="n"/>
      <c r="P58" s="59" t="n"/>
      <c r="Q58" s="59" t="n"/>
      <c r="R58" s="59" t="n"/>
      <c r="S58" s="59" t="n"/>
      <c r="T58" s="59" t="n"/>
      <c r="U58" s="59" t="n"/>
      <c r="V58" s="59" t="n"/>
      <c r="W58" s="59" t="n"/>
      <c r="X58" s="59" t="n"/>
      <c r="Y58" s="59" t="n"/>
      <c r="Z58" s="59" t="n"/>
      <c r="AA58" s="59" t="n"/>
      <c r="AB58" s="59" t="n"/>
      <c r="AC58" s="59" t="n"/>
      <c r="AD58" s="59" t="n"/>
    </row>
    <row r="59">
      <c r="A59" s="59" t="n"/>
      <c r="B59" s="59" t="n"/>
      <c r="C59" s="59" t="n"/>
      <c r="D59" s="59" t="n"/>
      <c r="E59" s="59" t="n"/>
      <c r="F59" s="59" t="n"/>
      <c r="G59" s="59" t="n"/>
      <c r="H59" s="59" t="n"/>
      <c r="I59" s="59" t="n"/>
      <c r="J59" s="59" t="n"/>
      <c r="K59" s="59" t="n"/>
      <c r="L59" s="59" t="n"/>
      <c r="M59" s="59" t="n"/>
      <c r="N59" s="59" t="n"/>
      <c r="O59" s="59" t="n"/>
      <c r="P59" s="59" t="n"/>
      <c r="Q59" s="59" t="n"/>
      <c r="R59" s="59" t="n"/>
      <c r="S59" s="59" t="n"/>
      <c r="T59" s="59" t="n"/>
      <c r="U59" s="59" t="n"/>
      <c r="V59" s="59" t="n"/>
      <c r="W59" s="59" t="n"/>
      <c r="X59" s="59" t="n"/>
      <c r="Y59" s="59" t="n"/>
      <c r="Z59" s="59" t="n"/>
      <c r="AA59" s="59" t="n"/>
      <c r="AB59" s="59" t="n"/>
      <c r="AC59" s="59" t="n"/>
      <c r="AD59" s="59" t="n"/>
    </row>
    <row r="60">
      <c r="A60" s="59" t="n"/>
      <c r="B60" s="59" t="n"/>
      <c r="C60" s="59" t="n"/>
      <c r="D60" s="59" t="n"/>
      <c r="E60" s="59" t="n"/>
      <c r="F60" s="59" t="n"/>
      <c r="G60" s="59" t="n"/>
      <c r="H60" s="59" t="n"/>
      <c r="I60" s="59" t="n"/>
      <c r="J60" s="59" t="n"/>
      <c r="K60" s="59" t="n"/>
      <c r="L60" s="59" t="n"/>
      <c r="M60" s="59" t="n"/>
      <c r="N60" s="59" t="n"/>
      <c r="O60" s="59" t="n"/>
      <c r="P60" s="59" t="n"/>
      <c r="Q60" s="59" t="n"/>
      <c r="R60" s="59" t="n"/>
      <c r="S60" s="59" t="n"/>
      <c r="T60" s="59" t="n"/>
      <c r="U60" s="59" t="n"/>
      <c r="V60" s="59" t="n"/>
      <c r="W60" s="59" t="n"/>
      <c r="X60" s="59" t="n"/>
      <c r="Y60" s="59" t="n"/>
      <c r="Z60" s="59" t="n"/>
      <c r="AA60" s="59" t="n"/>
      <c r="AB60" s="59" t="n"/>
      <c r="AC60" s="59" t="n"/>
      <c r="AD60" s="59" t="n"/>
    </row>
    <row r="61">
      <c r="A61" s="59" t="n"/>
      <c r="B61" s="59" t="n"/>
      <c r="C61" s="59" t="n"/>
      <c r="D61" s="59" t="n"/>
      <c r="E61" s="59" t="n"/>
      <c r="F61" s="59" t="n"/>
      <c r="G61" s="59" t="n"/>
      <c r="H61" s="59" t="n"/>
      <c r="I61" s="59" t="n"/>
      <c r="J61" s="59" t="n"/>
      <c r="K61" s="59" t="n"/>
      <c r="L61" s="59" t="n"/>
      <c r="M61" s="59" t="n"/>
      <c r="N61" s="59" t="n"/>
      <c r="O61" s="59" t="n"/>
      <c r="P61" s="59" t="n"/>
      <c r="Q61" s="59" t="n"/>
      <c r="R61" s="59" t="n"/>
      <c r="S61" s="59" t="n"/>
      <c r="T61" s="59" t="n"/>
      <c r="U61" s="59" t="n"/>
      <c r="V61" s="59" t="n"/>
      <c r="W61" s="59" t="n"/>
      <c r="X61" s="59" t="n"/>
      <c r="Y61" s="59" t="n"/>
      <c r="Z61" s="59" t="n"/>
      <c r="AA61" s="59" t="n"/>
      <c r="AB61" s="59" t="n"/>
      <c r="AC61" s="59" t="n"/>
      <c r="AD61" s="59" t="n"/>
    </row>
    <row r="62">
      <c r="A62" s="59" t="n"/>
      <c r="B62" s="59" t="n"/>
      <c r="C62" s="59" t="n"/>
      <c r="D62" s="59" t="n"/>
      <c r="E62" s="59" t="n"/>
      <c r="F62" s="59" t="n"/>
      <c r="G62" s="59" t="n"/>
      <c r="H62" s="59" t="n"/>
      <c r="I62" s="59" t="n"/>
      <c r="J62" s="59" t="n"/>
      <c r="K62" s="59" t="n"/>
      <c r="L62" s="59" t="n"/>
      <c r="M62" s="59" t="n"/>
      <c r="N62" s="59" t="n"/>
      <c r="O62" s="59" t="n"/>
      <c r="P62" s="59" t="n"/>
      <c r="Q62" s="59" t="n"/>
      <c r="R62" s="59" t="n"/>
      <c r="S62" s="59" t="n"/>
      <c r="T62" s="59" t="n"/>
      <c r="U62" s="59" t="n"/>
      <c r="V62" s="59" t="n"/>
      <c r="W62" s="59" t="n"/>
      <c r="X62" s="59" t="n"/>
      <c r="Y62" s="59" t="n"/>
      <c r="Z62" s="59" t="n"/>
      <c r="AA62" s="59" t="n"/>
      <c r="AB62" s="59" t="n"/>
      <c r="AC62" s="59" t="n"/>
      <c r="AD62" s="59" t="n"/>
    </row>
    <row r="63">
      <c r="A63" s="59" t="n"/>
      <c r="B63" s="59" t="n"/>
      <c r="C63" s="59" t="n"/>
      <c r="D63" s="59" t="n"/>
      <c r="E63" s="59" t="n"/>
      <c r="F63" s="59" t="n"/>
      <c r="G63" s="59" t="n"/>
      <c r="H63" s="59" t="n"/>
      <c r="I63" s="59" t="n"/>
      <c r="J63" s="59" t="n"/>
      <c r="K63" s="59" t="n"/>
      <c r="L63" s="59" t="n"/>
      <c r="M63" s="59" t="n"/>
      <c r="N63" s="59" t="n"/>
      <c r="O63" s="59" t="n"/>
      <c r="P63" s="59" t="n"/>
      <c r="Q63" s="59" t="n"/>
      <c r="R63" s="59" t="n"/>
      <c r="S63" s="59" t="n"/>
      <c r="T63" s="59" t="n"/>
      <c r="U63" s="59" t="n"/>
      <c r="V63" s="59" t="n"/>
      <c r="W63" s="59" t="n"/>
      <c r="X63" s="59" t="n"/>
      <c r="Y63" s="59" t="n"/>
      <c r="Z63" s="59" t="n"/>
      <c r="AA63" s="59" t="n"/>
      <c r="AB63" s="59" t="n"/>
      <c r="AC63" s="59" t="n"/>
      <c r="AD63" s="59" t="n"/>
    </row>
    <row r="64">
      <c r="A64" s="59" t="n"/>
      <c r="B64" s="59" t="n"/>
      <c r="C64" s="59" t="n"/>
      <c r="D64" s="59" t="n"/>
      <c r="E64" s="59" t="n"/>
      <c r="F64" s="59" t="n"/>
      <c r="G64" s="59" t="n"/>
      <c r="H64" s="59" t="n"/>
      <c r="I64" s="59" t="n"/>
      <c r="J64" s="59" t="n"/>
      <c r="K64" s="59" t="n"/>
      <c r="L64" s="59" t="n"/>
      <c r="M64" s="59" t="n"/>
      <c r="N64" s="59" t="n"/>
      <c r="O64" s="59" t="n"/>
      <c r="P64" s="59" t="n"/>
      <c r="Q64" s="59" t="n"/>
      <c r="R64" s="59" t="n"/>
      <c r="S64" s="59" t="n"/>
      <c r="T64" s="59" t="n"/>
      <c r="U64" s="59" t="n"/>
      <c r="V64" s="59" t="n"/>
      <c r="W64" s="59" t="n"/>
      <c r="X64" s="59" t="n"/>
      <c r="Y64" s="59" t="n"/>
      <c r="Z64" s="59" t="n"/>
      <c r="AA64" s="59" t="n"/>
      <c r="AB64" s="59" t="n"/>
      <c r="AC64" s="59" t="n"/>
      <c r="AD64" s="59" t="n"/>
    </row>
    <row r="65">
      <c r="A65" s="59" t="n"/>
      <c r="B65" s="59" t="n"/>
      <c r="C65" s="59" t="n"/>
      <c r="D65" s="59" t="n"/>
      <c r="E65" s="59" t="n"/>
      <c r="F65" s="59" t="n"/>
      <c r="G65" s="59" t="n"/>
      <c r="H65" s="59" t="n"/>
      <c r="I65" s="59" t="n"/>
      <c r="J65" s="59" t="n"/>
      <c r="K65" s="59" t="n"/>
      <c r="L65" s="59" t="n"/>
      <c r="M65" s="59" t="n"/>
      <c r="N65" s="59" t="n"/>
      <c r="O65" s="59" t="n"/>
      <c r="P65" s="59" t="n"/>
      <c r="Q65" s="59" t="n"/>
      <c r="R65" s="59" t="n"/>
      <c r="S65" s="59" t="n"/>
      <c r="T65" s="59" t="n"/>
      <c r="U65" s="59" t="n"/>
      <c r="V65" s="59" t="n"/>
      <c r="W65" s="59" t="n"/>
      <c r="X65" s="59" t="n"/>
      <c r="Y65" s="59" t="n"/>
      <c r="Z65" s="59" t="n"/>
      <c r="AA65" s="59" t="n"/>
      <c r="AB65" s="59" t="n"/>
      <c r="AC65" s="59" t="n"/>
      <c r="AD65" s="59" t="n"/>
    </row>
    <row r="66">
      <c r="A66" s="59" t="n"/>
      <c r="B66" s="59" t="n"/>
      <c r="C66" s="59" t="n"/>
      <c r="D66" s="59" t="n"/>
      <c r="E66" s="59" t="n"/>
      <c r="F66" s="59" t="n"/>
      <c r="G66" s="59" t="n"/>
      <c r="H66" s="59" t="n"/>
      <c r="I66" s="59" t="n"/>
      <c r="J66" s="59" t="n"/>
      <c r="K66" s="59" t="n"/>
      <c r="L66" s="59" t="n"/>
      <c r="M66" s="59" t="n"/>
      <c r="N66" s="59" t="n"/>
      <c r="O66" s="59" t="n"/>
      <c r="P66" s="59" t="n"/>
      <c r="Q66" s="59" t="n"/>
      <c r="R66" s="59" t="n"/>
      <c r="S66" s="59" t="n"/>
      <c r="T66" s="59" t="n"/>
      <c r="U66" s="59" t="n"/>
      <c r="V66" s="59" t="n"/>
      <c r="W66" s="59" t="n"/>
      <c r="X66" s="59" t="n"/>
      <c r="Y66" s="59" t="n"/>
      <c r="Z66" s="59" t="n"/>
      <c r="AA66" s="59" t="n"/>
      <c r="AB66" s="59" t="n"/>
      <c r="AC66" s="59" t="n"/>
      <c r="AD66" s="59" t="n"/>
    </row>
    <row r="67">
      <c r="A67" s="59" t="n"/>
      <c r="B67" s="59" t="n"/>
      <c r="C67" s="59" t="n"/>
      <c r="D67" s="59" t="n"/>
      <c r="E67" s="59" t="n"/>
      <c r="F67" s="59" t="n"/>
      <c r="G67" s="59" t="n"/>
      <c r="H67" s="59" t="n"/>
      <c r="I67" s="59" t="n"/>
      <c r="J67" s="59" t="n"/>
      <c r="K67" s="59" t="n"/>
      <c r="L67" s="59" t="n"/>
      <c r="M67" s="59" t="n"/>
      <c r="N67" s="59" t="n"/>
      <c r="O67" s="59" t="n"/>
      <c r="P67" s="59" t="n"/>
      <c r="Q67" s="59" t="n"/>
      <c r="R67" s="59" t="n"/>
      <c r="S67" s="59" t="n"/>
      <c r="T67" s="59" t="n"/>
      <c r="U67" s="59" t="n"/>
      <c r="V67" s="59" t="n"/>
      <c r="W67" s="59" t="n"/>
      <c r="X67" s="59" t="n"/>
      <c r="Y67" s="59" t="n"/>
      <c r="Z67" s="59" t="n"/>
      <c r="AA67" s="59" t="n"/>
      <c r="AB67" s="59" t="n"/>
      <c r="AC67" s="59" t="n"/>
      <c r="AD67" s="59" t="n"/>
    </row>
    <row r="68">
      <c r="A68" s="59" t="n"/>
      <c r="B68" s="59" t="n"/>
      <c r="C68" s="59" t="n"/>
      <c r="D68" s="59" t="n"/>
      <c r="E68" s="59" t="n"/>
      <c r="F68" s="59" t="n"/>
      <c r="G68" s="59" t="n"/>
      <c r="H68" s="59" t="n"/>
      <c r="I68" s="59" t="n"/>
      <c r="J68" s="59" t="n"/>
      <c r="K68" s="59" t="n"/>
      <c r="L68" s="59" t="n"/>
      <c r="M68" s="59" t="n"/>
      <c r="N68" s="59" t="n"/>
      <c r="O68" s="59" t="n"/>
      <c r="P68" s="59" t="n"/>
      <c r="Q68" s="59" t="n"/>
      <c r="R68" s="59" t="n"/>
      <c r="S68" s="59" t="n"/>
      <c r="T68" s="59" t="n"/>
      <c r="U68" s="59" t="n"/>
      <c r="V68" s="59" t="n"/>
      <c r="W68" s="59" t="n"/>
      <c r="X68" s="59" t="n"/>
      <c r="Y68" s="59" t="n"/>
      <c r="Z68" s="59" t="n"/>
      <c r="AA68" s="59" t="n"/>
      <c r="AB68" s="59" t="n"/>
      <c r="AC68" s="59" t="n"/>
      <c r="AD68" s="59" t="n"/>
    </row>
    <row r="69">
      <c r="A69" s="59" t="n"/>
      <c r="B69" s="59" t="n"/>
      <c r="C69" s="59" t="n"/>
      <c r="D69" s="59" t="n"/>
      <c r="E69" s="59" t="n"/>
      <c r="F69" s="59" t="n"/>
      <c r="G69" s="59" t="n"/>
      <c r="H69" s="59" t="n"/>
      <c r="I69" s="59" t="n"/>
      <c r="J69" s="59" t="n"/>
      <c r="K69" s="59" t="n"/>
      <c r="L69" s="59" t="n"/>
      <c r="M69" s="59" t="n"/>
      <c r="N69" s="59" t="n"/>
      <c r="O69" s="59" t="n"/>
      <c r="P69" s="59" t="n"/>
      <c r="Q69" s="59" t="n"/>
      <c r="R69" s="59" t="n"/>
      <c r="S69" s="59" t="n"/>
      <c r="T69" s="59" t="n"/>
      <c r="U69" s="59" t="n"/>
      <c r="V69" s="59" t="n"/>
      <c r="W69" s="59" t="n"/>
      <c r="X69" s="59" t="n"/>
      <c r="Y69" s="59" t="n"/>
      <c r="Z69" s="59" t="n"/>
      <c r="AA69" s="59" t="n"/>
      <c r="AB69" s="59" t="n"/>
      <c r="AC69" s="59" t="n"/>
      <c r="AD69" s="59" t="n"/>
    </row>
    <row r="70">
      <c r="A70" s="59" t="n"/>
      <c r="B70" s="59" t="n"/>
      <c r="C70" s="59" t="n"/>
      <c r="D70" s="59" t="n"/>
      <c r="E70" s="59" t="n"/>
      <c r="F70" s="59" t="n"/>
      <c r="G70" s="59" t="n"/>
      <c r="H70" s="59" t="n"/>
      <c r="I70" s="59" t="n"/>
      <c r="J70" s="59" t="n"/>
      <c r="K70" s="59" t="n"/>
      <c r="L70" s="59" t="n"/>
      <c r="M70" s="59" t="n"/>
      <c r="N70" s="59" t="n"/>
      <c r="O70" s="59" t="n"/>
      <c r="P70" s="59" t="n"/>
      <c r="Q70" s="59" t="n"/>
      <c r="R70" s="59" t="n"/>
      <c r="S70" s="59" t="n"/>
      <c r="T70" s="59" t="n"/>
      <c r="U70" s="59" t="n"/>
      <c r="V70" s="59" t="n"/>
      <c r="W70" s="59" t="n"/>
      <c r="X70" s="59" t="n"/>
      <c r="Y70" s="59" t="n"/>
      <c r="Z70" s="59" t="n"/>
      <c r="AA70" s="59" t="n"/>
      <c r="AB70" s="59" t="n"/>
      <c r="AC70" s="59" t="n"/>
      <c r="AD70" s="59" t="n"/>
    </row>
    <row r="71">
      <c r="A71" s="59" t="n"/>
      <c r="B71" s="59" t="n"/>
      <c r="C71" s="59" t="n"/>
      <c r="D71" s="59" t="n"/>
      <c r="E71" s="59" t="n"/>
      <c r="F71" s="59" t="n"/>
      <c r="G71" s="59" t="n"/>
      <c r="H71" s="59" t="n"/>
      <c r="I71" s="59" t="n"/>
      <c r="J71" s="59" t="n"/>
      <c r="K71" s="59" t="n"/>
      <c r="L71" s="59" t="n"/>
      <c r="M71" s="59" t="n"/>
      <c r="N71" s="59" t="n"/>
      <c r="O71" s="59" t="n"/>
      <c r="P71" s="59" t="n"/>
      <c r="Q71" s="59" t="n"/>
      <c r="R71" s="59" t="n"/>
      <c r="S71" s="59" t="n"/>
      <c r="T71" s="59" t="n"/>
      <c r="U71" s="59" t="n"/>
      <c r="V71" s="59" t="n"/>
      <c r="W71" s="59" t="n"/>
      <c r="X71" s="59" t="n"/>
      <c r="Y71" s="59" t="n"/>
      <c r="Z71" s="59" t="n"/>
      <c r="AA71" s="59" t="n"/>
      <c r="AB71" s="59" t="n"/>
      <c r="AC71" s="59" t="n"/>
      <c r="AD71" s="59" t="n"/>
    </row>
    <row r="72">
      <c r="A72" s="59" t="n"/>
      <c r="B72" s="59" t="n"/>
      <c r="C72" s="59" t="n"/>
      <c r="D72" s="59" t="n"/>
      <c r="E72" s="59" t="n"/>
      <c r="F72" s="59" t="n"/>
      <c r="G72" s="59" t="n"/>
      <c r="H72" s="59" t="n"/>
      <c r="I72" s="59" t="n"/>
      <c r="J72" s="59" t="n"/>
      <c r="K72" s="59" t="n"/>
      <c r="L72" s="59" t="n"/>
      <c r="M72" s="59" t="n"/>
      <c r="N72" s="59" t="n"/>
      <c r="O72" s="59" t="n"/>
      <c r="P72" s="59" t="n"/>
      <c r="Q72" s="59" t="n"/>
      <c r="R72" s="59" t="n"/>
      <c r="S72" s="59" t="n"/>
      <c r="T72" s="59" t="n"/>
      <c r="U72" s="59" t="n"/>
      <c r="V72" s="59" t="n"/>
      <c r="W72" s="59" t="n"/>
      <c r="X72" s="59" t="n"/>
      <c r="Y72" s="59" t="n"/>
      <c r="Z72" s="59" t="n"/>
      <c r="AA72" s="59" t="n"/>
      <c r="AB72" s="59" t="n"/>
      <c r="AC72" s="59" t="n"/>
      <c r="AD72" s="59" t="n"/>
    </row>
    <row r="73">
      <c r="A73" s="59" t="n"/>
      <c r="B73" s="59" t="n"/>
      <c r="C73" s="59" t="n"/>
      <c r="D73" s="59" t="n"/>
      <c r="E73" s="59" t="n"/>
      <c r="F73" s="59" t="n"/>
      <c r="G73" s="59" t="n"/>
      <c r="H73" s="59" t="n"/>
      <c r="I73" s="59" t="n"/>
      <c r="J73" s="59" t="n"/>
      <c r="K73" s="59" t="n"/>
      <c r="L73" s="59" t="n"/>
      <c r="M73" s="59" t="n"/>
      <c r="N73" s="59" t="n"/>
      <c r="O73" s="59" t="n"/>
      <c r="P73" s="59" t="n"/>
      <c r="Q73" s="59" t="n"/>
      <c r="R73" s="59" t="n"/>
      <c r="S73" s="59" t="n"/>
      <c r="T73" s="59" t="n"/>
      <c r="U73" s="59" t="n"/>
      <c r="V73" s="59" t="n"/>
      <c r="W73" s="59" t="n"/>
      <c r="X73" s="59" t="n"/>
      <c r="Y73" s="59" t="n"/>
      <c r="Z73" s="59" t="n"/>
      <c r="AA73" s="59" t="n"/>
      <c r="AB73" s="59" t="n"/>
      <c r="AC73" s="59" t="n"/>
      <c r="AD73" s="59" t="n"/>
    </row>
    <row r="74">
      <c r="A74" s="59" t="n"/>
      <c r="B74" s="59" t="n"/>
      <c r="C74" s="59" t="n"/>
      <c r="D74" s="59" t="n"/>
      <c r="E74" s="59" t="n"/>
      <c r="F74" s="59" t="n"/>
      <c r="G74" s="59" t="n"/>
      <c r="H74" s="59" t="n"/>
      <c r="I74" s="59" t="n"/>
      <c r="J74" s="59" t="n"/>
      <c r="K74" s="59" t="n"/>
      <c r="L74" s="59" t="n"/>
      <c r="M74" s="59" t="n"/>
      <c r="N74" s="59" t="n"/>
      <c r="O74" s="59" t="n"/>
      <c r="P74" s="59" t="n"/>
      <c r="Q74" s="59" t="n"/>
      <c r="R74" s="59" t="n"/>
      <c r="S74" s="59" t="n"/>
      <c r="T74" s="59" t="n"/>
      <c r="U74" s="59" t="n"/>
      <c r="V74" s="59" t="n"/>
      <c r="W74" s="59" t="n"/>
      <c r="X74" s="59" t="n"/>
      <c r="Y74" s="59" t="n"/>
      <c r="Z74" s="59" t="n"/>
      <c r="AA74" s="59" t="n"/>
      <c r="AB74" s="59" t="n"/>
      <c r="AC74" s="59" t="n"/>
      <c r="AD74" s="59" t="n"/>
    </row>
    <row r="75">
      <c r="A75" s="59" t="n"/>
      <c r="B75" s="59" t="n"/>
      <c r="C75" s="59" t="n"/>
      <c r="D75" s="59" t="n"/>
      <c r="E75" s="59" t="n"/>
      <c r="F75" s="59" t="n"/>
      <c r="G75" s="59" t="n"/>
      <c r="H75" s="59" t="n"/>
      <c r="I75" s="59" t="n"/>
      <c r="J75" s="59" t="n"/>
      <c r="K75" s="59" t="n"/>
      <c r="L75" s="59" t="n"/>
      <c r="M75" s="59" t="n"/>
      <c r="N75" s="59" t="n"/>
      <c r="O75" s="59" t="n"/>
      <c r="P75" s="59" t="n"/>
      <c r="Q75" s="59" t="n"/>
      <c r="R75" s="59" t="n"/>
      <c r="S75" s="59" t="n"/>
      <c r="T75" s="59" t="n"/>
      <c r="U75" s="59" t="n"/>
      <c r="V75" s="59" t="n"/>
      <c r="W75" s="59" t="n"/>
      <c r="X75" s="59" t="n"/>
      <c r="Y75" s="59" t="n"/>
      <c r="Z75" s="59" t="n"/>
      <c r="AA75" s="59" t="n"/>
      <c r="AB75" s="59" t="n"/>
      <c r="AC75" s="59" t="n"/>
      <c r="AD75" s="59" t="n"/>
    </row>
    <row r="76">
      <c r="A76" s="59" t="n"/>
      <c r="B76" s="59" t="n"/>
      <c r="C76" s="59" t="n"/>
      <c r="D76" s="59" t="n"/>
      <c r="E76" s="59" t="n"/>
      <c r="F76" s="59" t="n"/>
      <c r="G76" s="59" t="n"/>
      <c r="H76" s="59" t="n"/>
      <c r="I76" s="59" t="n"/>
      <c r="J76" s="59" t="n"/>
      <c r="K76" s="59" t="n"/>
      <c r="L76" s="59" t="n"/>
      <c r="M76" s="59" t="n"/>
      <c r="N76" s="59" t="n"/>
      <c r="O76" s="59" t="n"/>
      <c r="P76" s="59" t="n"/>
      <c r="Q76" s="59" t="n"/>
      <c r="R76" s="59" t="n"/>
      <c r="S76" s="59" t="n"/>
      <c r="T76" s="59" t="n"/>
      <c r="U76" s="59" t="n"/>
      <c r="V76" s="59" t="n"/>
      <c r="W76" s="59" t="n"/>
      <c r="X76" s="59" t="n"/>
      <c r="Y76" s="59" t="n"/>
      <c r="Z76" s="59" t="n"/>
      <c r="AA76" s="59" t="n"/>
      <c r="AB76" s="59" t="n"/>
      <c r="AC76" s="59" t="n"/>
      <c r="AD76" s="59" t="n"/>
    </row>
    <row r="77">
      <c r="A77" s="59" t="n"/>
      <c r="B77" s="59" t="n"/>
      <c r="C77" s="59" t="n"/>
      <c r="D77" s="59" t="n"/>
      <c r="E77" s="59" t="n"/>
      <c r="F77" s="59" t="n"/>
      <c r="G77" s="59" t="n"/>
      <c r="H77" s="59" t="n"/>
      <c r="I77" s="59" t="n"/>
      <c r="J77" s="59" t="n"/>
      <c r="K77" s="59" t="n"/>
      <c r="L77" s="59" t="n"/>
      <c r="M77" s="59" t="n"/>
      <c r="N77" s="59" t="n"/>
      <c r="O77" s="59" t="n"/>
      <c r="P77" s="59" t="n"/>
      <c r="Q77" s="59" t="n"/>
      <c r="R77" s="59" t="n"/>
      <c r="S77" s="59" t="n"/>
      <c r="T77" s="59" t="n"/>
      <c r="U77" s="59" t="n"/>
      <c r="V77" s="59" t="n"/>
      <c r="W77" s="59" t="n"/>
      <c r="X77" s="59" t="n"/>
      <c r="Y77" s="59" t="n"/>
      <c r="Z77" s="59" t="n"/>
      <c r="AA77" s="59" t="n"/>
      <c r="AB77" s="59" t="n"/>
      <c r="AC77" s="59" t="n"/>
      <c r="AD77" s="59" t="n"/>
    </row>
    <row r="78">
      <c r="A78" s="59" t="n"/>
      <c r="B78" s="59" t="n"/>
      <c r="C78" s="59" t="n"/>
      <c r="D78" s="59" t="n"/>
      <c r="E78" s="59" t="n"/>
      <c r="F78" s="59" t="n"/>
      <c r="G78" s="59" t="n"/>
      <c r="H78" s="59" t="n"/>
      <c r="I78" s="59" t="n"/>
      <c r="J78" s="59" t="n"/>
      <c r="K78" s="59" t="n"/>
      <c r="L78" s="59" t="n"/>
      <c r="M78" s="59" t="n"/>
      <c r="N78" s="59" t="n"/>
      <c r="O78" s="59" t="n"/>
      <c r="P78" s="59" t="n"/>
      <c r="Q78" s="59" t="n"/>
      <c r="R78" s="59" t="n"/>
      <c r="S78" s="59" t="n"/>
      <c r="T78" s="59" t="n"/>
      <c r="U78" s="59" t="n"/>
      <c r="V78" s="59" t="n"/>
      <c r="W78" s="59" t="n"/>
      <c r="X78" s="59" t="n"/>
      <c r="Y78" s="59" t="n"/>
      <c r="Z78" s="59" t="n"/>
      <c r="AA78" s="59" t="n"/>
      <c r="AB78" s="59" t="n"/>
      <c r="AC78" s="59" t="n"/>
      <c r="AD78" s="59" t="n"/>
    </row>
    <row r="79">
      <c r="A79" s="59" t="n"/>
      <c r="B79" s="59" t="n"/>
      <c r="C79" s="59" t="n"/>
      <c r="D79" s="59" t="n"/>
      <c r="E79" s="59" t="n"/>
      <c r="F79" s="59" t="n"/>
      <c r="G79" s="59" t="n"/>
      <c r="H79" s="59" t="n"/>
      <c r="I79" s="59" t="n"/>
      <c r="J79" s="59" t="n"/>
      <c r="K79" s="59" t="n"/>
      <c r="L79" s="59" t="n"/>
      <c r="M79" s="59" t="n"/>
      <c r="N79" s="59" t="n"/>
      <c r="O79" s="59" t="n"/>
      <c r="P79" s="59" t="n"/>
      <c r="Q79" s="59" t="n"/>
      <c r="R79" s="59" t="n"/>
      <c r="S79" s="59" t="n"/>
      <c r="T79" s="59" t="n"/>
      <c r="U79" s="59" t="n"/>
      <c r="V79" s="59" t="n"/>
      <c r="W79" s="59" t="n"/>
      <c r="X79" s="59" t="n"/>
      <c r="Y79" s="59" t="n"/>
      <c r="Z79" s="59" t="n"/>
      <c r="AA79" s="59" t="n"/>
      <c r="AB79" s="59" t="n"/>
      <c r="AC79" s="59" t="n"/>
      <c r="AD79" s="59" t="n"/>
    </row>
    <row r="80">
      <c r="A80" s="59" t="n"/>
      <c r="B80" s="59" t="n"/>
      <c r="C80" s="59" t="n"/>
      <c r="D80" s="59" t="n"/>
      <c r="E80" s="59" t="n"/>
      <c r="F80" s="59" t="n"/>
      <c r="G80" s="59" t="n"/>
      <c r="H80" s="59" t="n"/>
      <c r="I80" s="59" t="n"/>
      <c r="J80" s="59" t="n"/>
      <c r="K80" s="59" t="n"/>
      <c r="L80" s="59" t="n"/>
      <c r="M80" s="59" t="n"/>
      <c r="N80" s="59" t="n"/>
      <c r="O80" s="59" t="n"/>
      <c r="P80" s="59" t="n"/>
      <c r="Q80" s="59" t="n"/>
      <c r="R80" s="59" t="n"/>
      <c r="S80" s="59" t="n"/>
      <c r="T80" s="59" t="n"/>
      <c r="U80" s="59" t="n"/>
      <c r="V80" s="59" t="n"/>
      <c r="W80" s="59" t="n"/>
      <c r="X80" s="59" t="n"/>
      <c r="Y80" s="59" t="n"/>
      <c r="Z80" s="59" t="n"/>
      <c r="AA80" s="59" t="n"/>
      <c r="AB80" s="59" t="n"/>
      <c r="AC80" s="59" t="n"/>
      <c r="AD80" s="59" t="n"/>
    </row>
    <row r="81">
      <c r="A81" s="59" t="n"/>
      <c r="B81" s="59" t="n"/>
      <c r="C81" s="59" t="n"/>
      <c r="D81" s="59" t="n"/>
      <c r="E81" s="59" t="n"/>
      <c r="F81" s="59" t="n"/>
      <c r="G81" s="59" t="n"/>
      <c r="H81" s="59" t="n"/>
      <c r="I81" s="59" t="n"/>
      <c r="J81" s="59" t="n"/>
      <c r="K81" s="59" t="n"/>
      <c r="L81" s="59" t="n"/>
      <c r="M81" s="59" t="n"/>
      <c r="N81" s="59" t="n"/>
      <c r="O81" s="59" t="n"/>
      <c r="P81" s="59" t="n"/>
      <c r="Q81" s="59" t="n"/>
      <c r="R81" s="59" t="n"/>
      <c r="S81" s="59" t="n"/>
      <c r="T81" s="59" t="n"/>
      <c r="U81" s="59" t="n"/>
      <c r="V81" s="59" t="n"/>
      <c r="W81" s="59" t="n"/>
      <c r="X81" s="59" t="n"/>
      <c r="Y81" s="59" t="n"/>
      <c r="Z81" s="59" t="n"/>
      <c r="AA81" s="59" t="n"/>
      <c r="AB81" s="59" t="n"/>
      <c r="AC81" s="59" t="n"/>
      <c r="AD81" s="59" t="n"/>
    </row>
    <row r="82">
      <c r="A82" s="59" t="n"/>
      <c r="B82" s="59" t="n"/>
      <c r="C82" s="59" t="n"/>
      <c r="D82" s="59" t="n"/>
      <c r="E82" s="59" t="n"/>
      <c r="F82" s="59" t="n"/>
      <c r="G82" s="59" t="n"/>
      <c r="H82" s="59" t="n"/>
      <c r="I82" s="59" t="n"/>
      <c r="J82" s="59" t="n"/>
      <c r="K82" s="59" t="n"/>
      <c r="L82" s="59" t="n"/>
      <c r="M82" s="59" t="n"/>
      <c r="N82" s="59" t="n"/>
      <c r="O82" s="59" t="n"/>
      <c r="P82" s="59" t="n"/>
      <c r="Q82" s="59" t="n"/>
      <c r="R82" s="59" t="n"/>
      <c r="S82" s="59" t="n"/>
      <c r="T82" s="59" t="n"/>
      <c r="U82" s="59" t="n"/>
      <c r="V82" s="59" t="n"/>
      <c r="W82" s="59" t="n"/>
      <c r="X82" s="59" t="n"/>
      <c r="Y82" s="59" t="n"/>
      <c r="Z82" s="59" t="n"/>
      <c r="AA82" s="59" t="n"/>
      <c r="AB82" s="59" t="n"/>
      <c r="AC82" s="59" t="n"/>
      <c r="AD82" s="59" t="n"/>
    </row>
    <row r="83">
      <c r="A83" s="59" t="n"/>
      <c r="B83" s="59" t="n"/>
      <c r="C83" s="59" t="n"/>
      <c r="D83" s="59" t="n"/>
      <c r="E83" s="59" t="n"/>
      <c r="F83" s="59" t="n"/>
      <c r="G83" s="59" t="n"/>
      <c r="H83" s="59" t="n"/>
      <c r="I83" s="59" t="n"/>
      <c r="J83" s="59" t="n"/>
      <c r="K83" s="59" t="n"/>
      <c r="L83" s="59" t="n"/>
      <c r="M83" s="59" t="n"/>
      <c r="N83" s="59" t="n"/>
      <c r="O83" s="59" t="n"/>
      <c r="P83" s="59" t="n"/>
      <c r="Q83" s="59" t="n"/>
      <c r="R83" s="59" t="n"/>
      <c r="S83" s="59" t="n"/>
      <c r="T83" s="59" t="n"/>
      <c r="U83" s="59" t="n"/>
      <c r="V83" s="59" t="n"/>
      <c r="W83" s="59" t="n"/>
      <c r="X83" s="59" t="n"/>
      <c r="Y83" s="59" t="n"/>
      <c r="Z83" s="59" t="n"/>
      <c r="AA83" s="59" t="n"/>
      <c r="AB83" s="59" t="n"/>
      <c r="AC83" s="59" t="n"/>
      <c r="AD83" s="59" t="n"/>
    </row>
    <row r="84">
      <c r="A84" s="59" t="n"/>
      <c r="B84" s="59" t="n"/>
      <c r="C84" s="59" t="n"/>
      <c r="D84" s="59" t="n"/>
      <c r="E84" s="59" t="n"/>
      <c r="F84" s="59" t="n"/>
      <c r="G84" s="59" t="n"/>
      <c r="H84" s="59" t="n"/>
      <c r="I84" s="59" t="n"/>
      <c r="J84" s="59" t="n"/>
      <c r="K84" s="59" t="n"/>
      <c r="L84" s="59" t="n"/>
      <c r="M84" s="59" t="n"/>
      <c r="N84" s="59" t="n"/>
      <c r="O84" s="59" t="n"/>
      <c r="P84" s="59" t="n"/>
      <c r="Q84" s="59" t="n"/>
      <c r="R84" s="59" t="n"/>
      <c r="S84" s="59" t="n"/>
      <c r="T84" s="59" t="n"/>
      <c r="U84" s="59" t="n"/>
      <c r="V84" s="59" t="n"/>
      <c r="W84" s="59" t="n"/>
      <c r="X84" s="59" t="n"/>
      <c r="Y84" s="59" t="n"/>
      <c r="Z84" s="59" t="n"/>
      <c r="AA84" s="59" t="n"/>
      <c r="AB84" s="59" t="n"/>
      <c r="AC84" s="59" t="n"/>
      <c r="AD84" s="59" t="n"/>
    </row>
    <row r="85">
      <c r="A85" s="59" t="n"/>
      <c r="B85" s="59" t="n"/>
      <c r="C85" s="59" t="n"/>
      <c r="D85" s="59" t="n"/>
      <c r="E85" s="59" t="n"/>
      <c r="F85" s="59" t="n"/>
      <c r="G85" s="59" t="n"/>
      <c r="H85" s="59" t="n"/>
      <c r="I85" s="59" t="n"/>
      <c r="J85" s="59" t="n"/>
      <c r="K85" s="59" t="n"/>
      <c r="L85" s="59" t="n"/>
      <c r="M85" s="59" t="n"/>
      <c r="N85" s="59" t="n"/>
      <c r="O85" s="59" t="n"/>
      <c r="P85" s="59" t="n"/>
      <c r="Q85" s="59" t="n"/>
      <c r="R85" s="59" t="n"/>
      <c r="S85" s="59" t="n"/>
      <c r="T85" s="59" t="n"/>
      <c r="U85" s="59" t="n"/>
      <c r="V85" s="59" t="n"/>
      <c r="W85" s="59" t="n"/>
      <c r="X85" s="59" t="n"/>
      <c r="Y85" s="59" t="n"/>
      <c r="Z85" s="59" t="n"/>
      <c r="AA85" s="59" t="n"/>
      <c r="AB85" s="59" t="n"/>
      <c r="AC85" s="59" t="n"/>
      <c r="AD85" s="59" t="n"/>
    </row>
    <row r="86">
      <c r="A86" s="59" t="n"/>
      <c r="B86" s="59" t="n"/>
      <c r="C86" s="59" t="n"/>
      <c r="D86" s="59" t="n"/>
      <c r="E86" s="59" t="n"/>
      <c r="F86" s="59" t="n"/>
      <c r="G86" s="59" t="n"/>
      <c r="H86" s="59" t="n"/>
      <c r="I86" s="59" t="n"/>
      <c r="J86" s="59" t="n"/>
      <c r="K86" s="59" t="n"/>
      <c r="L86" s="59" t="n"/>
      <c r="M86" s="59" t="n"/>
      <c r="N86" s="59" t="n"/>
      <c r="O86" s="59" t="n"/>
      <c r="P86" s="59" t="n"/>
      <c r="Q86" s="59" t="n"/>
      <c r="R86" s="59" t="n"/>
      <c r="S86" s="59" t="n"/>
      <c r="T86" s="59" t="n"/>
      <c r="U86" s="59" t="n"/>
      <c r="V86" s="59" t="n"/>
      <c r="W86" s="59" t="n"/>
      <c r="X86" s="59" t="n"/>
      <c r="Y86" s="59" t="n"/>
      <c r="Z86" s="59" t="n"/>
      <c r="AA86" s="59" t="n"/>
      <c r="AB86" s="59" t="n"/>
      <c r="AC86" s="59" t="n"/>
      <c r="AD86" s="59" t="n"/>
    </row>
    <row r="87">
      <c r="A87" s="59" t="n"/>
      <c r="B87" s="59" t="n"/>
      <c r="C87" s="59" t="n"/>
      <c r="D87" s="59" t="n"/>
      <c r="E87" s="59" t="n"/>
      <c r="F87" s="59" t="n"/>
      <c r="G87" s="59" t="n"/>
      <c r="H87" s="59" t="n"/>
      <c r="I87" s="59" t="n"/>
      <c r="J87" s="59" t="n"/>
      <c r="K87" s="59" t="n"/>
      <c r="L87" s="59" t="n"/>
      <c r="M87" s="59" t="n"/>
      <c r="N87" s="59" t="n"/>
      <c r="O87" s="59" t="n"/>
      <c r="P87" s="59" t="n"/>
      <c r="Q87" s="59" t="n"/>
      <c r="R87" s="59" t="n"/>
      <c r="S87" s="59" t="n"/>
      <c r="T87" s="59" t="n"/>
      <c r="U87" s="59" t="n"/>
      <c r="V87" s="59" t="n"/>
      <c r="W87" s="59" t="n"/>
      <c r="X87" s="59" t="n"/>
      <c r="Y87" s="59" t="n"/>
      <c r="Z87" s="59" t="n"/>
      <c r="AA87" s="59" t="n"/>
      <c r="AB87" s="59" t="n"/>
      <c r="AC87" s="59" t="n"/>
      <c r="AD87" s="59" t="n"/>
    </row>
    <row r="88">
      <c r="A88" s="59" t="n"/>
      <c r="B88" s="59" t="n"/>
      <c r="C88" s="59" t="n"/>
      <c r="D88" s="59" t="n"/>
      <c r="E88" s="59" t="n"/>
      <c r="F88" s="59" t="n"/>
      <c r="G88" s="59" t="n"/>
      <c r="H88" s="59" t="n"/>
      <c r="I88" s="59" t="n"/>
      <c r="J88" s="59" t="n"/>
      <c r="K88" s="59" t="n"/>
      <c r="L88" s="59" t="n"/>
      <c r="M88" s="59" t="n"/>
      <c r="N88" s="59" t="n"/>
      <c r="O88" s="59" t="n"/>
      <c r="P88" s="59" t="n"/>
      <c r="Q88" s="59" t="n"/>
      <c r="R88" s="59" t="n"/>
      <c r="S88" s="59" t="n"/>
      <c r="T88" s="59" t="n"/>
      <c r="U88" s="59" t="n"/>
      <c r="V88" s="59" t="n"/>
      <c r="W88" s="59" t="n"/>
      <c r="X88" s="59" t="n"/>
      <c r="Y88" s="59" t="n"/>
      <c r="Z88" s="59" t="n"/>
      <c r="AA88" s="59" t="n"/>
      <c r="AB88" s="59" t="n"/>
      <c r="AC88" s="59" t="n"/>
      <c r="AD88" s="59" t="n"/>
    </row>
    <row r="89">
      <c r="A89" s="59" t="n"/>
      <c r="B89" s="59" t="n"/>
      <c r="C89" s="59" t="n"/>
      <c r="D89" s="59" t="n"/>
      <c r="E89" s="59" t="n"/>
      <c r="F89" s="59" t="n"/>
      <c r="G89" s="59" t="n"/>
      <c r="H89" s="59" t="n"/>
      <c r="I89" s="59" t="n"/>
      <c r="J89" s="59" t="n"/>
      <c r="K89" s="59" t="n"/>
      <c r="L89" s="59" t="n"/>
      <c r="M89" s="59" t="n"/>
      <c r="N89" s="59" t="n"/>
      <c r="O89" s="59" t="n"/>
      <c r="P89" s="59" t="n"/>
      <c r="Q89" s="59" t="n"/>
      <c r="R89" s="59" t="n"/>
      <c r="S89" s="59" t="n"/>
      <c r="T89" s="59" t="n"/>
      <c r="U89" s="59" t="n"/>
      <c r="V89" s="59" t="n"/>
      <c r="W89" s="59" t="n"/>
      <c r="X89" s="59" t="n"/>
      <c r="Y89" s="59" t="n"/>
      <c r="Z89" s="59" t="n"/>
      <c r="AA89" s="59" t="n"/>
      <c r="AB89" s="59" t="n"/>
      <c r="AC89" s="59" t="n"/>
      <c r="AD89" s="59" t="n"/>
    </row>
    <row r="90">
      <c r="A90" s="59" t="n"/>
      <c r="B90" s="59" t="n"/>
      <c r="C90" s="59" t="n"/>
      <c r="D90" s="59" t="n"/>
      <c r="E90" s="59" t="n"/>
      <c r="F90" s="59" t="n"/>
      <c r="G90" s="59" t="n"/>
      <c r="H90" s="59" t="n"/>
      <c r="I90" s="59" t="n"/>
      <c r="J90" s="59" t="n"/>
      <c r="K90" s="59" t="n"/>
      <c r="L90" s="59" t="n"/>
      <c r="M90" s="59" t="n"/>
      <c r="N90" s="59" t="n"/>
      <c r="O90" s="59" t="n"/>
      <c r="P90" s="59" t="n"/>
      <c r="Q90" s="59" t="n"/>
      <c r="R90" s="59" t="n"/>
      <c r="S90" s="59" t="n"/>
      <c r="T90" s="59" t="n"/>
      <c r="U90" s="59" t="n"/>
      <c r="V90" s="59" t="n"/>
      <c r="W90" s="59" t="n"/>
      <c r="X90" s="59" t="n"/>
      <c r="Y90" s="59" t="n"/>
      <c r="Z90" s="59" t="n"/>
      <c r="AA90" s="59" t="n"/>
      <c r="AB90" s="59" t="n"/>
      <c r="AC90" s="59" t="n"/>
      <c r="AD90" s="59" t="n"/>
    </row>
    <row r="91">
      <c r="A91" s="59" t="n"/>
      <c r="B91" s="59" t="n"/>
      <c r="C91" s="59" t="n"/>
      <c r="D91" s="59" t="n"/>
      <c r="E91" s="59" t="n"/>
      <c r="F91" s="59" t="n"/>
      <c r="G91" s="59" t="n"/>
      <c r="H91" s="59" t="n"/>
      <c r="I91" s="59" t="n"/>
      <c r="J91" s="59" t="n"/>
      <c r="K91" s="59" t="n"/>
      <c r="L91" s="59" t="n"/>
      <c r="M91" s="59" t="n"/>
      <c r="N91" s="59" t="n"/>
      <c r="O91" s="59" t="n"/>
      <c r="P91" s="59" t="n"/>
      <c r="Q91" s="59" t="n"/>
      <c r="R91" s="59" t="n"/>
      <c r="S91" s="59" t="n"/>
      <c r="T91" s="59" t="n"/>
      <c r="U91" s="59" t="n"/>
      <c r="V91" s="59" t="n"/>
      <c r="W91" s="59" t="n"/>
      <c r="X91" s="59" t="n"/>
      <c r="Y91" s="59" t="n"/>
      <c r="Z91" s="59" t="n"/>
      <c r="AA91" s="59" t="n"/>
      <c r="AB91" s="59" t="n"/>
      <c r="AC91" s="59" t="n"/>
      <c r="AD91" s="59" t="n"/>
    </row>
    <row r="92">
      <c r="A92" s="59" t="n"/>
      <c r="B92" s="59" t="n"/>
      <c r="C92" s="59" t="n"/>
      <c r="D92" s="59" t="n"/>
      <c r="E92" s="59" t="n"/>
      <c r="F92" s="59" t="n"/>
      <c r="G92" s="59" t="n"/>
      <c r="H92" s="59" t="n"/>
      <c r="I92" s="59" t="n"/>
      <c r="J92" s="59" t="n"/>
      <c r="K92" s="59" t="n"/>
      <c r="L92" s="59" t="n"/>
      <c r="M92" s="59" t="n"/>
      <c r="N92" s="59" t="n"/>
      <c r="O92" s="59" t="n"/>
      <c r="P92" s="59" t="n"/>
      <c r="Q92" s="59" t="n"/>
      <c r="R92" s="59" t="n"/>
      <c r="S92" s="59" t="n"/>
      <c r="T92" s="59" t="n"/>
      <c r="U92" s="59" t="n"/>
      <c r="V92" s="59" t="n"/>
      <c r="W92" s="59" t="n"/>
      <c r="X92" s="59" t="n"/>
      <c r="Y92" s="59" t="n"/>
      <c r="Z92" s="59" t="n"/>
      <c r="AA92" s="59" t="n"/>
      <c r="AB92" s="59" t="n"/>
      <c r="AC92" s="59" t="n"/>
      <c r="AD92" s="59" t="n"/>
    </row>
    <row r="93">
      <c r="A93" s="59" t="n"/>
      <c r="B93" s="59" t="n"/>
      <c r="C93" s="59" t="n"/>
      <c r="D93" s="59" t="n"/>
      <c r="E93" s="59" t="n"/>
      <c r="F93" s="59" t="n"/>
      <c r="G93" s="59" t="n"/>
      <c r="H93" s="59" t="n"/>
      <c r="I93" s="59" t="n"/>
      <c r="J93" s="59" t="n"/>
      <c r="K93" s="59" t="n"/>
      <c r="L93" s="59" t="n"/>
      <c r="M93" s="59" t="n"/>
      <c r="N93" s="59" t="n"/>
      <c r="O93" s="59" t="n"/>
      <c r="P93" s="59" t="n"/>
      <c r="Q93" s="59" t="n"/>
      <c r="R93" s="59" t="n"/>
      <c r="S93" s="59" t="n"/>
      <c r="T93" s="59" t="n"/>
      <c r="U93" s="59" t="n"/>
      <c r="V93" s="59" t="n"/>
      <c r="W93" s="59" t="n"/>
      <c r="X93" s="59" t="n"/>
      <c r="Y93" s="59" t="n"/>
      <c r="Z93" s="59" t="n"/>
      <c r="AA93" s="59" t="n"/>
      <c r="AB93" s="59" t="n"/>
      <c r="AC93" s="59" t="n"/>
      <c r="AD93" s="59" t="n"/>
    </row>
    <row r="94">
      <c r="A94" s="59" t="n"/>
      <c r="B94" s="59" t="n"/>
      <c r="C94" s="59" t="n"/>
      <c r="D94" s="59" t="n"/>
      <c r="E94" s="59" t="n"/>
      <c r="F94" s="59" t="n"/>
      <c r="G94" s="59" t="n"/>
      <c r="H94" s="59" t="n"/>
      <c r="I94" s="59" t="n"/>
      <c r="J94" s="59" t="n"/>
      <c r="K94" s="59" t="n"/>
      <c r="L94" s="59" t="n"/>
      <c r="M94" s="59" t="n"/>
      <c r="N94" s="59" t="n"/>
      <c r="O94" s="59" t="n"/>
      <c r="P94" s="59" t="n"/>
      <c r="Q94" s="59" t="n"/>
      <c r="R94" s="59" t="n"/>
      <c r="S94" s="59" t="n"/>
      <c r="T94" s="59" t="n"/>
      <c r="U94" s="59" t="n"/>
      <c r="V94" s="59" t="n"/>
      <c r="W94" s="59" t="n"/>
      <c r="X94" s="59" t="n"/>
      <c r="Y94" s="59" t="n"/>
      <c r="Z94" s="59" t="n"/>
      <c r="AA94" s="59" t="n"/>
      <c r="AB94" s="59" t="n"/>
      <c r="AC94" s="59" t="n"/>
      <c r="AD94" s="59" t="n"/>
    </row>
    <row r="95">
      <c r="A95" s="59" t="n"/>
      <c r="B95" s="59" t="n"/>
      <c r="C95" s="59" t="n"/>
      <c r="D95" s="59" t="n"/>
      <c r="E95" s="59" t="n"/>
      <c r="F95" s="59" t="n"/>
      <c r="G95" s="59" t="n"/>
      <c r="H95" s="59" t="n"/>
      <c r="I95" s="59" t="n"/>
      <c r="J95" s="59" t="n"/>
      <c r="K95" s="59" t="n"/>
      <c r="L95" s="59" t="n"/>
      <c r="M95" s="59" t="n"/>
      <c r="N95" s="59" t="n"/>
      <c r="O95" s="59" t="n"/>
      <c r="P95" s="59" t="n"/>
      <c r="Q95" s="59" t="n"/>
      <c r="R95" s="59" t="n"/>
      <c r="S95" s="59" t="n"/>
      <c r="T95" s="59" t="n"/>
      <c r="U95" s="59" t="n"/>
      <c r="V95" s="59" t="n"/>
      <c r="W95" s="59" t="n"/>
      <c r="X95" s="59" t="n"/>
      <c r="Y95" s="59" t="n"/>
      <c r="Z95" s="59" t="n"/>
      <c r="AA95" s="59" t="n"/>
      <c r="AB95" s="59" t="n"/>
      <c r="AC95" s="59" t="n"/>
      <c r="AD95" s="59" t="n"/>
    </row>
    <row r="96">
      <c r="A96" s="59" t="n"/>
      <c r="B96" s="59" t="n"/>
      <c r="C96" s="59" t="n"/>
      <c r="D96" s="59" t="n"/>
      <c r="E96" s="59" t="n"/>
      <c r="F96" s="59" t="n"/>
      <c r="G96" s="59" t="n"/>
      <c r="H96" s="59" t="n"/>
      <c r="I96" s="59" t="n"/>
      <c r="J96" s="59" t="n"/>
      <c r="K96" s="59" t="n"/>
      <c r="L96" s="59" t="n"/>
      <c r="M96" s="59" t="n"/>
      <c r="N96" s="59" t="n"/>
      <c r="O96" s="59" t="n"/>
      <c r="P96" s="59" t="n"/>
      <c r="Q96" s="59" t="n"/>
      <c r="R96" s="59" t="n"/>
      <c r="S96" s="59" t="n"/>
      <c r="T96" s="59" t="n"/>
      <c r="U96" s="59" t="n"/>
      <c r="V96" s="59" t="n"/>
      <c r="W96" s="59" t="n"/>
      <c r="X96" s="59" t="n"/>
      <c r="Y96" s="59" t="n"/>
      <c r="Z96" s="59" t="n"/>
      <c r="AA96" s="59" t="n"/>
      <c r="AB96" s="59" t="n"/>
      <c r="AC96" s="59" t="n"/>
      <c r="AD96" s="59" t="n"/>
    </row>
    <row r="97">
      <c r="A97" s="59" t="n"/>
      <c r="B97" s="59" t="n"/>
      <c r="C97" s="59" t="n"/>
      <c r="D97" s="59" t="n"/>
      <c r="E97" s="59" t="n"/>
      <c r="F97" s="59" t="n"/>
      <c r="G97" s="59" t="n"/>
      <c r="H97" s="59" t="n"/>
      <c r="I97" s="59" t="n"/>
      <c r="J97" s="59" t="n"/>
      <c r="K97" s="59" t="n"/>
      <c r="L97" s="59" t="n"/>
      <c r="M97" s="59" t="n"/>
      <c r="N97" s="59" t="n"/>
      <c r="O97" s="59" t="n"/>
      <c r="P97" s="59" t="n"/>
      <c r="Q97" s="59" t="n"/>
      <c r="R97" s="59" t="n"/>
      <c r="S97" s="59" t="n"/>
      <c r="T97" s="59" t="n"/>
      <c r="U97" s="59" t="n"/>
      <c r="V97" s="59" t="n"/>
      <c r="W97" s="59" t="n"/>
      <c r="X97" s="59" t="n"/>
      <c r="Y97" s="59" t="n"/>
      <c r="Z97" s="59" t="n"/>
      <c r="AA97" s="59" t="n"/>
      <c r="AB97" s="59" t="n"/>
      <c r="AC97" s="59" t="n"/>
      <c r="AD97" s="59" t="n"/>
    </row>
    <row r="98">
      <c r="A98" s="59" t="n"/>
      <c r="B98" s="59" t="n"/>
      <c r="C98" s="59" t="n"/>
      <c r="D98" s="59" t="n"/>
      <c r="E98" s="59" t="n"/>
      <c r="F98" s="59" t="n"/>
      <c r="G98" s="59" t="n"/>
      <c r="H98" s="59" t="n"/>
      <c r="I98" s="59" t="n"/>
      <c r="J98" s="59" t="n"/>
      <c r="K98" s="59" t="n"/>
      <c r="L98" s="59" t="n"/>
      <c r="M98" s="59" t="n"/>
      <c r="N98" s="59" t="n"/>
      <c r="O98" s="59" t="n"/>
      <c r="P98" s="59" t="n"/>
      <c r="Q98" s="59" t="n"/>
      <c r="R98" s="59" t="n"/>
      <c r="S98" s="59" t="n"/>
      <c r="T98" s="59" t="n"/>
      <c r="U98" s="59" t="n"/>
      <c r="V98" s="59" t="n"/>
      <c r="W98" s="59" t="n"/>
      <c r="X98" s="59" t="n"/>
      <c r="Y98" s="59" t="n"/>
      <c r="Z98" s="59" t="n"/>
      <c r="AA98" s="59" t="n"/>
      <c r="AB98" s="59" t="n"/>
      <c r="AC98" s="59" t="n"/>
      <c r="AD98" s="59" t="n"/>
    </row>
    <row r="99">
      <c r="A99" s="59" t="n"/>
      <c r="B99" s="59" t="n"/>
      <c r="C99" s="59" t="n"/>
      <c r="D99" s="59" t="n"/>
      <c r="E99" s="59" t="n"/>
      <c r="F99" s="59" t="n"/>
      <c r="G99" s="59" t="n"/>
      <c r="H99" s="59" t="n"/>
      <c r="I99" s="59" t="n"/>
      <c r="J99" s="59" t="n"/>
      <c r="K99" s="59" t="n"/>
      <c r="L99" s="59" t="n"/>
      <c r="M99" s="59" t="n"/>
      <c r="N99" s="59" t="n"/>
      <c r="O99" s="59" t="n"/>
      <c r="P99" s="59" t="n"/>
      <c r="Q99" s="59" t="n"/>
      <c r="R99" s="59" t="n"/>
      <c r="S99" s="59" t="n"/>
      <c r="T99" s="59" t="n"/>
      <c r="U99" s="59" t="n"/>
      <c r="V99" s="59" t="n"/>
      <c r="W99" s="59" t="n"/>
      <c r="X99" s="59" t="n"/>
      <c r="Y99" s="59" t="n"/>
      <c r="Z99" s="59" t="n"/>
      <c r="AA99" s="59" t="n"/>
      <c r="AB99" s="59" t="n"/>
      <c r="AC99" s="59" t="n"/>
      <c r="AD99" s="59" t="n"/>
    </row>
    <row r="100">
      <c r="A100" s="59" t="n"/>
      <c r="B100" s="59" t="n"/>
      <c r="C100" s="59" t="n"/>
      <c r="D100" s="59" t="n"/>
      <c r="E100" s="59" t="n"/>
      <c r="F100" s="59" t="n"/>
      <c r="G100" s="59" t="n"/>
      <c r="H100" s="59" t="n"/>
      <c r="I100" s="59" t="n"/>
      <c r="J100" s="59" t="n"/>
      <c r="K100" s="59" t="n"/>
      <c r="L100" s="59" t="n"/>
      <c r="M100" s="59" t="n"/>
      <c r="N100" s="59" t="n"/>
      <c r="O100" s="59" t="n"/>
      <c r="P100" s="59" t="n"/>
      <c r="Q100" s="59" t="n"/>
      <c r="R100" s="59" t="n"/>
      <c r="S100" s="59" t="n"/>
      <c r="T100" s="59" t="n"/>
      <c r="U100" s="59" t="n"/>
      <c r="V100" s="59" t="n"/>
      <c r="W100" s="59" t="n"/>
      <c r="X100" s="59" t="n"/>
      <c r="Y100" s="59" t="n"/>
      <c r="Z100" s="59" t="n"/>
      <c r="AA100" s="59" t="n"/>
      <c r="AB100" s="59" t="n"/>
      <c r="AC100" s="59" t="n"/>
      <c r="AD100" s="59" t="n"/>
    </row>
    <row r="101">
      <c r="A101" s="59" t="n"/>
      <c r="B101" s="59" t="n"/>
      <c r="C101" s="59" t="n"/>
      <c r="D101" s="59" t="n"/>
      <c r="E101" s="59" t="n"/>
      <c r="F101" s="59" t="n"/>
      <c r="G101" s="59" t="n"/>
      <c r="H101" s="59" t="n"/>
      <c r="I101" s="59" t="n"/>
      <c r="J101" s="59" t="n"/>
      <c r="K101" s="59" t="n"/>
      <c r="L101" s="59" t="n"/>
      <c r="M101" s="59" t="n"/>
      <c r="N101" s="59" t="n"/>
      <c r="O101" s="59" t="n"/>
      <c r="P101" s="59" t="n"/>
      <c r="Q101" s="59" t="n"/>
      <c r="R101" s="59" t="n"/>
      <c r="S101" s="59" t="n"/>
      <c r="T101" s="59" t="n"/>
      <c r="U101" s="59" t="n"/>
      <c r="V101" s="59" t="n"/>
      <c r="W101" s="59" t="n"/>
      <c r="X101" s="59" t="n"/>
      <c r="Y101" s="59" t="n"/>
      <c r="Z101" s="59" t="n"/>
      <c r="AA101" s="59" t="n"/>
      <c r="AB101" s="59" t="n"/>
      <c r="AC101" s="59" t="n"/>
      <c r="AD101" s="59" t="n"/>
    </row>
    <row r="102">
      <c r="A102" s="59" t="n"/>
      <c r="B102" s="59" t="n"/>
      <c r="C102" s="59" t="n"/>
      <c r="D102" s="59" t="n"/>
      <c r="E102" s="59" t="n"/>
      <c r="F102" s="59" t="n"/>
      <c r="G102" s="59" t="n"/>
      <c r="H102" s="59" t="n"/>
      <c r="I102" s="59" t="n"/>
      <c r="J102" s="59" t="n"/>
      <c r="K102" s="59" t="n"/>
      <c r="L102" s="59" t="n"/>
      <c r="M102" s="59" t="n"/>
      <c r="N102" s="59" t="n"/>
      <c r="O102" s="59" t="n"/>
      <c r="P102" s="59" t="n"/>
      <c r="Q102" s="59" t="n"/>
      <c r="R102" s="59" t="n"/>
      <c r="S102" s="59" t="n"/>
      <c r="T102" s="59" t="n"/>
      <c r="U102" s="59" t="n"/>
      <c r="V102" s="59" t="n"/>
      <c r="W102" s="59" t="n"/>
      <c r="X102" s="59" t="n"/>
      <c r="Y102" s="59" t="n"/>
      <c r="Z102" s="59" t="n"/>
      <c r="AA102" s="59" t="n"/>
      <c r="AB102" s="59" t="n"/>
      <c r="AC102" s="59" t="n"/>
      <c r="AD102" s="59" t="n"/>
    </row>
    <row r="103">
      <c r="A103" s="59" t="n"/>
      <c r="B103" s="59" t="n"/>
      <c r="C103" s="59" t="n"/>
      <c r="D103" s="59" t="n"/>
      <c r="E103" s="59" t="n"/>
      <c r="F103" s="59" t="n"/>
      <c r="G103" s="59" t="n"/>
      <c r="H103" s="59" t="n"/>
      <c r="I103" s="59" t="n"/>
      <c r="J103" s="59" t="n"/>
      <c r="K103" s="59" t="n"/>
      <c r="L103" s="59" t="n"/>
      <c r="M103" s="59" t="n"/>
      <c r="N103" s="59" t="n"/>
      <c r="O103" s="59" t="n"/>
      <c r="P103" s="59" t="n"/>
      <c r="Q103" s="59" t="n"/>
      <c r="R103" s="59" t="n"/>
      <c r="S103" s="59" t="n"/>
      <c r="T103" s="59" t="n"/>
      <c r="U103" s="59" t="n"/>
      <c r="V103" s="59" t="n"/>
      <c r="W103" s="59" t="n"/>
      <c r="X103" s="59" t="n"/>
      <c r="Y103" s="59" t="n"/>
      <c r="Z103" s="59" t="n"/>
      <c r="AA103" s="59" t="n"/>
      <c r="AB103" s="59" t="n"/>
      <c r="AC103" s="59" t="n"/>
      <c r="AD103" s="59" t="n"/>
    </row>
    <row r="104">
      <c r="A104" s="59" t="n"/>
      <c r="B104" s="59" t="n"/>
      <c r="C104" s="59" t="n"/>
      <c r="D104" s="59" t="n"/>
      <c r="E104" s="59" t="n"/>
      <c r="F104" s="59" t="n"/>
      <c r="G104" s="59" t="n"/>
      <c r="H104" s="59" t="n"/>
      <c r="I104" s="59" t="n"/>
      <c r="J104" s="59" t="n"/>
      <c r="K104" s="59" t="n"/>
      <c r="L104" s="59" t="n"/>
      <c r="M104" s="59" t="n"/>
      <c r="N104" s="59" t="n"/>
      <c r="O104" s="59" t="n"/>
      <c r="P104" s="59" t="n"/>
      <c r="Q104" s="59" t="n"/>
      <c r="R104" s="59" t="n"/>
      <c r="S104" s="59" t="n"/>
      <c r="T104" s="59" t="n"/>
      <c r="U104" s="59" t="n"/>
      <c r="V104" s="59" t="n"/>
      <c r="W104" s="59" t="n"/>
      <c r="X104" s="59" t="n"/>
      <c r="Y104" s="59" t="n"/>
      <c r="Z104" s="59" t="n"/>
      <c r="AA104" s="59" t="n"/>
      <c r="AB104" s="59" t="n"/>
      <c r="AC104" s="59" t="n"/>
      <c r="AD104" s="59" t="n"/>
    </row>
    <row r="105">
      <c r="A105" s="59" t="n"/>
      <c r="B105" s="59" t="n"/>
      <c r="C105" s="59" t="n"/>
      <c r="D105" s="59" t="n"/>
      <c r="E105" s="59" t="n"/>
      <c r="F105" s="59" t="n"/>
      <c r="G105" s="59" t="n"/>
      <c r="H105" s="59" t="n"/>
      <c r="I105" s="59" t="n"/>
      <c r="J105" s="59" t="n"/>
      <c r="K105" s="59" t="n"/>
      <c r="L105" s="59" t="n"/>
      <c r="M105" s="59" t="n"/>
      <c r="N105" s="59" t="n"/>
      <c r="O105" s="59" t="n"/>
      <c r="P105" s="59" t="n"/>
      <c r="Q105" s="59" t="n"/>
      <c r="R105" s="59" t="n"/>
      <c r="S105" s="59" t="n"/>
      <c r="T105" s="59" t="n"/>
      <c r="U105" s="59" t="n"/>
      <c r="V105" s="59" t="n"/>
      <c r="W105" s="59" t="n"/>
      <c r="X105" s="59" t="n"/>
      <c r="Y105" s="59" t="n"/>
      <c r="Z105" s="59" t="n"/>
      <c r="AA105" s="59" t="n"/>
      <c r="AB105" s="59" t="n"/>
      <c r="AC105" s="59" t="n"/>
      <c r="AD105" s="59" t="n"/>
    </row>
    <row r="106">
      <c r="A106" s="59" t="n"/>
      <c r="B106" s="59" t="n"/>
      <c r="C106" s="59" t="n"/>
      <c r="D106" s="59" t="n"/>
      <c r="E106" s="59" t="n"/>
      <c r="F106" s="59" t="n"/>
      <c r="G106" s="59" t="n"/>
      <c r="H106" s="59" t="n"/>
      <c r="I106" s="59" t="n"/>
      <c r="J106" s="59" t="n"/>
      <c r="K106" s="59" t="n"/>
      <c r="L106" s="59" t="n"/>
      <c r="M106" s="59" t="n"/>
      <c r="N106" s="59" t="n"/>
      <c r="O106" s="59" t="n"/>
      <c r="P106" s="59" t="n"/>
      <c r="Q106" s="59" t="n"/>
      <c r="R106" s="59" t="n"/>
      <c r="S106" s="59" t="n"/>
      <c r="T106" s="59" t="n"/>
      <c r="U106" s="59" t="n"/>
      <c r="V106" s="59" t="n"/>
      <c r="W106" s="59" t="n"/>
      <c r="X106" s="59" t="n"/>
      <c r="Y106" s="59" t="n"/>
      <c r="Z106" s="59" t="n"/>
      <c r="AA106" s="59" t="n"/>
      <c r="AB106" s="59" t="n"/>
      <c r="AC106" s="59" t="n"/>
      <c r="AD106" s="59" t="n"/>
    </row>
    <row r="107">
      <c r="A107" s="59" t="n"/>
      <c r="B107" s="59" t="n"/>
      <c r="C107" s="59" t="n"/>
      <c r="D107" s="59" t="n"/>
      <c r="E107" s="59" t="n"/>
      <c r="F107" s="59" t="n"/>
      <c r="G107" s="59" t="n"/>
      <c r="H107" s="59" t="n"/>
      <c r="I107" s="59" t="n"/>
      <c r="J107" s="59" t="n"/>
      <c r="K107" s="59" t="n"/>
      <c r="L107" s="59" t="n"/>
      <c r="M107" s="59" t="n"/>
      <c r="N107" s="59" t="n"/>
      <c r="O107" s="59" t="n"/>
      <c r="P107" s="59" t="n"/>
      <c r="Q107" s="59" t="n"/>
      <c r="R107" s="59" t="n"/>
      <c r="S107" s="59" t="n"/>
      <c r="T107" s="59" t="n"/>
      <c r="U107" s="59" t="n"/>
      <c r="V107" s="59" t="n"/>
      <c r="W107" s="59" t="n"/>
      <c r="X107" s="59" t="n"/>
      <c r="Y107" s="59" t="n"/>
      <c r="Z107" s="59" t="n"/>
      <c r="AA107" s="59" t="n"/>
      <c r="AB107" s="59" t="n"/>
      <c r="AC107" s="59" t="n"/>
      <c r="AD107" s="59" t="n"/>
    </row>
    <row r="108">
      <c r="A108" s="59" t="n"/>
      <c r="B108" s="59" t="n"/>
      <c r="C108" s="59" t="n"/>
      <c r="D108" s="59" t="n"/>
      <c r="E108" s="59" t="n"/>
      <c r="F108" s="59" t="n"/>
      <c r="G108" s="59" t="n"/>
      <c r="H108" s="59" t="n"/>
      <c r="I108" s="59" t="n"/>
      <c r="J108" s="59" t="n"/>
      <c r="K108" s="59" t="n"/>
      <c r="L108" s="59" t="n"/>
      <c r="M108" s="59" t="n"/>
      <c r="N108" s="59" t="n"/>
      <c r="O108" s="59" t="n"/>
      <c r="P108" s="59" t="n"/>
      <c r="Q108" s="59" t="n"/>
      <c r="R108" s="59" t="n"/>
      <c r="S108" s="59" t="n"/>
      <c r="T108" s="59" t="n"/>
      <c r="U108" s="59" t="n"/>
      <c r="V108" s="59" t="n"/>
      <c r="W108" s="59" t="n"/>
      <c r="X108" s="59" t="n"/>
      <c r="Y108" s="59" t="n"/>
      <c r="Z108" s="59" t="n"/>
      <c r="AA108" s="59" t="n"/>
      <c r="AB108" s="59" t="n"/>
      <c r="AC108" s="59" t="n"/>
      <c r="AD108" s="59" t="n"/>
    </row>
    <row r="109">
      <c r="A109" s="59" t="n"/>
      <c r="B109" s="59" t="n"/>
      <c r="C109" s="59" t="n"/>
      <c r="D109" s="59" t="n"/>
      <c r="E109" s="59" t="n"/>
      <c r="F109" s="59" t="n"/>
      <c r="G109" s="59" t="n"/>
      <c r="H109" s="59" t="n"/>
      <c r="I109" s="59" t="n"/>
      <c r="J109" s="59" t="n"/>
      <c r="K109" s="59" t="n"/>
      <c r="L109" s="59" t="n"/>
      <c r="M109" s="59" t="n"/>
      <c r="N109" s="59" t="n"/>
      <c r="O109" s="59" t="n"/>
      <c r="P109" s="59" t="n"/>
      <c r="Q109" s="59" t="n"/>
      <c r="R109" s="59" t="n"/>
      <c r="S109" s="59" t="n"/>
      <c r="T109" s="59" t="n"/>
      <c r="U109" s="59" t="n"/>
      <c r="V109" s="59" t="n"/>
      <c r="W109" s="59" t="n"/>
      <c r="X109" s="59" t="n"/>
      <c r="Y109" s="59" t="n"/>
      <c r="Z109" s="59" t="n"/>
      <c r="AA109" s="59" t="n"/>
      <c r="AB109" s="59" t="n"/>
      <c r="AC109" s="59" t="n"/>
      <c r="AD109" s="59" t="n"/>
    </row>
    <row r="110">
      <c r="A110" s="59" t="n"/>
      <c r="B110" s="59" t="n"/>
      <c r="C110" s="59" t="n"/>
      <c r="D110" s="59" t="n"/>
      <c r="E110" s="59" t="n"/>
      <c r="F110" s="59" t="n"/>
      <c r="G110" s="59" t="n"/>
      <c r="H110" s="59" t="n"/>
      <c r="I110" s="59" t="n"/>
      <c r="J110" s="59" t="n"/>
      <c r="K110" s="59" t="n"/>
      <c r="L110" s="59" t="n"/>
      <c r="M110" s="59" t="n"/>
      <c r="N110" s="59" t="n"/>
      <c r="O110" s="59" t="n"/>
      <c r="P110" s="59" t="n"/>
      <c r="Q110" s="59" t="n"/>
      <c r="R110" s="59" t="n"/>
      <c r="S110" s="59" t="n"/>
      <c r="T110" s="59" t="n"/>
      <c r="U110" s="59" t="n"/>
      <c r="V110" s="59" t="n"/>
      <c r="W110" s="59" t="n"/>
      <c r="X110" s="59" t="n"/>
      <c r="Y110" s="59" t="n"/>
      <c r="Z110" s="59" t="n"/>
      <c r="AA110" s="59" t="n"/>
      <c r="AB110" s="59" t="n"/>
      <c r="AC110" s="59" t="n"/>
      <c r="AD110" s="59" t="n"/>
    </row>
    <row r="111">
      <c r="A111" s="59" t="n"/>
      <c r="B111" s="59" t="n"/>
      <c r="C111" s="59" t="n"/>
      <c r="D111" s="59" t="n"/>
      <c r="E111" s="59" t="n"/>
      <c r="F111" s="59" t="n"/>
      <c r="G111" s="59" t="n"/>
      <c r="H111" s="59" t="n"/>
      <c r="I111" s="59" t="n"/>
      <c r="J111" s="59" t="n"/>
      <c r="K111" s="59" t="n"/>
      <c r="L111" s="59" t="n"/>
      <c r="M111" s="59" t="n"/>
      <c r="N111" s="59" t="n"/>
      <c r="O111" s="59" t="n"/>
      <c r="P111" s="59" t="n"/>
      <c r="Q111" s="59" t="n"/>
      <c r="R111" s="59" t="n"/>
      <c r="S111" s="59" t="n"/>
      <c r="T111" s="59" t="n"/>
      <c r="U111" s="59" t="n"/>
      <c r="V111" s="59" t="n"/>
      <c r="W111" s="59" t="n"/>
      <c r="X111" s="59" t="n"/>
      <c r="Y111" s="59" t="n"/>
      <c r="Z111" s="59" t="n"/>
      <c r="AA111" s="59" t="n"/>
      <c r="AB111" s="59" t="n"/>
      <c r="AC111" s="59" t="n"/>
      <c r="AD111" s="59" t="n"/>
    </row>
    <row r="112">
      <c r="A112" s="59" t="n"/>
      <c r="B112" s="59" t="n"/>
      <c r="C112" s="59" t="n"/>
      <c r="D112" s="59" t="n"/>
      <c r="E112" s="59" t="n"/>
      <c r="F112" s="59" t="n"/>
      <c r="G112" s="59" t="n"/>
      <c r="H112" s="59" t="n"/>
      <c r="I112" s="59" t="n"/>
      <c r="J112" s="59" t="n"/>
      <c r="K112" s="59" t="n"/>
      <c r="L112" s="59" t="n"/>
      <c r="M112" s="59" t="n"/>
      <c r="N112" s="59" t="n"/>
      <c r="O112" s="59" t="n"/>
      <c r="P112" s="59" t="n"/>
      <c r="Q112" s="59" t="n"/>
      <c r="R112" s="59" t="n"/>
      <c r="S112" s="59" t="n"/>
      <c r="T112" s="59" t="n"/>
      <c r="U112" s="59" t="n"/>
      <c r="V112" s="59" t="n"/>
      <c r="W112" s="59" t="n"/>
      <c r="X112" s="59" t="n"/>
      <c r="Y112" s="59" t="n"/>
      <c r="Z112" s="59" t="n"/>
      <c r="AA112" s="59" t="n"/>
      <c r="AB112" s="59" t="n"/>
      <c r="AC112" s="59" t="n"/>
      <c r="AD112" s="59" t="n"/>
    </row>
    <row r="113">
      <c r="A113" s="59" t="n"/>
      <c r="B113" s="59" t="n"/>
      <c r="C113" s="59" t="n"/>
      <c r="D113" s="59" t="n"/>
      <c r="E113" s="59" t="n"/>
      <c r="F113" s="59" t="n"/>
      <c r="G113" s="59" t="n"/>
      <c r="H113" s="59" t="n"/>
      <c r="I113" s="59" t="n"/>
      <c r="J113" s="59" t="n"/>
      <c r="K113" s="59" t="n"/>
      <c r="L113" s="59" t="n"/>
      <c r="M113" s="59" t="n"/>
      <c r="N113" s="59" t="n"/>
      <c r="O113" s="59" t="n"/>
      <c r="P113" s="59" t="n"/>
      <c r="Q113" s="59" t="n"/>
      <c r="R113" s="59" t="n"/>
      <c r="S113" s="59" t="n"/>
      <c r="T113" s="59" t="n"/>
      <c r="U113" s="59" t="n"/>
      <c r="V113" s="59" t="n"/>
      <c r="W113" s="59" t="n"/>
      <c r="X113" s="59" t="n"/>
      <c r="Y113" s="59" t="n"/>
      <c r="Z113" s="59" t="n"/>
      <c r="AA113" s="59" t="n"/>
      <c r="AB113" s="59" t="n"/>
      <c r="AC113" s="59" t="n"/>
      <c r="AD113" s="59" t="n"/>
    </row>
    <row r="114">
      <c r="A114" s="59" t="n"/>
      <c r="B114" s="59" t="n"/>
      <c r="C114" s="59" t="n"/>
      <c r="D114" s="59" t="n"/>
      <c r="E114" s="59" t="n"/>
      <c r="F114" s="59" t="n"/>
      <c r="G114" s="59" t="n"/>
      <c r="H114" s="59" t="n"/>
      <c r="I114" s="59" t="n"/>
      <c r="J114" s="59" t="n"/>
      <c r="K114" s="59" t="n"/>
      <c r="L114" s="59" t="n"/>
      <c r="M114" s="59" t="n"/>
      <c r="N114" s="59" t="n"/>
      <c r="O114" s="59" t="n"/>
      <c r="P114" s="59" t="n"/>
      <c r="Q114" s="59" t="n"/>
      <c r="R114" s="59" t="n"/>
      <c r="S114" s="59" t="n"/>
      <c r="T114" s="59" t="n"/>
      <c r="U114" s="59" t="n"/>
      <c r="V114" s="59" t="n"/>
      <c r="W114" s="59" t="n"/>
      <c r="X114" s="59" t="n"/>
      <c r="Y114" s="59" t="n"/>
      <c r="Z114" s="59" t="n"/>
      <c r="AA114" s="59" t="n"/>
      <c r="AB114" s="59" t="n"/>
      <c r="AC114" s="59" t="n"/>
      <c r="AD114" s="59" t="n"/>
    </row>
    <row r="115">
      <c r="A115" s="59" t="n"/>
      <c r="B115" s="59" t="n"/>
      <c r="C115" s="59" t="n"/>
      <c r="D115" s="59" t="n"/>
      <c r="E115" s="59" t="n"/>
      <c r="F115" s="59" t="n"/>
      <c r="G115" s="59" t="n"/>
      <c r="H115" s="59" t="n"/>
      <c r="I115" s="59" t="n"/>
      <c r="J115" s="59" t="n"/>
      <c r="K115" s="59" t="n"/>
      <c r="L115" s="59" t="n"/>
      <c r="M115" s="59" t="n"/>
      <c r="N115" s="59" t="n"/>
      <c r="O115" s="59" t="n"/>
      <c r="P115" s="59" t="n"/>
      <c r="Q115" s="59" t="n"/>
      <c r="R115" s="59" t="n"/>
      <c r="S115" s="59" t="n"/>
      <c r="T115" s="59" t="n"/>
      <c r="U115" s="59" t="n"/>
      <c r="V115" s="59" t="n"/>
      <c r="W115" s="59" t="n"/>
      <c r="X115" s="59" t="n"/>
      <c r="Y115" s="59" t="n"/>
      <c r="Z115" s="59" t="n"/>
      <c r="AA115" s="59" t="n"/>
      <c r="AB115" s="59" t="n"/>
      <c r="AC115" s="59" t="n"/>
      <c r="AD115" s="59" t="n"/>
    </row>
    <row r="116">
      <c r="A116" s="59" t="n"/>
      <c r="B116" s="59" t="n"/>
      <c r="C116" s="59" t="n"/>
      <c r="D116" s="59" t="n"/>
      <c r="E116" s="59" t="n"/>
      <c r="F116" s="59" t="n"/>
      <c r="G116" s="59" t="n"/>
      <c r="H116" s="59" t="n"/>
      <c r="I116" s="59" t="n"/>
      <c r="J116" s="59" t="n"/>
      <c r="K116" s="59" t="n"/>
      <c r="L116" s="59" t="n"/>
      <c r="M116" s="59" t="n"/>
      <c r="N116" s="59" t="n"/>
      <c r="O116" s="59" t="n"/>
      <c r="P116" s="59" t="n"/>
      <c r="Q116" s="59" t="n"/>
      <c r="R116" s="59" t="n"/>
      <c r="S116" s="59" t="n"/>
      <c r="T116" s="59" t="n"/>
      <c r="U116" s="59" t="n"/>
      <c r="V116" s="59" t="n"/>
      <c r="W116" s="59" t="n"/>
      <c r="X116" s="59" t="n"/>
      <c r="Y116" s="59" t="n"/>
      <c r="Z116" s="59" t="n"/>
      <c r="AA116" s="59" t="n"/>
      <c r="AB116" s="59" t="n"/>
      <c r="AC116" s="59" t="n"/>
      <c r="AD116" s="59" t="n"/>
    </row>
    <row r="117">
      <c r="A117" s="59" t="n"/>
      <c r="B117" s="59" t="n"/>
      <c r="C117" s="59" t="n"/>
      <c r="D117" s="59" t="n"/>
      <c r="E117" s="59" t="n"/>
      <c r="F117" s="59" t="n"/>
      <c r="G117" s="59" t="n"/>
      <c r="H117" s="59" t="n"/>
      <c r="I117" s="59" t="n"/>
      <c r="J117" s="59" t="n"/>
      <c r="K117" s="59" t="n"/>
      <c r="L117" s="59" t="n"/>
      <c r="M117" s="59" t="n"/>
      <c r="N117" s="59" t="n"/>
      <c r="O117" s="59" t="n"/>
      <c r="P117" s="59" t="n"/>
      <c r="Q117" s="59" t="n"/>
      <c r="R117" s="59" t="n"/>
      <c r="S117" s="59" t="n"/>
      <c r="T117" s="59" t="n"/>
      <c r="U117" s="59" t="n"/>
      <c r="V117" s="59" t="n"/>
      <c r="W117" s="59" t="n"/>
      <c r="X117" s="59" t="n"/>
      <c r="Y117" s="59" t="n"/>
      <c r="Z117" s="59" t="n"/>
      <c r="AA117" s="59" t="n"/>
      <c r="AB117" s="59" t="n"/>
      <c r="AC117" s="59" t="n"/>
      <c r="AD117" s="59" t="n"/>
    </row>
    <row r="118">
      <c r="A118" s="59" t="n"/>
      <c r="B118" s="59" t="n"/>
      <c r="C118" s="59" t="n"/>
      <c r="D118" s="59" t="n"/>
      <c r="E118" s="59" t="n"/>
      <c r="F118" s="59" t="n"/>
      <c r="G118" s="59" t="n"/>
      <c r="H118" s="59" t="n"/>
      <c r="I118" s="59" t="n"/>
      <c r="J118" s="59" t="n"/>
      <c r="K118" s="59" t="n"/>
      <c r="L118" s="59" t="n"/>
      <c r="M118" s="59" t="n"/>
      <c r="N118" s="59" t="n"/>
      <c r="O118" s="59" t="n"/>
      <c r="P118" s="59" t="n"/>
      <c r="Q118" s="59" t="n"/>
      <c r="R118" s="59" t="n"/>
      <c r="S118" s="59" t="n"/>
      <c r="T118" s="59" t="n"/>
      <c r="U118" s="59" t="n"/>
      <c r="V118" s="59" t="n"/>
      <c r="W118" s="59" t="n"/>
      <c r="X118" s="59" t="n"/>
      <c r="Y118" s="59" t="n"/>
      <c r="Z118" s="59" t="n"/>
      <c r="AA118" s="59" t="n"/>
      <c r="AB118" s="59" t="n"/>
      <c r="AC118" s="59" t="n"/>
      <c r="AD118" s="59" t="n"/>
    </row>
    <row r="119">
      <c r="A119" s="59" t="n"/>
      <c r="B119" s="59" t="n"/>
      <c r="C119" s="59" t="n"/>
      <c r="D119" s="59" t="n"/>
      <c r="E119" s="59" t="n"/>
      <c r="F119" s="59" t="n"/>
      <c r="G119" s="60" t="n"/>
      <c r="H119" s="59" t="n"/>
      <c r="I119" s="59" t="n"/>
      <c r="J119" s="59" t="n"/>
      <c r="K119" s="59" t="n"/>
      <c r="L119" s="59" t="n"/>
      <c r="M119" s="59" t="n"/>
      <c r="N119" s="59" t="n"/>
      <c r="O119" s="59" t="n"/>
      <c r="P119" s="59" t="n"/>
      <c r="Q119" s="59" t="n"/>
      <c r="R119" s="59" t="n"/>
      <c r="S119" s="59" t="n"/>
      <c r="T119" s="59" t="n"/>
      <c r="U119" s="59" t="n"/>
      <c r="V119" s="59" t="n"/>
      <c r="W119" s="59" t="n"/>
      <c r="X119" s="59" t="n"/>
      <c r="Y119" s="59" t="n"/>
      <c r="Z119" s="59" t="n"/>
      <c r="AA119" s="59" t="n"/>
      <c r="AB119" s="59" t="n"/>
      <c r="AC119" s="59" t="n"/>
      <c r="AD119" s="59" t="n"/>
    </row>
    <row r="120">
      <c r="A120" s="59" t="n"/>
      <c r="B120" s="59" t="n"/>
      <c r="C120" s="59" t="n"/>
      <c r="D120" s="59" t="n"/>
      <c r="E120" s="59" t="n"/>
      <c r="F120" s="59" t="n"/>
      <c r="G120" s="60" t="n"/>
      <c r="H120" s="59" t="n"/>
      <c r="I120" s="59" t="n"/>
      <c r="J120" s="59" t="n"/>
      <c r="K120" s="59" t="n"/>
      <c r="L120" s="59" t="n"/>
      <c r="M120" s="59" t="n"/>
      <c r="N120" s="59" t="n"/>
      <c r="O120" s="59" t="n"/>
      <c r="P120" s="59" t="n"/>
      <c r="Q120" s="59" t="n"/>
      <c r="R120" s="59" t="n"/>
      <c r="S120" s="59" t="n"/>
      <c r="T120" s="59" t="n"/>
      <c r="U120" s="59" t="n"/>
      <c r="V120" s="59" t="n"/>
      <c r="W120" s="59" t="n"/>
      <c r="X120" s="59" t="n"/>
      <c r="Y120" s="59" t="n"/>
      <c r="Z120" s="59" t="n"/>
      <c r="AA120" s="59" t="n"/>
      <c r="AB120" s="59" t="n"/>
      <c r="AC120" s="59" t="n"/>
      <c r="AD120" s="59" t="n"/>
    </row>
    <row r="121">
      <c r="A121" s="59" t="n"/>
      <c r="B121" s="59" t="n"/>
      <c r="C121" s="59" t="n"/>
      <c r="D121" s="59" t="n"/>
      <c r="E121" s="59" t="n"/>
      <c r="F121" s="59" t="n"/>
      <c r="G121" s="60" t="n"/>
      <c r="H121" s="59" t="n"/>
      <c r="I121" s="59" t="n"/>
      <c r="J121" s="59" t="n"/>
      <c r="K121" s="59" t="n"/>
      <c r="L121" s="59" t="n"/>
      <c r="M121" s="59" t="n"/>
      <c r="N121" s="59" t="n"/>
      <c r="O121" s="59" t="n"/>
      <c r="P121" s="59" t="n"/>
      <c r="Q121" s="59" t="n"/>
      <c r="R121" s="59" t="n"/>
      <c r="S121" s="59" t="n"/>
      <c r="T121" s="59" t="n"/>
      <c r="U121" s="59" t="n"/>
      <c r="V121" s="59" t="n"/>
      <c r="W121" s="59" t="n"/>
      <c r="X121" s="59" t="n"/>
      <c r="Y121" s="59" t="n"/>
      <c r="Z121" s="59" t="n"/>
      <c r="AA121" s="59" t="n"/>
      <c r="AB121" s="59" t="n"/>
      <c r="AC121" s="59" t="n"/>
      <c r="AD121" s="59" t="n"/>
    </row>
    <row r="122">
      <c r="A122" s="59" t="n"/>
      <c r="B122" s="59" t="n"/>
      <c r="C122" s="59" t="n"/>
      <c r="D122" s="59" t="n"/>
      <c r="E122" s="59" t="n"/>
      <c r="F122" s="59" t="n"/>
      <c r="G122" s="60" t="n"/>
      <c r="H122" s="59" t="n"/>
      <c r="I122" s="59" t="n"/>
      <c r="J122" s="59" t="n"/>
      <c r="K122" s="59" t="n"/>
      <c r="L122" s="59" t="n"/>
      <c r="M122" s="59" t="n"/>
      <c r="N122" s="59" t="n"/>
      <c r="O122" s="59" t="n"/>
      <c r="P122" s="59" t="n"/>
      <c r="Q122" s="59" t="n"/>
      <c r="R122" s="59" t="n"/>
      <c r="S122" s="59" t="n"/>
      <c r="T122" s="59" t="n"/>
      <c r="U122" s="59" t="n"/>
      <c r="V122" s="59" t="n"/>
      <c r="W122" s="59" t="n"/>
      <c r="X122" s="59" t="n"/>
      <c r="Y122" s="59" t="n"/>
      <c r="Z122" s="59" t="n"/>
      <c r="AA122" s="59" t="n"/>
      <c r="AB122" s="59" t="n"/>
      <c r="AC122" s="59" t="n"/>
      <c r="AD122" s="59" t="n"/>
    </row>
    <row r="123">
      <c r="A123" s="59" t="n"/>
      <c r="B123" s="59" t="n"/>
      <c r="C123" s="59" t="n"/>
      <c r="D123" s="59" t="n"/>
      <c r="E123" s="59" t="n"/>
      <c r="F123" s="59" t="n"/>
      <c r="G123" s="60" t="n"/>
      <c r="H123" s="59" t="n"/>
      <c r="I123" s="59" t="n"/>
      <c r="J123" s="59" t="n"/>
      <c r="K123" s="59" t="n"/>
      <c r="L123" s="59" t="n"/>
      <c r="M123" s="59" t="n"/>
      <c r="N123" s="59" t="n"/>
      <c r="O123" s="59" t="n"/>
      <c r="P123" s="59" t="n"/>
      <c r="Q123" s="59" t="n"/>
      <c r="R123" s="59" t="n"/>
      <c r="S123" s="59" t="n"/>
      <c r="T123" s="59" t="n"/>
      <c r="U123" s="59" t="n"/>
      <c r="V123" s="59" t="n"/>
      <c r="W123" s="59" t="n"/>
      <c r="X123" s="59" t="n"/>
      <c r="Y123" s="59" t="n"/>
      <c r="Z123" s="59" t="n"/>
      <c r="AA123" s="59" t="n"/>
      <c r="AB123" s="59" t="n"/>
      <c r="AC123" s="59" t="n"/>
      <c r="AD123" s="59" t="n"/>
    </row>
    <row r="124">
      <c r="A124" s="59" t="n"/>
      <c r="B124" s="59" t="n"/>
      <c r="C124" s="59" t="n"/>
      <c r="D124" s="59" t="n"/>
      <c r="E124" s="59" t="n"/>
      <c r="F124" s="59" t="n"/>
      <c r="G124" s="60" t="n"/>
      <c r="H124" s="59" t="n"/>
      <c r="I124" s="59" t="n"/>
      <c r="J124" s="59" t="n"/>
      <c r="K124" s="59" t="n"/>
      <c r="L124" s="59" t="n"/>
      <c r="M124" s="59" t="n"/>
      <c r="N124" s="59" t="n"/>
      <c r="O124" s="59" t="n"/>
      <c r="P124" s="59" t="n"/>
      <c r="Q124" s="59" t="n"/>
      <c r="R124" s="59" t="n"/>
      <c r="S124" s="59" t="n"/>
      <c r="T124" s="59" t="n"/>
      <c r="U124" s="59" t="n"/>
      <c r="V124" s="59" t="n"/>
      <c r="W124" s="59" t="n"/>
      <c r="X124" s="59" t="n"/>
      <c r="Y124" s="59" t="n"/>
      <c r="Z124" s="59" t="n"/>
      <c r="AA124" s="59" t="n"/>
      <c r="AB124" s="59" t="n"/>
      <c r="AC124" s="59" t="n"/>
      <c r="AD124" s="59" t="n"/>
    </row>
    <row r="125">
      <c r="A125" s="59" t="n"/>
      <c r="B125" s="59" t="n"/>
      <c r="C125" s="59" t="n"/>
      <c r="D125" s="59" t="n"/>
      <c r="E125" s="59" t="n"/>
      <c r="F125" s="59" t="n"/>
      <c r="G125" s="60" t="n"/>
      <c r="H125" s="59" t="n"/>
      <c r="I125" s="59" t="n"/>
      <c r="J125" s="59" t="n"/>
      <c r="K125" s="59" t="n"/>
      <c r="L125" s="59" t="n"/>
      <c r="M125" s="59" t="n"/>
      <c r="N125" s="59" t="n"/>
      <c r="O125" s="59" t="n"/>
      <c r="P125" s="59" t="n"/>
      <c r="Q125" s="59" t="n"/>
      <c r="R125" s="59" t="n"/>
      <c r="S125" s="59" t="n"/>
      <c r="T125" s="59" t="n"/>
      <c r="U125" s="59" t="n"/>
      <c r="V125" s="59" t="n"/>
      <c r="W125" s="59" t="n"/>
      <c r="X125" s="59" t="n"/>
      <c r="Y125" s="59" t="n"/>
      <c r="Z125" s="59" t="n"/>
      <c r="AA125" s="59" t="n"/>
      <c r="AB125" s="59" t="n"/>
      <c r="AC125" s="59" t="n"/>
      <c r="AD125" s="59" t="n"/>
    </row>
    <row r="126">
      <c r="A126" s="59" t="n"/>
      <c r="B126" s="59" t="n"/>
      <c r="C126" s="59" t="n"/>
      <c r="D126" s="59" t="n"/>
      <c r="E126" s="59" t="n"/>
      <c r="F126" s="59" t="n"/>
      <c r="G126" s="60" t="n"/>
      <c r="H126" s="59" t="n"/>
      <c r="I126" s="59" t="n"/>
      <c r="J126" s="59" t="n"/>
      <c r="K126" s="59" t="n"/>
      <c r="L126" s="59" t="n"/>
      <c r="M126" s="59" t="n"/>
      <c r="N126" s="59" t="n"/>
      <c r="O126" s="59" t="n"/>
      <c r="P126" s="59" t="n"/>
      <c r="Q126" s="59" t="n"/>
      <c r="R126" s="59" t="n"/>
      <c r="S126" s="59" t="n"/>
      <c r="T126" s="59" t="n"/>
      <c r="U126" s="59" t="n"/>
      <c r="V126" s="59" t="n"/>
      <c r="W126" s="59" t="n"/>
      <c r="X126" s="59" t="n"/>
      <c r="Y126" s="59" t="n"/>
      <c r="Z126" s="59" t="n"/>
      <c r="AA126" s="59" t="n"/>
      <c r="AB126" s="59" t="n"/>
      <c r="AC126" s="59" t="n"/>
      <c r="AD126" s="59" t="n"/>
    </row>
    <row r="127">
      <c r="A127" s="59" t="n"/>
      <c r="B127" s="59" t="n"/>
      <c r="C127" s="59" t="n"/>
      <c r="D127" s="59" t="n"/>
      <c r="E127" s="59" t="n"/>
      <c r="F127" s="59" t="n"/>
      <c r="G127" s="60" t="n"/>
      <c r="H127" s="59" t="n"/>
      <c r="I127" s="59" t="n"/>
      <c r="J127" s="59" t="n"/>
      <c r="K127" s="59" t="n"/>
      <c r="L127" s="59" t="n"/>
      <c r="M127" s="59" t="n"/>
      <c r="N127" s="59" t="n"/>
      <c r="O127" s="59" t="n"/>
      <c r="P127" s="59" t="n"/>
      <c r="Q127" s="59" t="n"/>
      <c r="R127" s="59" t="n"/>
      <c r="S127" s="59" t="n"/>
      <c r="T127" s="59" t="n"/>
      <c r="U127" s="59" t="n"/>
      <c r="V127" s="59" t="n"/>
      <c r="W127" s="59" t="n"/>
      <c r="X127" s="59" t="n"/>
      <c r="Y127" s="59" t="n"/>
      <c r="Z127" s="59" t="n"/>
      <c r="AA127" s="59" t="n"/>
      <c r="AB127" s="59" t="n"/>
      <c r="AC127" s="59" t="n"/>
      <c r="AD127" s="59" t="n"/>
    </row>
    <row r="128">
      <c r="A128" s="59" t="n"/>
      <c r="B128" s="59" t="n"/>
      <c r="C128" s="59" t="n"/>
      <c r="D128" s="59" t="n"/>
      <c r="E128" s="59" t="n"/>
      <c r="F128" s="59" t="n"/>
      <c r="G128" s="60" t="n"/>
      <c r="H128" s="59" t="n"/>
      <c r="I128" s="59" t="n"/>
      <c r="J128" s="59" t="n"/>
      <c r="K128" s="59" t="n"/>
      <c r="L128" s="59" t="n"/>
      <c r="M128" s="59" t="n"/>
      <c r="N128" s="59" t="n"/>
      <c r="O128" s="59" t="n"/>
      <c r="P128" s="59" t="n"/>
      <c r="Q128" s="59" t="n"/>
      <c r="R128" s="59" t="n"/>
      <c r="S128" s="59" t="n"/>
      <c r="T128" s="59" t="n"/>
      <c r="U128" s="59" t="n"/>
      <c r="V128" s="59" t="n"/>
      <c r="W128" s="59" t="n"/>
      <c r="X128" s="59" t="n"/>
      <c r="Y128" s="59" t="n"/>
      <c r="Z128" s="59" t="n"/>
      <c r="AA128" s="59" t="n"/>
      <c r="AB128" s="59" t="n"/>
      <c r="AC128" s="59" t="n"/>
      <c r="AD128" s="59" t="n"/>
    </row>
    <row r="129">
      <c r="A129" s="59" t="n"/>
      <c r="B129" s="59" t="n"/>
      <c r="C129" s="59" t="n"/>
      <c r="D129" s="59" t="n"/>
      <c r="E129" s="59" t="n"/>
      <c r="F129" s="59" t="n"/>
      <c r="G129" s="60" t="n"/>
      <c r="H129" s="59" t="n"/>
      <c r="I129" s="59" t="n"/>
      <c r="J129" s="59" t="n"/>
      <c r="K129" s="59" t="n"/>
      <c r="L129" s="59" t="n"/>
      <c r="M129" s="59" t="n"/>
      <c r="N129" s="59" t="n"/>
      <c r="O129" s="59" t="n"/>
      <c r="P129" s="59" t="n"/>
      <c r="Q129" s="59" t="n"/>
      <c r="R129" s="59" t="n"/>
      <c r="S129" s="59" t="n"/>
      <c r="T129" s="59" t="n"/>
      <c r="U129" s="59" t="n"/>
      <c r="V129" s="59" t="n"/>
      <c r="W129" s="59" t="n"/>
      <c r="X129" s="59" t="n"/>
      <c r="Y129" s="59" t="n"/>
      <c r="Z129" s="59" t="n"/>
      <c r="AA129" s="59" t="n"/>
      <c r="AB129" s="59" t="n"/>
      <c r="AC129" s="59" t="n"/>
      <c r="AD129" s="59" t="n"/>
    </row>
    <row r="130">
      <c r="A130" s="59" t="n"/>
      <c r="B130" s="59" t="n"/>
      <c r="C130" s="59" t="n"/>
      <c r="D130" s="59" t="n"/>
      <c r="E130" s="59" t="n"/>
      <c r="F130" s="59" t="n"/>
      <c r="G130" s="60" t="n"/>
      <c r="H130" s="59" t="n"/>
      <c r="I130" s="59" t="n"/>
      <c r="J130" s="59" t="n"/>
      <c r="K130" s="59" t="n"/>
      <c r="L130" s="59" t="n"/>
      <c r="M130" s="59" t="n"/>
      <c r="N130" s="59" t="n"/>
      <c r="O130" s="59" t="n"/>
      <c r="P130" s="59" t="n"/>
      <c r="Q130" s="59" t="n"/>
      <c r="R130" s="59" t="n"/>
      <c r="S130" s="59" t="n"/>
      <c r="T130" s="59" t="n"/>
      <c r="U130" s="59" t="n"/>
      <c r="V130" s="59" t="n"/>
      <c r="W130" s="59" t="n"/>
      <c r="X130" s="59" t="n"/>
      <c r="Y130" s="59" t="n"/>
      <c r="Z130" s="59" t="n"/>
      <c r="AA130" s="59" t="n"/>
      <c r="AB130" s="59" t="n"/>
      <c r="AC130" s="59" t="n"/>
      <c r="AD130" s="59" t="n"/>
    </row>
    <row r="131">
      <c r="A131" s="59" t="n"/>
      <c r="B131" s="59" t="n"/>
      <c r="C131" s="59" t="n"/>
      <c r="D131" s="59" t="n"/>
      <c r="E131" s="59" t="n"/>
      <c r="F131" s="59" t="n"/>
      <c r="G131" s="60" t="n"/>
      <c r="H131" s="59" t="n"/>
      <c r="I131" s="59" t="n"/>
      <c r="J131" s="59" t="n"/>
      <c r="K131" s="59" t="n"/>
      <c r="L131" s="59" t="n"/>
      <c r="M131" s="59" t="n"/>
      <c r="N131" s="59" t="n"/>
      <c r="O131" s="59" t="n"/>
      <c r="P131" s="59" t="n"/>
      <c r="Q131" s="59" t="n"/>
      <c r="R131" s="59" t="n"/>
      <c r="S131" s="59" t="n"/>
      <c r="T131" s="59" t="n"/>
      <c r="U131" s="59" t="n"/>
      <c r="V131" s="59" t="n"/>
      <c r="W131" s="59" t="n"/>
      <c r="X131" s="59" t="n"/>
      <c r="Y131" s="59" t="n"/>
      <c r="Z131" s="59" t="n"/>
      <c r="AA131" s="59" t="n"/>
      <c r="AB131" s="59" t="n"/>
      <c r="AC131" s="59" t="n"/>
      <c r="AD131" s="59" t="n"/>
    </row>
    <row r="132">
      <c r="A132" s="59" t="n"/>
      <c r="B132" s="59" t="n"/>
      <c r="C132" s="59" t="n"/>
      <c r="D132" s="59" t="n"/>
      <c r="E132" s="59" t="n"/>
      <c r="F132" s="59" t="n"/>
      <c r="G132" s="60" t="n"/>
      <c r="H132" s="59" t="n"/>
      <c r="I132" s="59" t="n"/>
      <c r="J132" s="59" t="n"/>
      <c r="K132" s="59" t="n"/>
      <c r="L132" s="59" t="n"/>
      <c r="M132" s="59" t="n"/>
      <c r="N132" s="59" t="n"/>
      <c r="O132" s="59" t="n"/>
      <c r="P132" s="59" t="n"/>
      <c r="Q132" s="59" t="n"/>
      <c r="R132" s="59" t="n"/>
      <c r="S132" s="59" t="n"/>
      <c r="T132" s="59" t="n"/>
      <c r="U132" s="59" t="n"/>
      <c r="V132" s="59" t="n"/>
      <c r="W132" s="59" t="n"/>
      <c r="X132" s="59" t="n"/>
      <c r="Y132" s="59" t="n"/>
      <c r="Z132" s="59" t="n"/>
      <c r="AA132" s="59" t="n"/>
      <c r="AB132" s="59" t="n"/>
      <c r="AC132" s="59" t="n"/>
      <c r="AD132" s="59" t="n"/>
    </row>
    <row r="133">
      <c r="A133" s="59" t="n"/>
      <c r="B133" s="59" t="n"/>
      <c r="C133" s="59" t="n"/>
      <c r="D133" s="59" t="n"/>
      <c r="E133" s="59" t="n"/>
      <c r="F133" s="59" t="n"/>
      <c r="G133" s="60" t="n"/>
      <c r="H133" s="59" t="n"/>
      <c r="I133" s="59" t="n"/>
      <c r="J133" s="59" t="n"/>
      <c r="K133" s="59" t="n"/>
      <c r="L133" s="59" t="n"/>
      <c r="M133" s="59" t="n"/>
      <c r="N133" s="59" t="n"/>
      <c r="O133" s="59" t="n"/>
      <c r="P133" s="59" t="n"/>
      <c r="Q133" s="59" t="n"/>
      <c r="R133" s="59" t="n"/>
      <c r="S133" s="59" t="n"/>
      <c r="T133" s="59" t="n"/>
      <c r="U133" s="59" t="n"/>
      <c r="V133" s="59" t="n"/>
      <c r="W133" s="59" t="n"/>
      <c r="X133" s="59" t="n"/>
      <c r="Y133" s="59" t="n"/>
      <c r="Z133" s="59" t="n"/>
      <c r="AA133" s="59" t="n"/>
      <c r="AB133" s="59" t="n"/>
      <c r="AC133" s="59" t="n"/>
      <c r="AD133" s="59" t="n"/>
    </row>
    <row r="134">
      <c r="A134" s="59" t="n"/>
      <c r="B134" s="59" t="n"/>
      <c r="C134" s="59" t="n"/>
      <c r="D134" s="59" t="n"/>
      <c r="E134" s="59" t="n"/>
      <c r="F134" s="59" t="n"/>
      <c r="G134" s="60" t="n"/>
      <c r="H134" s="59" t="n"/>
      <c r="I134" s="59" t="n"/>
      <c r="J134" s="59" t="n"/>
      <c r="K134" s="59" t="n"/>
      <c r="L134" s="59" t="n"/>
      <c r="M134" s="59" t="n"/>
      <c r="N134" s="59" t="n"/>
      <c r="O134" s="59" t="n"/>
      <c r="P134" s="59" t="n"/>
      <c r="Q134" s="59" t="n"/>
      <c r="R134" s="59" t="n"/>
      <c r="S134" s="59" t="n"/>
      <c r="T134" s="59" t="n"/>
      <c r="U134" s="59" t="n"/>
      <c r="V134" s="59" t="n"/>
      <c r="W134" s="59" t="n"/>
      <c r="X134" s="59" t="n"/>
      <c r="Y134" s="59" t="n"/>
      <c r="Z134" s="59" t="n"/>
      <c r="AA134" s="59" t="n"/>
      <c r="AB134" s="59" t="n"/>
      <c r="AC134" s="59" t="n"/>
      <c r="AD134" s="59" t="n"/>
    </row>
    <row r="135">
      <c r="A135" s="59" t="n"/>
      <c r="B135" s="59" t="n"/>
      <c r="C135" s="59" t="n"/>
      <c r="D135" s="59" t="n"/>
      <c r="E135" s="59" t="n"/>
      <c r="F135" s="59" t="n"/>
      <c r="G135" s="60" t="n"/>
      <c r="H135" s="59" t="n"/>
      <c r="I135" s="59" t="n"/>
      <c r="J135" s="59" t="n"/>
      <c r="K135" s="59" t="n"/>
      <c r="L135" s="59" t="n"/>
      <c r="M135" s="59" t="n"/>
      <c r="N135" s="59" t="n"/>
      <c r="O135" s="59" t="n"/>
      <c r="P135" s="59" t="n"/>
      <c r="Q135" s="59" t="n"/>
      <c r="R135" s="59" t="n"/>
      <c r="S135" s="59" t="n"/>
      <c r="T135" s="59" t="n"/>
      <c r="U135" s="59" t="n"/>
      <c r="V135" s="59" t="n"/>
      <c r="W135" s="59" t="n"/>
      <c r="X135" s="59" t="n"/>
      <c r="Y135" s="59" t="n"/>
      <c r="Z135" s="59" t="n"/>
      <c r="AA135" s="59" t="n"/>
      <c r="AB135" s="59" t="n"/>
      <c r="AC135" s="59" t="n"/>
      <c r="AD135" s="59" t="n"/>
    </row>
    <row r="136">
      <c r="A136" s="59" t="n"/>
      <c r="B136" s="59" t="n"/>
      <c r="C136" s="59" t="n"/>
      <c r="D136" s="59" t="n"/>
      <c r="E136" s="59" t="n"/>
      <c r="F136" s="59" t="n"/>
      <c r="G136" s="60"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row>
    <row r="137">
      <c r="A137" s="59" t="n"/>
      <c r="B137" s="59" t="n"/>
      <c r="C137" s="59" t="n"/>
      <c r="D137" s="59" t="n"/>
      <c r="E137" s="59" t="n"/>
      <c r="F137" s="59" t="n"/>
      <c r="G137" s="60" t="n"/>
      <c r="H137" s="59" t="n"/>
      <c r="I137" s="59" t="n"/>
      <c r="J137" s="59" t="n"/>
      <c r="K137" s="59" t="n"/>
      <c r="L137" s="59" t="n"/>
      <c r="M137" s="59" t="n"/>
      <c r="N137" s="59" t="n"/>
      <c r="O137" s="59" t="n"/>
      <c r="P137" s="59" t="n"/>
      <c r="Q137" s="59" t="n"/>
      <c r="R137" s="59" t="n"/>
      <c r="S137" s="59" t="n"/>
      <c r="T137" s="59" t="n"/>
      <c r="U137" s="59" t="n"/>
      <c r="V137" s="59" t="n"/>
      <c r="W137" s="59" t="n"/>
      <c r="X137" s="59" t="n"/>
      <c r="Y137" s="59" t="n"/>
      <c r="Z137" s="59" t="n"/>
      <c r="AA137" s="59" t="n"/>
      <c r="AB137" s="59" t="n"/>
      <c r="AC137" s="59" t="n"/>
      <c r="AD137" s="59" t="n"/>
    </row>
    <row r="138">
      <c r="A138" s="59" t="n"/>
      <c r="B138" s="59" t="n"/>
      <c r="C138" s="59" t="n"/>
      <c r="D138" s="59" t="n"/>
      <c r="E138" s="59" t="n"/>
      <c r="F138" s="59" t="n"/>
      <c r="G138" s="60" t="n"/>
      <c r="H138" s="59" t="n"/>
      <c r="I138" s="59" t="n"/>
      <c r="J138" s="59" t="n"/>
      <c r="K138" s="59" t="n"/>
      <c r="L138" s="59" t="n"/>
      <c r="M138" s="59" t="n"/>
      <c r="N138" s="59" t="n"/>
      <c r="O138" s="59" t="n"/>
      <c r="P138" s="59" t="n"/>
      <c r="Q138" s="59" t="n"/>
      <c r="R138" s="59" t="n"/>
      <c r="S138" s="59" t="n"/>
      <c r="T138" s="59" t="n"/>
      <c r="U138" s="59" t="n"/>
      <c r="V138" s="59" t="n"/>
      <c r="W138" s="59" t="n"/>
      <c r="X138" s="59" t="n"/>
      <c r="Y138" s="59" t="n"/>
      <c r="Z138" s="59" t="n"/>
      <c r="AA138" s="59" t="n"/>
      <c r="AB138" s="59" t="n"/>
      <c r="AC138" s="59" t="n"/>
      <c r="AD138" s="59" t="n"/>
    </row>
    <row r="139">
      <c r="A139" s="59" t="n"/>
      <c r="B139" s="59" t="n"/>
      <c r="C139" s="59" t="n"/>
      <c r="D139" s="59" t="n"/>
      <c r="E139" s="59" t="n"/>
      <c r="F139" s="59" t="n"/>
      <c r="G139" s="60" t="n"/>
      <c r="H139" s="59" t="n"/>
      <c r="I139" s="59" t="n"/>
      <c r="J139" s="59" t="n"/>
      <c r="K139" s="59" t="n"/>
      <c r="L139" s="59" t="n"/>
      <c r="M139" s="59" t="n"/>
      <c r="N139" s="59" t="n"/>
      <c r="O139" s="59" t="n"/>
      <c r="P139" s="59" t="n"/>
      <c r="Q139" s="59" t="n"/>
      <c r="R139" s="59" t="n"/>
      <c r="S139" s="59" t="n"/>
      <c r="T139" s="59" t="n"/>
      <c r="U139" s="59" t="n"/>
      <c r="V139" s="59" t="n"/>
      <c r="W139" s="59" t="n"/>
      <c r="X139" s="59" t="n"/>
      <c r="Y139" s="59" t="n"/>
      <c r="Z139" s="59" t="n"/>
      <c r="AA139" s="59" t="n"/>
      <c r="AB139" s="59" t="n"/>
      <c r="AC139" s="59" t="n"/>
      <c r="AD139" s="59" t="n"/>
    </row>
    <row r="140">
      <c r="A140" s="59" t="n"/>
      <c r="B140" s="59" t="n"/>
      <c r="C140" s="59" t="n"/>
      <c r="D140" s="59" t="n"/>
      <c r="E140" s="59" t="n"/>
      <c r="F140" s="59" t="n"/>
      <c r="G140" s="60" t="n"/>
      <c r="H140" s="59" t="n"/>
      <c r="I140" s="59" t="n"/>
      <c r="J140" s="59" t="n"/>
      <c r="K140" s="59" t="n"/>
      <c r="L140" s="59" t="n"/>
      <c r="M140" s="59" t="n"/>
      <c r="N140" s="59" t="n"/>
      <c r="O140" s="59" t="n"/>
      <c r="P140" s="59" t="n"/>
      <c r="Q140" s="59" t="n"/>
      <c r="R140" s="59" t="n"/>
      <c r="S140" s="59" t="n"/>
      <c r="T140" s="59" t="n"/>
      <c r="U140" s="59" t="n"/>
      <c r="V140" s="59" t="n"/>
      <c r="W140" s="59" t="n"/>
      <c r="X140" s="59" t="n"/>
      <c r="Y140" s="59" t="n"/>
      <c r="Z140" s="59" t="n"/>
      <c r="AA140" s="59" t="n"/>
      <c r="AB140" s="59" t="n"/>
      <c r="AC140" s="59" t="n"/>
      <c r="AD140" s="59" t="n"/>
    </row>
    <row r="141">
      <c r="A141" s="59" t="n"/>
      <c r="B141" s="59" t="n"/>
      <c r="C141" s="59" t="n"/>
      <c r="D141" s="59" t="n"/>
      <c r="E141" s="59" t="n"/>
      <c r="F141" s="59" t="n"/>
      <c r="G141" s="60" t="n"/>
      <c r="H141" s="59" t="n"/>
      <c r="I141" s="59" t="n"/>
      <c r="J141" s="59" t="n"/>
      <c r="K141" s="59" t="n"/>
      <c r="L141" s="59" t="n"/>
      <c r="M141" s="59" t="n"/>
      <c r="N141" s="59" t="n"/>
      <c r="O141" s="59" t="n"/>
      <c r="P141" s="59" t="n"/>
      <c r="Q141" s="59" t="n"/>
      <c r="R141" s="59" t="n"/>
      <c r="S141" s="59" t="n"/>
      <c r="T141" s="59" t="n"/>
      <c r="U141" s="59" t="n"/>
      <c r="V141" s="59" t="n"/>
      <c r="W141" s="59" t="n"/>
      <c r="X141" s="59" t="n"/>
      <c r="Y141" s="59" t="n"/>
      <c r="Z141" s="59" t="n"/>
      <c r="AA141" s="59" t="n"/>
      <c r="AB141" s="59" t="n"/>
      <c r="AC141" s="59" t="n"/>
      <c r="AD141" s="59" t="n"/>
    </row>
    <row r="142">
      <c r="A142" s="59" t="n"/>
      <c r="B142" s="59" t="n"/>
      <c r="C142" s="59" t="n"/>
      <c r="D142" s="59" t="n"/>
      <c r="E142" s="59" t="n"/>
      <c r="F142" s="59" t="n"/>
      <c r="G142" s="60" t="n"/>
      <c r="H142" s="59" t="n"/>
      <c r="I142" s="59" t="n"/>
      <c r="J142" s="59" t="n"/>
      <c r="K142" s="59" t="n"/>
      <c r="L142" s="59" t="n"/>
      <c r="M142" s="59" t="n"/>
      <c r="N142" s="59" t="n"/>
      <c r="O142" s="59" t="n"/>
      <c r="P142" s="59" t="n"/>
      <c r="Q142" s="59" t="n"/>
      <c r="R142" s="59" t="n"/>
      <c r="S142" s="59" t="n"/>
      <c r="T142" s="59" t="n"/>
      <c r="U142" s="59" t="n"/>
      <c r="V142" s="59" t="n"/>
      <c r="W142" s="59" t="n"/>
      <c r="X142" s="59" t="n"/>
      <c r="Y142" s="59" t="n"/>
      <c r="Z142" s="59" t="n"/>
      <c r="AA142" s="59" t="n"/>
      <c r="AB142" s="59" t="n"/>
      <c r="AC142" s="59" t="n"/>
      <c r="AD142" s="59" t="n"/>
    </row>
    <row r="143">
      <c r="A143" s="59" t="n"/>
      <c r="B143" s="59" t="n"/>
      <c r="C143" s="59" t="n"/>
      <c r="D143" s="59" t="n"/>
      <c r="E143" s="59" t="n"/>
      <c r="F143" s="59" t="n"/>
      <c r="G143" s="60" t="n"/>
      <c r="H143" s="59" t="n"/>
      <c r="I143" s="59" t="n"/>
      <c r="J143" s="59" t="n"/>
      <c r="K143" s="59" t="n"/>
      <c r="L143" s="59" t="n"/>
      <c r="M143" s="59" t="n"/>
      <c r="N143" s="59" t="n"/>
      <c r="O143" s="59" t="n"/>
      <c r="P143" s="59" t="n"/>
      <c r="Q143" s="59" t="n"/>
      <c r="R143" s="59" t="n"/>
      <c r="S143" s="59" t="n"/>
      <c r="T143" s="59" t="n"/>
      <c r="U143" s="59" t="n"/>
      <c r="V143" s="59" t="n"/>
      <c r="W143" s="59" t="n"/>
      <c r="X143" s="59" t="n"/>
      <c r="Y143" s="59" t="n"/>
      <c r="Z143" s="59" t="n"/>
      <c r="AA143" s="59" t="n"/>
      <c r="AB143" s="59" t="n"/>
      <c r="AC143" s="59" t="n"/>
      <c r="AD143" s="59" t="n"/>
    </row>
    <row r="144">
      <c r="A144" s="59" t="n"/>
      <c r="B144" s="59" t="n"/>
      <c r="C144" s="59" t="n"/>
      <c r="D144" s="59" t="n"/>
      <c r="E144" s="59" t="n"/>
      <c r="F144" s="59" t="n"/>
      <c r="G144" s="60" t="n"/>
      <c r="H144" s="59" t="n"/>
      <c r="I144" s="59" t="n"/>
      <c r="J144" s="59" t="n"/>
      <c r="K144" s="59" t="n"/>
      <c r="L144" s="59" t="n"/>
      <c r="M144" s="59" t="n"/>
      <c r="N144" s="59" t="n"/>
      <c r="O144" s="59" t="n"/>
      <c r="P144" s="59" t="n"/>
      <c r="Q144" s="59" t="n"/>
      <c r="R144" s="59" t="n"/>
      <c r="S144" s="59" t="n"/>
      <c r="T144" s="59" t="n"/>
      <c r="U144" s="59" t="n"/>
      <c r="V144" s="59" t="n"/>
      <c r="W144" s="59" t="n"/>
      <c r="X144" s="59" t="n"/>
      <c r="Y144" s="59" t="n"/>
      <c r="Z144" s="59" t="n"/>
      <c r="AA144" s="59" t="n"/>
      <c r="AB144" s="59" t="n"/>
      <c r="AC144" s="59" t="n"/>
      <c r="AD144" s="59" t="n"/>
    </row>
    <row r="145">
      <c r="A145" s="59" t="n"/>
      <c r="B145" s="59" t="n"/>
      <c r="C145" s="59" t="n"/>
      <c r="D145" s="59" t="n"/>
      <c r="E145" s="59" t="n"/>
      <c r="F145" s="59" t="n"/>
      <c r="G145" s="60" t="n"/>
      <c r="H145" s="59" t="n"/>
      <c r="I145" s="59" t="n"/>
      <c r="J145" s="59" t="n"/>
      <c r="K145" s="59" t="n"/>
      <c r="L145" s="59" t="n"/>
      <c r="M145" s="59" t="n"/>
      <c r="N145" s="59" t="n"/>
      <c r="O145" s="59" t="n"/>
      <c r="P145" s="59" t="n"/>
      <c r="Q145" s="59" t="n"/>
      <c r="R145" s="59" t="n"/>
      <c r="S145" s="59" t="n"/>
      <c r="T145" s="59" t="n"/>
      <c r="U145" s="59" t="n"/>
      <c r="V145" s="59" t="n"/>
      <c r="W145" s="59" t="n"/>
      <c r="X145" s="59" t="n"/>
      <c r="Y145" s="59" t="n"/>
      <c r="Z145" s="59" t="n"/>
      <c r="AA145" s="59" t="n"/>
      <c r="AB145" s="59" t="n"/>
      <c r="AC145" s="59" t="n"/>
      <c r="AD145" s="59" t="n"/>
    </row>
    <row r="146">
      <c r="A146" s="59" t="n"/>
      <c r="B146" s="59" t="n"/>
      <c r="C146" s="59" t="n"/>
      <c r="D146" s="59" t="n"/>
      <c r="E146" s="59" t="n"/>
      <c r="F146" s="59" t="n"/>
      <c r="G146" s="60" t="n"/>
      <c r="H146" s="59" t="n"/>
      <c r="I146" s="59" t="n"/>
      <c r="J146" s="59" t="n"/>
      <c r="K146" s="59" t="n"/>
      <c r="L146" s="59" t="n"/>
      <c r="M146" s="59" t="n"/>
      <c r="N146" s="59" t="n"/>
      <c r="O146" s="59" t="n"/>
      <c r="P146" s="59" t="n"/>
      <c r="Q146" s="59" t="n"/>
      <c r="R146" s="59" t="n"/>
      <c r="S146" s="59" t="n"/>
      <c r="T146" s="59" t="n"/>
      <c r="U146" s="59" t="n"/>
      <c r="V146" s="59" t="n"/>
      <c r="W146" s="59" t="n"/>
      <c r="X146" s="59" t="n"/>
      <c r="Y146" s="59" t="n"/>
      <c r="Z146" s="59" t="n"/>
      <c r="AA146" s="59" t="n"/>
      <c r="AB146" s="59" t="n"/>
      <c r="AC146" s="59" t="n"/>
      <c r="AD146" s="59" t="n"/>
    </row>
    <row r="147">
      <c r="A147" s="59" t="n"/>
      <c r="B147" s="59" t="n"/>
      <c r="C147" s="59" t="n"/>
      <c r="D147" s="59" t="n"/>
      <c r="E147" s="59" t="n"/>
      <c r="F147" s="59" t="n"/>
      <c r="G147" s="60" t="n"/>
      <c r="H147" s="59" t="n"/>
      <c r="I147" s="59" t="n"/>
      <c r="J147" s="59" t="n"/>
      <c r="K147" s="59" t="n"/>
      <c r="L147" s="59" t="n"/>
      <c r="M147" s="59" t="n"/>
      <c r="N147" s="59" t="n"/>
      <c r="O147" s="59" t="n"/>
      <c r="P147" s="59" t="n"/>
      <c r="Q147" s="59" t="n"/>
      <c r="R147" s="59" t="n"/>
      <c r="S147" s="59" t="n"/>
      <c r="T147" s="59" t="n"/>
      <c r="U147" s="59" t="n"/>
      <c r="V147" s="59" t="n"/>
      <c r="W147" s="59" t="n"/>
      <c r="X147" s="59" t="n"/>
      <c r="Y147" s="59" t="n"/>
      <c r="Z147" s="59" t="n"/>
      <c r="AA147" s="59" t="n"/>
      <c r="AB147" s="59" t="n"/>
      <c r="AC147" s="59" t="n"/>
      <c r="AD147" s="59" t="n"/>
    </row>
    <row r="148">
      <c r="A148" s="59" t="n"/>
      <c r="B148" s="59" t="n"/>
      <c r="C148" s="59" t="n"/>
      <c r="D148" s="59" t="n"/>
      <c r="E148" s="59" t="n"/>
      <c r="F148" s="59" t="n"/>
      <c r="G148" s="60" t="n"/>
      <c r="H148" s="59" t="n"/>
      <c r="I148" s="59" t="n"/>
      <c r="J148" s="59" t="n"/>
      <c r="K148" s="59" t="n"/>
      <c r="L148" s="59" t="n"/>
      <c r="M148" s="59" t="n"/>
      <c r="N148" s="59" t="n"/>
      <c r="O148" s="59" t="n"/>
      <c r="P148" s="59" t="n"/>
      <c r="Q148" s="59" t="n"/>
      <c r="R148" s="59" t="n"/>
      <c r="S148" s="59" t="n"/>
      <c r="T148" s="59" t="n"/>
      <c r="U148" s="59" t="n"/>
      <c r="V148" s="59" t="n"/>
      <c r="W148" s="59" t="n"/>
      <c r="X148" s="59" t="n"/>
      <c r="Y148" s="59" t="n"/>
      <c r="Z148" s="59" t="n"/>
      <c r="AA148" s="59" t="n"/>
      <c r="AB148" s="59" t="n"/>
      <c r="AC148" s="59" t="n"/>
      <c r="AD148" s="59" t="n"/>
    </row>
    <row r="149">
      <c r="A149" s="59" t="n"/>
      <c r="B149" s="59" t="n"/>
      <c r="C149" s="59" t="n"/>
      <c r="D149" s="59" t="n"/>
      <c r="E149" s="59" t="n"/>
      <c r="F149" s="59" t="n"/>
      <c r="G149" s="60" t="n"/>
      <c r="H149" s="59" t="n"/>
      <c r="I149" s="59" t="n"/>
      <c r="J149" s="59" t="n"/>
      <c r="K149" s="59" t="n"/>
      <c r="L149" s="59" t="n"/>
      <c r="M149" s="59" t="n"/>
      <c r="N149" s="59" t="n"/>
      <c r="O149" s="59" t="n"/>
      <c r="P149" s="59" t="n"/>
      <c r="Q149" s="59" t="n"/>
      <c r="R149" s="59" t="n"/>
      <c r="S149" s="59" t="n"/>
      <c r="T149" s="59" t="n"/>
      <c r="U149" s="59" t="n"/>
      <c r="V149" s="59" t="n"/>
      <c r="W149" s="59" t="n"/>
      <c r="X149" s="59" t="n"/>
      <c r="Y149" s="59" t="n"/>
      <c r="Z149" s="59" t="n"/>
      <c r="AA149" s="59" t="n"/>
      <c r="AB149" s="59" t="n"/>
      <c r="AC149" s="59" t="n"/>
      <c r="AD149" s="59" t="n"/>
    </row>
    <row r="150">
      <c r="A150" s="59" t="n"/>
      <c r="B150" s="59" t="n"/>
      <c r="C150" s="59" t="n"/>
      <c r="D150" s="59" t="n"/>
      <c r="E150" s="59" t="n"/>
      <c r="F150" s="59" t="n"/>
      <c r="G150" s="60" t="n"/>
      <c r="H150" s="59" t="n"/>
      <c r="I150" s="59" t="n"/>
      <c r="J150" s="59" t="n"/>
      <c r="K150" s="59" t="n"/>
      <c r="L150" s="59" t="n"/>
      <c r="M150" s="59" t="n"/>
      <c r="N150" s="59" t="n"/>
      <c r="O150" s="59" t="n"/>
      <c r="P150" s="59" t="n"/>
      <c r="Q150" s="59" t="n"/>
      <c r="R150" s="59" t="n"/>
      <c r="S150" s="59" t="n"/>
      <c r="T150" s="59" t="n"/>
      <c r="U150" s="59" t="n"/>
      <c r="V150" s="59" t="n"/>
      <c r="W150" s="59" t="n"/>
      <c r="X150" s="59" t="n"/>
      <c r="Y150" s="59" t="n"/>
      <c r="Z150" s="59" t="n"/>
      <c r="AA150" s="59" t="n"/>
      <c r="AB150" s="59" t="n"/>
      <c r="AC150" s="59" t="n"/>
      <c r="AD150" s="59" t="n"/>
    </row>
    <row r="151">
      <c r="A151" s="59" t="n"/>
      <c r="B151" s="59" t="n"/>
      <c r="C151" s="59" t="n"/>
      <c r="D151" s="59" t="n"/>
      <c r="E151" s="59" t="n"/>
      <c r="F151" s="59" t="n"/>
      <c r="G151" s="60" t="n"/>
      <c r="H151" s="59" t="n"/>
      <c r="I151" s="59" t="n"/>
      <c r="J151" s="59" t="n"/>
      <c r="K151" s="59" t="n"/>
      <c r="L151" s="59" t="n"/>
      <c r="M151" s="59" t="n"/>
      <c r="N151" s="59" t="n"/>
      <c r="O151" s="59" t="n"/>
      <c r="P151" s="59" t="n"/>
      <c r="Q151" s="59" t="n"/>
      <c r="R151" s="59" t="n"/>
      <c r="S151" s="59" t="n"/>
      <c r="T151" s="59" t="n"/>
      <c r="U151" s="59" t="n"/>
      <c r="V151" s="59" t="n"/>
      <c r="W151" s="59" t="n"/>
      <c r="X151" s="59" t="n"/>
      <c r="Y151" s="59" t="n"/>
      <c r="Z151" s="59" t="n"/>
      <c r="AA151" s="59" t="n"/>
      <c r="AB151" s="59" t="n"/>
      <c r="AC151" s="59" t="n"/>
      <c r="AD151" s="59" t="n"/>
    </row>
    <row r="152">
      <c r="A152" s="59" t="n"/>
      <c r="B152" s="59" t="n"/>
      <c r="C152" s="59" t="n"/>
      <c r="D152" s="59" t="n"/>
      <c r="E152" s="59" t="n"/>
      <c r="F152" s="59" t="n"/>
      <c r="G152" s="60" t="n"/>
      <c r="H152" s="59" t="n"/>
      <c r="I152" s="59" t="n"/>
      <c r="J152" s="59" t="n"/>
      <c r="K152" s="59" t="n"/>
      <c r="L152" s="59" t="n"/>
      <c r="M152" s="59" t="n"/>
      <c r="N152" s="59" t="n"/>
      <c r="O152" s="59" t="n"/>
      <c r="P152" s="59" t="n"/>
      <c r="Q152" s="59" t="n"/>
      <c r="R152" s="59" t="n"/>
      <c r="S152" s="59" t="n"/>
      <c r="T152" s="59" t="n"/>
      <c r="U152" s="59" t="n"/>
      <c r="V152" s="59" t="n"/>
      <c r="W152" s="59" t="n"/>
      <c r="X152" s="59" t="n"/>
      <c r="Y152" s="59" t="n"/>
      <c r="Z152" s="59" t="n"/>
      <c r="AA152" s="59" t="n"/>
      <c r="AB152" s="59" t="n"/>
      <c r="AC152" s="59" t="n"/>
      <c r="AD152" s="59" t="n"/>
    </row>
    <row r="153">
      <c r="A153" s="59" t="n"/>
      <c r="B153" s="59" t="n"/>
      <c r="C153" s="59" t="n"/>
      <c r="D153" s="59" t="n"/>
      <c r="E153" s="59" t="n"/>
      <c r="F153" s="59" t="n"/>
      <c r="G153" s="60" t="n"/>
      <c r="H153" s="59" t="n"/>
      <c r="I153" s="59" t="n"/>
      <c r="J153" s="59" t="n"/>
      <c r="K153" s="59" t="n"/>
      <c r="L153" s="59" t="n"/>
      <c r="M153" s="59" t="n"/>
      <c r="N153" s="59" t="n"/>
      <c r="O153" s="59" t="n"/>
      <c r="P153" s="59" t="n"/>
      <c r="Q153" s="59" t="n"/>
      <c r="R153" s="59" t="n"/>
      <c r="S153" s="59" t="n"/>
      <c r="T153" s="59" t="n"/>
      <c r="U153" s="59" t="n"/>
      <c r="V153" s="59" t="n"/>
      <c r="W153" s="59" t="n"/>
      <c r="X153" s="59" t="n"/>
      <c r="Y153" s="59" t="n"/>
      <c r="Z153" s="59" t="n"/>
      <c r="AA153" s="59" t="n"/>
      <c r="AB153" s="59" t="n"/>
      <c r="AC153" s="59" t="n"/>
      <c r="AD153" s="59" t="n"/>
    </row>
    <row r="154">
      <c r="A154" s="59" t="n"/>
      <c r="B154" s="59" t="n"/>
      <c r="C154" s="59" t="n"/>
      <c r="D154" s="59" t="n"/>
      <c r="E154" s="59" t="n"/>
      <c r="F154" s="59" t="n"/>
      <c r="G154" s="60" t="n"/>
      <c r="H154" s="59" t="n"/>
      <c r="I154" s="59" t="n"/>
      <c r="J154" s="59" t="n"/>
      <c r="K154" s="59" t="n"/>
      <c r="L154" s="59" t="n"/>
      <c r="M154" s="59" t="n"/>
      <c r="N154" s="59" t="n"/>
      <c r="O154" s="59" t="n"/>
      <c r="P154" s="59" t="n"/>
      <c r="Q154" s="59" t="n"/>
      <c r="R154" s="59" t="n"/>
      <c r="S154" s="59" t="n"/>
      <c r="T154" s="59" t="n"/>
      <c r="U154" s="59" t="n"/>
      <c r="V154" s="59" t="n"/>
      <c r="W154" s="59" t="n"/>
      <c r="X154" s="59" t="n"/>
      <c r="Y154" s="59" t="n"/>
      <c r="Z154" s="59" t="n"/>
      <c r="AA154" s="59" t="n"/>
      <c r="AB154" s="59" t="n"/>
      <c r="AC154" s="59" t="n"/>
      <c r="AD154" s="59" t="n"/>
    </row>
    <row r="155">
      <c r="A155" s="59" t="n"/>
      <c r="B155" s="59" t="n"/>
      <c r="C155" s="59" t="n"/>
      <c r="D155" s="59" t="n"/>
      <c r="E155" s="59" t="n"/>
      <c r="F155" s="59" t="n"/>
      <c r="G155" s="60" t="n"/>
      <c r="H155" s="59" t="n"/>
      <c r="I155" s="59" t="n"/>
      <c r="J155" s="59" t="n"/>
      <c r="K155" s="59" t="n"/>
      <c r="L155" s="59" t="n"/>
      <c r="M155" s="59" t="n"/>
      <c r="N155" s="59" t="n"/>
      <c r="O155" s="59" t="n"/>
      <c r="P155" s="59" t="n"/>
      <c r="Q155" s="59" t="n"/>
      <c r="R155" s="59" t="n"/>
      <c r="S155" s="59" t="n"/>
      <c r="T155" s="59" t="n"/>
      <c r="U155" s="59" t="n"/>
      <c r="V155" s="59" t="n"/>
      <c r="W155" s="59" t="n"/>
      <c r="X155" s="59" t="n"/>
      <c r="Y155" s="59" t="n"/>
      <c r="Z155" s="59" t="n"/>
      <c r="AA155" s="59" t="n"/>
      <c r="AB155" s="59" t="n"/>
      <c r="AC155" s="59" t="n"/>
      <c r="AD155" s="59" t="n"/>
    </row>
    <row r="156">
      <c r="A156" s="59" t="n"/>
      <c r="B156" s="59" t="n"/>
      <c r="C156" s="59" t="n"/>
      <c r="D156" s="59" t="n"/>
      <c r="E156" s="59" t="n"/>
      <c r="F156" s="59" t="n"/>
      <c r="G156" s="60" t="n"/>
      <c r="H156" s="59" t="n"/>
      <c r="I156" s="59" t="n"/>
      <c r="J156" s="59" t="n"/>
      <c r="K156" s="59" t="n"/>
      <c r="L156" s="59" t="n"/>
      <c r="M156" s="59" t="n"/>
      <c r="N156" s="59" t="n"/>
      <c r="O156" s="59" t="n"/>
      <c r="P156" s="59" t="n"/>
      <c r="Q156" s="59" t="n"/>
      <c r="R156" s="59" t="n"/>
      <c r="S156" s="59" t="n"/>
      <c r="T156" s="59" t="n"/>
      <c r="U156" s="59" t="n"/>
      <c r="V156" s="59" t="n"/>
      <c r="W156" s="59" t="n"/>
      <c r="X156" s="59" t="n"/>
      <c r="Y156" s="59" t="n"/>
      <c r="Z156" s="59" t="n"/>
      <c r="AA156" s="59" t="n"/>
      <c r="AB156" s="59" t="n"/>
      <c r="AC156" s="59" t="n"/>
      <c r="AD156" s="59" t="n"/>
    </row>
    <row r="157">
      <c r="A157" s="59" t="n"/>
      <c r="B157" s="59" t="n"/>
      <c r="C157" s="59" t="n"/>
      <c r="D157" s="59" t="n"/>
      <c r="E157" s="59" t="n"/>
      <c r="F157" s="59" t="n"/>
      <c r="G157" s="60" t="n"/>
      <c r="H157" s="59" t="n"/>
      <c r="I157" s="59" t="n"/>
      <c r="J157" s="59" t="n"/>
      <c r="K157" s="59" t="n"/>
      <c r="L157" s="59" t="n"/>
      <c r="M157" s="59" t="n"/>
      <c r="N157" s="59" t="n"/>
      <c r="O157" s="59" t="n"/>
      <c r="P157" s="59" t="n"/>
      <c r="Q157" s="59" t="n"/>
      <c r="R157" s="59" t="n"/>
      <c r="S157" s="59" t="n"/>
      <c r="T157" s="59" t="n"/>
      <c r="U157" s="59" t="n"/>
      <c r="V157" s="59" t="n"/>
      <c r="W157" s="59" t="n"/>
      <c r="X157" s="59" t="n"/>
      <c r="Y157" s="59" t="n"/>
      <c r="Z157" s="59" t="n"/>
      <c r="AA157" s="59" t="n"/>
      <c r="AB157" s="59" t="n"/>
      <c r="AC157" s="59" t="n"/>
      <c r="AD157" s="59" t="n"/>
    </row>
    <row r="158">
      <c r="A158" s="59" t="n"/>
      <c r="B158" s="59" t="n"/>
      <c r="C158" s="59" t="n"/>
      <c r="D158" s="59" t="n"/>
      <c r="E158" s="59" t="n"/>
      <c r="F158" s="59" t="n"/>
      <c r="G158" s="60" t="n"/>
      <c r="H158" s="59" t="n"/>
      <c r="I158" s="59" t="n"/>
      <c r="J158" s="59" t="n"/>
      <c r="K158" s="59" t="n"/>
      <c r="L158" s="59" t="n"/>
      <c r="M158" s="59" t="n"/>
      <c r="N158" s="59" t="n"/>
      <c r="O158" s="59" t="n"/>
      <c r="P158" s="59" t="n"/>
      <c r="Q158" s="59" t="n"/>
      <c r="R158" s="59" t="n"/>
      <c r="S158" s="59" t="n"/>
      <c r="T158" s="59" t="n"/>
      <c r="U158" s="59" t="n"/>
      <c r="V158" s="59" t="n"/>
      <c r="W158" s="59" t="n"/>
      <c r="X158" s="59" t="n"/>
      <c r="Y158" s="59" t="n"/>
      <c r="Z158" s="59" t="n"/>
      <c r="AA158" s="59" t="n"/>
      <c r="AB158" s="59" t="n"/>
      <c r="AC158" s="59" t="n"/>
      <c r="AD158" s="59" t="n"/>
    </row>
    <row r="159">
      <c r="A159" s="59" t="n"/>
      <c r="B159" s="59" t="n"/>
      <c r="C159" s="59" t="n"/>
      <c r="D159" s="59" t="n"/>
      <c r="E159" s="59" t="n"/>
      <c r="F159" s="59" t="n"/>
      <c r="G159" s="60" t="n"/>
      <c r="H159" s="59" t="n"/>
      <c r="I159" s="59" t="n"/>
      <c r="J159" s="59" t="n"/>
      <c r="K159" s="59" t="n"/>
      <c r="L159" s="59" t="n"/>
      <c r="M159" s="59" t="n"/>
      <c r="N159" s="59" t="n"/>
      <c r="O159" s="59" t="n"/>
      <c r="P159" s="59" t="n"/>
      <c r="Q159" s="59" t="n"/>
      <c r="R159" s="59" t="n"/>
      <c r="S159" s="59" t="n"/>
      <c r="T159" s="59" t="n"/>
      <c r="U159" s="59" t="n"/>
      <c r="V159" s="59" t="n"/>
      <c r="W159" s="59" t="n"/>
      <c r="X159" s="59" t="n"/>
      <c r="Y159" s="59" t="n"/>
      <c r="Z159" s="59" t="n"/>
      <c r="AA159" s="59" t="n"/>
      <c r="AB159" s="59" t="n"/>
      <c r="AC159" s="59" t="n"/>
      <c r="AD159" s="59" t="n"/>
    </row>
    <row r="160">
      <c r="A160" s="59" t="n"/>
      <c r="B160" s="59" t="n"/>
      <c r="C160" s="59" t="n"/>
      <c r="D160" s="59" t="n"/>
      <c r="E160" s="59" t="n"/>
      <c r="F160" s="59" t="n"/>
      <c r="G160" s="60" t="n"/>
      <c r="H160" s="59" t="n"/>
      <c r="I160" s="59" t="n"/>
      <c r="J160" s="59" t="n"/>
      <c r="K160" s="59" t="n"/>
      <c r="L160" s="59" t="n"/>
      <c r="M160" s="59" t="n"/>
      <c r="N160" s="59" t="n"/>
      <c r="O160" s="59" t="n"/>
      <c r="P160" s="59" t="n"/>
      <c r="Q160" s="59" t="n"/>
      <c r="R160" s="59" t="n"/>
      <c r="S160" s="59" t="n"/>
      <c r="T160" s="59" t="n"/>
      <c r="U160" s="59" t="n"/>
      <c r="V160" s="59" t="n"/>
      <c r="W160" s="59" t="n"/>
      <c r="X160" s="59" t="n"/>
      <c r="Y160" s="59" t="n"/>
      <c r="Z160" s="59" t="n"/>
      <c r="AA160" s="59" t="n"/>
      <c r="AB160" s="59" t="n"/>
      <c r="AC160" s="59" t="n"/>
      <c r="AD160" s="59" t="n"/>
    </row>
    <row r="161">
      <c r="A161" s="59" t="n"/>
      <c r="B161" s="59" t="n"/>
      <c r="C161" s="59" t="n"/>
      <c r="D161" s="59" t="n"/>
      <c r="E161" s="59" t="n"/>
      <c r="F161" s="59" t="n"/>
      <c r="G161" s="60" t="n"/>
      <c r="H161" s="59" t="n"/>
      <c r="I161" s="59" t="n"/>
      <c r="J161" s="59" t="n"/>
      <c r="K161" s="59" t="n"/>
      <c r="L161" s="59" t="n"/>
      <c r="M161" s="59" t="n"/>
      <c r="N161" s="59" t="n"/>
      <c r="O161" s="59" t="n"/>
      <c r="P161" s="59" t="n"/>
      <c r="Q161" s="59" t="n"/>
      <c r="R161" s="59" t="n"/>
      <c r="S161" s="59" t="n"/>
      <c r="T161" s="59" t="n"/>
      <c r="U161" s="59" t="n"/>
      <c r="V161" s="59" t="n"/>
      <c r="W161" s="59" t="n"/>
      <c r="X161" s="59" t="n"/>
      <c r="Y161" s="59" t="n"/>
      <c r="Z161" s="59" t="n"/>
      <c r="AA161" s="59" t="n"/>
      <c r="AB161" s="59" t="n"/>
      <c r="AC161" s="59" t="n"/>
      <c r="AD161" s="59" t="n"/>
    </row>
    <row r="162">
      <c r="A162" s="59" t="n"/>
      <c r="B162" s="59" t="n"/>
      <c r="C162" s="59" t="n"/>
      <c r="D162" s="59" t="n"/>
      <c r="E162" s="59" t="n"/>
      <c r="F162" s="59" t="n"/>
      <c r="G162" s="60" t="n"/>
      <c r="H162" s="59" t="n"/>
      <c r="I162" s="59" t="n"/>
      <c r="J162" s="59" t="n"/>
      <c r="K162" s="59" t="n"/>
      <c r="L162" s="59" t="n"/>
      <c r="M162" s="59" t="n"/>
      <c r="N162" s="59" t="n"/>
      <c r="O162" s="59" t="n"/>
      <c r="P162" s="59" t="n"/>
      <c r="Q162" s="59" t="n"/>
      <c r="R162" s="59" t="n"/>
      <c r="S162" s="59" t="n"/>
      <c r="T162" s="59" t="n"/>
      <c r="U162" s="59" t="n"/>
      <c r="V162" s="59" t="n"/>
      <c r="W162" s="59" t="n"/>
      <c r="X162" s="59" t="n"/>
      <c r="Y162" s="59" t="n"/>
      <c r="Z162" s="59" t="n"/>
      <c r="AA162" s="59" t="n"/>
      <c r="AB162" s="59" t="n"/>
      <c r="AC162" s="59" t="n"/>
      <c r="AD162" s="59" t="n"/>
    </row>
    <row r="163">
      <c r="A163" s="59" t="n"/>
      <c r="B163" s="59" t="n"/>
      <c r="C163" s="59" t="n"/>
      <c r="D163" s="59" t="n"/>
      <c r="E163" s="59" t="n"/>
      <c r="F163" s="59" t="n"/>
      <c r="G163" s="60" t="n"/>
      <c r="H163" s="59" t="n"/>
      <c r="I163" s="59" t="n"/>
      <c r="J163" s="59" t="n"/>
      <c r="K163" s="59" t="n"/>
      <c r="L163" s="59" t="n"/>
      <c r="M163" s="59" t="n"/>
      <c r="N163" s="59" t="n"/>
      <c r="O163" s="59" t="n"/>
      <c r="P163" s="59" t="n"/>
      <c r="Q163" s="59" t="n"/>
      <c r="R163" s="59" t="n"/>
      <c r="S163" s="59" t="n"/>
      <c r="T163" s="59" t="n"/>
      <c r="U163" s="59" t="n"/>
      <c r="V163" s="59" t="n"/>
      <c r="W163" s="59" t="n"/>
      <c r="X163" s="59" t="n"/>
      <c r="Y163" s="59" t="n"/>
      <c r="Z163" s="59" t="n"/>
      <c r="AA163" s="59" t="n"/>
      <c r="AB163" s="59" t="n"/>
      <c r="AC163" s="59" t="n"/>
      <c r="AD163" s="59" t="n"/>
    </row>
    <row r="164">
      <c r="A164" s="59" t="n"/>
      <c r="B164" s="59" t="n"/>
      <c r="C164" s="59" t="n"/>
      <c r="D164" s="59" t="n"/>
      <c r="E164" s="59" t="n"/>
      <c r="F164" s="59" t="n"/>
      <c r="G164" s="60" t="n"/>
      <c r="H164" s="59" t="n"/>
      <c r="I164" s="59" t="n"/>
      <c r="J164" s="59" t="n"/>
      <c r="K164" s="59" t="n"/>
      <c r="L164" s="59" t="n"/>
      <c r="M164" s="59" t="n"/>
      <c r="N164" s="59" t="n"/>
      <c r="O164" s="59" t="n"/>
      <c r="P164" s="59" t="n"/>
      <c r="Q164" s="59" t="n"/>
      <c r="R164" s="59" t="n"/>
      <c r="S164" s="59" t="n"/>
      <c r="T164" s="59" t="n"/>
      <c r="U164" s="59" t="n"/>
      <c r="V164" s="59" t="n"/>
      <c r="W164" s="59" t="n"/>
      <c r="X164" s="59" t="n"/>
      <c r="Y164" s="59" t="n"/>
      <c r="Z164" s="59" t="n"/>
      <c r="AA164" s="59" t="n"/>
      <c r="AB164" s="59" t="n"/>
      <c r="AC164" s="59" t="n"/>
      <c r="AD164" s="59" t="n"/>
    </row>
    <row r="165">
      <c r="A165" s="59" t="n"/>
      <c r="B165" s="59" t="n"/>
      <c r="C165" s="59" t="n"/>
      <c r="D165" s="59" t="n"/>
      <c r="E165" s="59" t="n"/>
      <c r="F165" s="59" t="n"/>
      <c r="G165" s="60" t="n"/>
      <c r="H165" s="59" t="n"/>
      <c r="I165" s="59" t="n"/>
      <c r="J165" s="59" t="n"/>
      <c r="K165" s="59" t="n"/>
      <c r="L165" s="59" t="n"/>
      <c r="M165" s="59" t="n"/>
      <c r="N165" s="59" t="n"/>
      <c r="O165" s="59" t="n"/>
      <c r="P165" s="59" t="n"/>
      <c r="Q165" s="59" t="n"/>
      <c r="R165" s="59" t="n"/>
      <c r="S165" s="59" t="n"/>
      <c r="T165" s="59" t="n"/>
      <c r="U165" s="59" t="n"/>
      <c r="V165" s="59" t="n"/>
      <c r="W165" s="59" t="n"/>
      <c r="X165" s="59" t="n"/>
      <c r="Y165" s="59" t="n"/>
      <c r="Z165" s="59" t="n"/>
      <c r="AA165" s="59" t="n"/>
      <c r="AB165" s="59" t="n"/>
      <c r="AC165" s="59" t="n"/>
      <c r="AD165" s="59" t="n"/>
    </row>
    <row r="166">
      <c r="A166" s="59" t="n"/>
      <c r="B166" s="59" t="n"/>
      <c r="C166" s="59" t="n"/>
      <c r="D166" s="59" t="n"/>
      <c r="E166" s="59" t="n"/>
      <c r="F166" s="59" t="n"/>
      <c r="G166" s="60" t="n"/>
      <c r="H166" s="59" t="n"/>
      <c r="I166" s="59" t="n"/>
      <c r="J166" s="59" t="n"/>
      <c r="K166" s="59" t="n"/>
      <c r="L166" s="59" t="n"/>
      <c r="M166" s="59" t="n"/>
      <c r="N166" s="59" t="n"/>
      <c r="O166" s="59" t="n"/>
      <c r="P166" s="59" t="n"/>
      <c r="Q166" s="59" t="n"/>
      <c r="R166" s="59" t="n"/>
      <c r="S166" s="59" t="n"/>
      <c r="T166" s="59" t="n"/>
      <c r="U166" s="59" t="n"/>
      <c r="V166" s="59" t="n"/>
      <c r="W166" s="59" t="n"/>
      <c r="X166" s="59" t="n"/>
      <c r="Y166" s="59" t="n"/>
      <c r="Z166" s="59" t="n"/>
      <c r="AA166" s="59" t="n"/>
      <c r="AB166" s="59" t="n"/>
      <c r="AC166" s="59" t="n"/>
      <c r="AD166" s="59" t="n"/>
    </row>
    <row r="167">
      <c r="A167" s="59" t="n"/>
      <c r="B167" s="59" t="n"/>
      <c r="C167" s="59" t="n"/>
      <c r="D167" s="59" t="n"/>
      <c r="E167" s="59" t="n"/>
      <c r="F167" s="59" t="n"/>
      <c r="G167" s="60" t="n"/>
      <c r="H167" s="59" t="n"/>
      <c r="I167" s="59" t="n"/>
      <c r="J167" s="59" t="n"/>
      <c r="K167" s="59" t="n"/>
      <c r="L167" s="59" t="n"/>
      <c r="M167" s="59" t="n"/>
      <c r="N167" s="59" t="n"/>
      <c r="O167" s="59" t="n"/>
      <c r="P167" s="59" t="n"/>
      <c r="Q167" s="59" t="n"/>
      <c r="R167" s="59" t="n"/>
      <c r="S167" s="59" t="n"/>
      <c r="T167" s="59" t="n"/>
      <c r="U167" s="59" t="n"/>
      <c r="V167" s="59" t="n"/>
      <c r="W167" s="59" t="n"/>
      <c r="X167" s="59" t="n"/>
      <c r="Y167" s="59" t="n"/>
      <c r="Z167" s="59" t="n"/>
      <c r="AA167" s="59" t="n"/>
      <c r="AB167" s="59" t="n"/>
      <c r="AC167" s="59" t="n"/>
      <c r="AD167" s="59" t="n"/>
    </row>
    <row r="168">
      <c r="A168" s="59" t="n"/>
      <c r="B168" s="59" t="n"/>
      <c r="C168" s="59" t="n"/>
      <c r="D168" s="59" t="n"/>
      <c r="E168" s="59" t="n"/>
      <c r="F168" s="59" t="n"/>
      <c r="G168" s="60" t="n"/>
      <c r="H168" s="59" t="n"/>
      <c r="I168" s="59" t="n"/>
      <c r="J168" s="59" t="n"/>
      <c r="K168" s="59" t="n"/>
      <c r="L168" s="59" t="n"/>
      <c r="M168" s="59" t="n"/>
      <c r="N168" s="59" t="n"/>
      <c r="O168" s="59" t="n"/>
      <c r="P168" s="59" t="n"/>
      <c r="Q168" s="59" t="n"/>
      <c r="R168" s="59" t="n"/>
      <c r="S168" s="59" t="n"/>
      <c r="T168" s="59" t="n"/>
      <c r="U168" s="59" t="n"/>
      <c r="V168" s="59" t="n"/>
      <c r="W168" s="59" t="n"/>
      <c r="X168" s="59" t="n"/>
      <c r="Y168" s="59" t="n"/>
      <c r="Z168" s="59" t="n"/>
      <c r="AA168" s="59" t="n"/>
      <c r="AB168" s="59" t="n"/>
      <c r="AC168" s="59" t="n"/>
      <c r="AD168" s="59" t="n"/>
    </row>
    <row r="169">
      <c r="A169" s="59" t="n"/>
      <c r="B169" s="59" t="n"/>
      <c r="C169" s="59" t="n"/>
      <c r="D169" s="59" t="n"/>
      <c r="E169" s="59" t="n"/>
      <c r="F169" s="59" t="n"/>
      <c r="G169" s="60" t="n"/>
      <c r="H169" s="59" t="n"/>
      <c r="I169" s="59" t="n"/>
      <c r="J169" s="59" t="n"/>
      <c r="K169" s="59" t="n"/>
      <c r="L169" s="59" t="n"/>
      <c r="M169" s="59" t="n"/>
      <c r="N169" s="59" t="n"/>
      <c r="O169" s="59" t="n"/>
      <c r="P169" s="59" t="n"/>
      <c r="Q169" s="59" t="n"/>
      <c r="R169" s="59" t="n"/>
      <c r="S169" s="59" t="n"/>
      <c r="T169" s="59" t="n"/>
      <c r="U169" s="59" t="n"/>
      <c r="V169" s="59" t="n"/>
      <c r="W169" s="59" t="n"/>
      <c r="X169" s="59" t="n"/>
      <c r="Y169" s="59" t="n"/>
      <c r="Z169" s="59" t="n"/>
      <c r="AA169" s="59" t="n"/>
      <c r="AB169" s="59" t="n"/>
      <c r="AC169" s="59" t="n"/>
      <c r="AD169" s="59" t="n"/>
    </row>
    <row r="170">
      <c r="A170" s="59" t="n"/>
      <c r="B170" s="59" t="n"/>
      <c r="C170" s="59" t="n"/>
      <c r="D170" s="59" t="n"/>
      <c r="E170" s="59" t="n"/>
      <c r="F170" s="59" t="n"/>
      <c r="G170" s="60" t="n"/>
      <c r="H170" s="59" t="n"/>
      <c r="I170" s="59" t="n"/>
      <c r="J170" s="59" t="n"/>
      <c r="K170" s="59" t="n"/>
      <c r="L170" s="59" t="n"/>
      <c r="M170" s="59" t="n"/>
      <c r="N170" s="59" t="n"/>
      <c r="O170" s="59" t="n"/>
      <c r="P170" s="59" t="n"/>
      <c r="Q170" s="59" t="n"/>
      <c r="R170" s="59" t="n"/>
      <c r="S170" s="59" t="n"/>
      <c r="T170" s="59" t="n"/>
      <c r="U170" s="59" t="n"/>
      <c r="V170" s="59" t="n"/>
      <c r="W170" s="59" t="n"/>
      <c r="X170" s="59" t="n"/>
      <c r="Y170" s="59" t="n"/>
      <c r="Z170" s="59" t="n"/>
      <c r="AA170" s="59" t="n"/>
      <c r="AB170" s="59" t="n"/>
      <c r="AC170" s="59" t="n"/>
      <c r="AD170" s="59" t="n"/>
    </row>
    <row r="171">
      <c r="A171" s="59" t="n"/>
      <c r="B171" s="59" t="n"/>
      <c r="C171" s="59" t="n"/>
      <c r="D171" s="59" t="n"/>
      <c r="E171" s="59" t="n"/>
      <c r="F171" s="59" t="n"/>
      <c r="G171" s="60" t="n"/>
      <c r="H171" s="59" t="n"/>
      <c r="I171" s="59" t="n"/>
      <c r="J171" s="59" t="n"/>
      <c r="K171" s="59" t="n"/>
      <c r="L171" s="59" t="n"/>
      <c r="M171" s="59" t="n"/>
      <c r="N171" s="59" t="n"/>
      <c r="O171" s="59" t="n"/>
      <c r="P171" s="59" t="n"/>
      <c r="Q171" s="59" t="n"/>
      <c r="R171" s="59" t="n"/>
      <c r="S171" s="59" t="n"/>
      <c r="T171" s="59" t="n"/>
      <c r="U171" s="59" t="n"/>
      <c r="V171" s="59" t="n"/>
      <c r="W171" s="59" t="n"/>
      <c r="X171" s="59" t="n"/>
      <c r="Y171" s="59" t="n"/>
      <c r="Z171" s="59" t="n"/>
      <c r="AA171" s="59" t="n"/>
      <c r="AB171" s="59" t="n"/>
      <c r="AC171" s="59" t="n"/>
      <c r="AD171" s="59" t="n"/>
    </row>
    <row r="172">
      <c r="A172" s="59" t="n"/>
      <c r="B172" s="59" t="n"/>
      <c r="C172" s="59" t="n"/>
      <c r="D172" s="59" t="n"/>
      <c r="E172" s="59" t="n"/>
      <c r="F172" s="59" t="n"/>
      <c r="G172" s="60" t="n"/>
      <c r="H172" s="59" t="n"/>
      <c r="I172" s="59" t="n"/>
      <c r="J172" s="59" t="n"/>
      <c r="K172" s="59" t="n"/>
      <c r="L172" s="59" t="n"/>
      <c r="M172" s="59" t="n"/>
      <c r="N172" s="59" t="n"/>
      <c r="O172" s="59" t="n"/>
      <c r="P172" s="59" t="n"/>
      <c r="Q172" s="59" t="n"/>
      <c r="R172" s="59" t="n"/>
      <c r="S172" s="59" t="n"/>
      <c r="T172" s="59" t="n"/>
      <c r="U172" s="59" t="n"/>
      <c r="V172" s="59" t="n"/>
      <c r="W172" s="59" t="n"/>
      <c r="X172" s="59" t="n"/>
      <c r="Y172" s="59" t="n"/>
      <c r="Z172" s="59" t="n"/>
      <c r="AA172" s="59" t="n"/>
      <c r="AB172" s="59" t="n"/>
      <c r="AC172" s="59" t="n"/>
      <c r="AD172" s="59" t="n"/>
    </row>
    <row r="173">
      <c r="A173" s="59" t="n"/>
      <c r="B173" s="59" t="n"/>
      <c r="C173" s="59" t="n"/>
      <c r="D173" s="59" t="n"/>
      <c r="E173" s="59" t="n"/>
      <c r="F173" s="59" t="n"/>
      <c r="G173" s="60" t="n"/>
      <c r="H173" s="59" t="n"/>
      <c r="I173" s="59" t="n"/>
      <c r="J173" s="59" t="n"/>
      <c r="K173" s="59" t="n"/>
      <c r="L173" s="59" t="n"/>
      <c r="M173" s="59" t="n"/>
      <c r="N173" s="59" t="n"/>
      <c r="O173" s="59" t="n"/>
      <c r="P173" s="59" t="n"/>
      <c r="Q173" s="59" t="n"/>
      <c r="R173" s="59" t="n"/>
      <c r="S173" s="59" t="n"/>
      <c r="T173" s="59" t="n"/>
      <c r="U173" s="59" t="n"/>
      <c r="V173" s="59" t="n"/>
      <c r="W173" s="59" t="n"/>
      <c r="X173" s="59" t="n"/>
      <c r="Y173" s="59" t="n"/>
      <c r="Z173" s="59" t="n"/>
      <c r="AA173" s="59" t="n"/>
      <c r="AB173" s="59" t="n"/>
      <c r="AC173" s="59" t="n"/>
      <c r="AD173" s="59" t="n"/>
    </row>
    <row r="174">
      <c r="A174" s="59" t="n"/>
      <c r="B174" s="59" t="n"/>
      <c r="C174" s="59" t="n"/>
      <c r="D174" s="59" t="n"/>
      <c r="E174" s="59" t="n"/>
      <c r="F174" s="59" t="n"/>
      <c r="G174" s="60" t="n"/>
      <c r="H174" s="59" t="n"/>
      <c r="I174" s="59" t="n"/>
      <c r="J174" s="59" t="n"/>
      <c r="K174" s="59" t="n"/>
      <c r="L174" s="59" t="n"/>
      <c r="M174" s="59" t="n"/>
      <c r="N174" s="59" t="n"/>
      <c r="O174" s="59" t="n"/>
      <c r="P174" s="59" t="n"/>
      <c r="Q174" s="59" t="n"/>
      <c r="R174" s="59" t="n"/>
      <c r="S174" s="59" t="n"/>
      <c r="T174" s="59" t="n"/>
      <c r="U174" s="59" t="n"/>
      <c r="V174" s="59" t="n"/>
      <c r="W174" s="59" t="n"/>
      <c r="X174" s="59" t="n"/>
      <c r="Y174" s="59" t="n"/>
      <c r="Z174" s="59" t="n"/>
      <c r="AA174" s="59" t="n"/>
      <c r="AB174" s="59" t="n"/>
      <c r="AC174" s="59" t="n"/>
      <c r="AD174" s="59" t="n"/>
    </row>
    <row r="175">
      <c r="A175" s="59" t="n"/>
      <c r="B175" s="59" t="n"/>
      <c r="C175" s="59" t="n"/>
      <c r="D175" s="59" t="n"/>
      <c r="E175" s="59" t="n"/>
      <c r="F175" s="59" t="n"/>
      <c r="G175" s="60" t="n"/>
      <c r="H175" s="59" t="n"/>
      <c r="I175" s="59" t="n"/>
      <c r="J175" s="59" t="n"/>
      <c r="K175" s="59" t="n"/>
      <c r="L175" s="59" t="n"/>
      <c r="M175" s="59" t="n"/>
      <c r="N175" s="59" t="n"/>
      <c r="O175" s="59" t="n"/>
      <c r="P175" s="59" t="n"/>
      <c r="Q175" s="59" t="n"/>
      <c r="R175" s="59" t="n"/>
      <c r="S175" s="59" t="n"/>
      <c r="T175" s="59" t="n"/>
      <c r="U175" s="59" t="n"/>
      <c r="V175" s="59" t="n"/>
      <c r="W175" s="59" t="n"/>
      <c r="X175" s="59" t="n"/>
      <c r="Y175" s="59" t="n"/>
      <c r="Z175" s="59" t="n"/>
      <c r="AA175" s="59" t="n"/>
      <c r="AB175" s="59" t="n"/>
      <c r="AC175" s="59" t="n"/>
      <c r="AD175" s="59" t="n"/>
    </row>
    <row r="176">
      <c r="A176" s="59" t="n"/>
      <c r="B176" s="59" t="n"/>
      <c r="C176" s="59" t="n"/>
      <c r="D176" s="59" t="n"/>
      <c r="E176" s="59" t="n"/>
      <c r="F176" s="59" t="n"/>
      <c r="G176" s="60" t="n"/>
      <c r="H176" s="59" t="n"/>
      <c r="I176" s="59" t="n"/>
      <c r="J176" s="59" t="n"/>
      <c r="K176" s="59" t="n"/>
      <c r="L176" s="59" t="n"/>
      <c r="M176" s="59" t="n"/>
      <c r="N176" s="59" t="n"/>
      <c r="O176" s="59" t="n"/>
      <c r="P176" s="59" t="n"/>
      <c r="Q176" s="59" t="n"/>
      <c r="R176" s="59" t="n"/>
      <c r="S176" s="59" t="n"/>
      <c r="T176" s="59" t="n"/>
      <c r="U176" s="59" t="n"/>
      <c r="V176" s="59" t="n"/>
      <c r="W176" s="59" t="n"/>
      <c r="X176" s="59" t="n"/>
      <c r="Y176" s="59" t="n"/>
      <c r="Z176" s="59" t="n"/>
      <c r="AA176" s="59" t="n"/>
      <c r="AB176" s="59" t="n"/>
      <c r="AC176" s="59" t="n"/>
      <c r="AD176" s="59" t="n"/>
    </row>
    <row r="177">
      <c r="A177" s="59" t="n"/>
      <c r="B177" s="59" t="n"/>
      <c r="C177" s="59" t="n"/>
      <c r="D177" s="59" t="n"/>
      <c r="E177" s="59" t="n"/>
      <c r="F177" s="59" t="n"/>
      <c r="G177" s="60" t="n"/>
      <c r="H177" s="59" t="n"/>
      <c r="I177" s="59" t="n"/>
      <c r="J177" s="59" t="n"/>
      <c r="K177" s="59" t="n"/>
      <c r="L177" s="59" t="n"/>
      <c r="M177" s="59" t="n"/>
      <c r="N177" s="59" t="n"/>
      <c r="O177" s="59" t="n"/>
      <c r="P177" s="59" t="n"/>
      <c r="Q177" s="59" t="n"/>
      <c r="R177" s="59" t="n"/>
      <c r="S177" s="59" t="n"/>
      <c r="T177" s="59" t="n"/>
      <c r="U177" s="59" t="n"/>
      <c r="V177" s="59" t="n"/>
      <c r="W177" s="59" t="n"/>
      <c r="X177" s="59" t="n"/>
      <c r="Y177" s="59" t="n"/>
      <c r="Z177" s="59" t="n"/>
      <c r="AA177" s="59" t="n"/>
      <c r="AB177" s="59" t="n"/>
      <c r="AC177" s="59" t="n"/>
      <c r="AD177" s="59" t="n"/>
    </row>
    <row r="178">
      <c r="A178" s="59" t="n"/>
      <c r="B178" s="59" t="n"/>
      <c r="C178" s="59" t="n"/>
      <c r="D178" s="59" t="n"/>
      <c r="E178" s="59" t="n"/>
      <c r="F178" s="59" t="n"/>
      <c r="G178" s="60" t="n"/>
      <c r="H178" s="59" t="n"/>
      <c r="I178" s="59" t="n"/>
      <c r="J178" s="59" t="n"/>
      <c r="K178" s="59" t="n"/>
      <c r="L178" s="59" t="n"/>
      <c r="M178" s="59" t="n"/>
      <c r="N178" s="59" t="n"/>
      <c r="O178" s="59" t="n"/>
      <c r="P178" s="59" t="n"/>
      <c r="Q178" s="59" t="n"/>
      <c r="R178" s="59" t="n"/>
      <c r="S178" s="59" t="n"/>
      <c r="T178" s="59" t="n"/>
      <c r="U178" s="59" t="n"/>
      <c r="V178" s="59" t="n"/>
      <c r="W178" s="59" t="n"/>
      <c r="X178" s="59" t="n"/>
      <c r="Y178" s="59" t="n"/>
      <c r="Z178" s="59" t="n"/>
      <c r="AA178" s="59" t="n"/>
      <c r="AB178" s="59" t="n"/>
      <c r="AC178" s="59" t="n"/>
      <c r="AD178" s="59" t="n"/>
    </row>
    <row r="179">
      <c r="A179" s="59" t="n"/>
      <c r="B179" s="59" t="n"/>
      <c r="C179" s="59" t="n"/>
      <c r="D179" s="59" t="n"/>
      <c r="E179" s="59" t="n"/>
      <c r="F179" s="59" t="n"/>
      <c r="G179" s="60" t="n"/>
      <c r="H179" s="59" t="n"/>
      <c r="I179" s="59" t="n"/>
      <c r="J179" s="59" t="n"/>
      <c r="K179" s="59" t="n"/>
      <c r="L179" s="59" t="n"/>
      <c r="M179" s="59" t="n"/>
      <c r="N179" s="59" t="n"/>
      <c r="O179" s="59" t="n"/>
      <c r="P179" s="59" t="n"/>
      <c r="Q179" s="59" t="n"/>
      <c r="R179" s="59" t="n"/>
      <c r="S179" s="59" t="n"/>
      <c r="T179" s="59" t="n"/>
      <c r="U179" s="59" t="n"/>
      <c r="V179" s="59" t="n"/>
      <c r="W179" s="59" t="n"/>
      <c r="X179" s="59" t="n"/>
      <c r="Y179" s="59" t="n"/>
      <c r="Z179" s="59" t="n"/>
      <c r="AA179" s="59" t="n"/>
      <c r="AB179" s="59" t="n"/>
      <c r="AC179" s="59" t="n"/>
      <c r="AD179" s="59" t="n"/>
    </row>
    <row r="180">
      <c r="A180" s="59" t="n"/>
      <c r="B180" s="59" t="n"/>
      <c r="C180" s="59" t="n"/>
      <c r="D180" s="59" t="n"/>
      <c r="E180" s="59" t="n"/>
      <c r="F180" s="59" t="n"/>
      <c r="G180" s="60" t="n"/>
      <c r="H180" s="59" t="n"/>
      <c r="I180" s="59" t="n"/>
      <c r="J180" s="59" t="n"/>
      <c r="K180" s="59" t="n"/>
      <c r="L180" s="59" t="n"/>
      <c r="M180" s="59" t="n"/>
      <c r="N180" s="59" t="n"/>
      <c r="O180" s="59" t="n"/>
      <c r="P180" s="59" t="n"/>
      <c r="Q180" s="59" t="n"/>
      <c r="R180" s="59" t="n"/>
      <c r="S180" s="59" t="n"/>
      <c r="T180" s="59" t="n"/>
      <c r="U180" s="59" t="n"/>
      <c r="V180" s="59" t="n"/>
      <c r="W180" s="59" t="n"/>
      <c r="X180" s="59" t="n"/>
      <c r="Y180" s="59" t="n"/>
      <c r="Z180" s="59" t="n"/>
      <c r="AA180" s="59" t="n"/>
      <c r="AB180" s="59" t="n"/>
      <c r="AC180" s="59" t="n"/>
      <c r="AD180" s="59" t="n"/>
    </row>
    <row r="181">
      <c r="A181" s="59" t="n"/>
      <c r="B181" s="59" t="n"/>
      <c r="C181" s="59" t="n"/>
      <c r="D181" s="59" t="n"/>
      <c r="E181" s="59" t="n"/>
      <c r="F181" s="59" t="n"/>
      <c r="G181" s="60" t="n"/>
      <c r="H181" s="59" t="n"/>
      <c r="I181" s="59" t="n"/>
      <c r="J181" s="59" t="n"/>
      <c r="K181" s="59" t="n"/>
      <c r="L181" s="59" t="n"/>
      <c r="M181" s="59" t="n"/>
      <c r="N181" s="59" t="n"/>
      <c r="O181" s="59" t="n"/>
      <c r="P181" s="59" t="n"/>
      <c r="Q181" s="59" t="n"/>
      <c r="R181" s="59" t="n"/>
      <c r="S181" s="59" t="n"/>
      <c r="T181" s="59" t="n"/>
      <c r="U181" s="59" t="n"/>
      <c r="V181" s="59" t="n"/>
      <c r="W181" s="59" t="n"/>
      <c r="X181" s="59" t="n"/>
      <c r="Y181" s="59" t="n"/>
      <c r="Z181" s="59" t="n"/>
      <c r="AA181" s="59" t="n"/>
      <c r="AB181" s="59" t="n"/>
      <c r="AC181" s="59" t="n"/>
      <c r="AD181" s="59" t="n"/>
    </row>
    <row r="182">
      <c r="A182" s="59" t="n"/>
      <c r="B182" s="59" t="n"/>
      <c r="C182" s="59" t="n"/>
      <c r="D182" s="59" t="n"/>
      <c r="E182" s="59" t="n"/>
      <c r="F182" s="59" t="n"/>
      <c r="G182" s="60" t="n"/>
      <c r="H182" s="59" t="n"/>
      <c r="I182" s="59" t="n"/>
      <c r="J182" s="59" t="n"/>
      <c r="K182" s="59" t="n"/>
      <c r="L182" s="59" t="n"/>
      <c r="M182" s="59" t="n"/>
      <c r="N182" s="59" t="n"/>
      <c r="O182" s="59" t="n"/>
      <c r="P182" s="59" t="n"/>
      <c r="Q182" s="59" t="n"/>
      <c r="R182" s="59" t="n"/>
      <c r="S182" s="59" t="n"/>
      <c r="T182" s="59" t="n"/>
      <c r="U182" s="59" t="n"/>
      <c r="V182" s="59" t="n"/>
      <c r="W182" s="59" t="n"/>
      <c r="X182" s="59" t="n"/>
      <c r="Y182" s="59" t="n"/>
      <c r="Z182" s="59" t="n"/>
      <c r="AA182" s="59" t="n"/>
      <c r="AB182" s="59" t="n"/>
      <c r="AC182" s="59" t="n"/>
      <c r="AD182" s="59" t="n"/>
    </row>
    <row r="183">
      <c r="A183" s="59" t="n"/>
      <c r="B183" s="59" t="n"/>
      <c r="C183" s="59" t="n"/>
      <c r="D183" s="59" t="n"/>
      <c r="E183" s="59" t="n"/>
      <c r="F183" s="59" t="n"/>
      <c r="G183" s="60" t="n"/>
      <c r="H183" s="59" t="n"/>
      <c r="I183" s="59" t="n"/>
      <c r="J183" s="59" t="n"/>
      <c r="K183" s="59" t="n"/>
      <c r="L183" s="59" t="n"/>
      <c r="M183" s="59" t="n"/>
      <c r="N183" s="59" t="n"/>
      <c r="O183" s="59" t="n"/>
      <c r="P183" s="59" t="n"/>
      <c r="Q183" s="59" t="n"/>
      <c r="R183" s="59" t="n"/>
      <c r="S183" s="59" t="n"/>
      <c r="T183" s="59" t="n"/>
      <c r="U183" s="59" t="n"/>
      <c r="V183" s="59" t="n"/>
      <c r="W183" s="59" t="n"/>
      <c r="X183" s="59" t="n"/>
      <c r="Y183" s="59" t="n"/>
      <c r="Z183" s="59" t="n"/>
      <c r="AA183" s="59" t="n"/>
      <c r="AB183" s="59" t="n"/>
      <c r="AC183" s="59" t="n"/>
      <c r="AD183" s="59" t="n"/>
    </row>
    <row r="184">
      <c r="A184" s="59" t="n"/>
      <c r="B184" s="59" t="n"/>
      <c r="C184" s="59" t="n"/>
      <c r="D184" s="59" t="n"/>
      <c r="E184" s="59" t="n"/>
      <c r="F184" s="59" t="n"/>
      <c r="G184" s="60" t="n"/>
      <c r="H184" s="59" t="n"/>
      <c r="I184" s="59" t="n"/>
      <c r="J184" s="59" t="n"/>
      <c r="K184" s="59" t="n"/>
      <c r="L184" s="59" t="n"/>
      <c r="M184" s="59" t="n"/>
      <c r="N184" s="59" t="n"/>
      <c r="O184" s="59" t="n"/>
      <c r="P184" s="59" t="n"/>
      <c r="Q184" s="59" t="n"/>
      <c r="R184" s="59" t="n"/>
      <c r="S184" s="59" t="n"/>
      <c r="T184" s="59" t="n"/>
      <c r="U184" s="59" t="n"/>
      <c r="V184" s="59" t="n"/>
      <c r="W184" s="59" t="n"/>
      <c r="X184" s="59" t="n"/>
      <c r="Y184" s="59" t="n"/>
      <c r="Z184" s="59" t="n"/>
      <c r="AA184" s="59" t="n"/>
      <c r="AB184" s="59" t="n"/>
      <c r="AC184" s="59" t="n"/>
      <c r="AD184" s="59" t="n"/>
    </row>
    <row r="185">
      <c r="A185" s="59" t="n"/>
      <c r="B185" s="59" t="n"/>
      <c r="C185" s="59" t="n"/>
      <c r="D185" s="59" t="n"/>
      <c r="E185" s="59" t="n"/>
      <c r="F185" s="59" t="n"/>
      <c r="G185" s="60" t="n"/>
      <c r="H185" s="59" t="n"/>
      <c r="I185" s="59" t="n"/>
      <c r="J185" s="59" t="n"/>
      <c r="K185" s="59" t="n"/>
      <c r="L185" s="59" t="n"/>
      <c r="M185" s="59" t="n"/>
      <c r="N185" s="59" t="n"/>
      <c r="O185" s="59" t="n"/>
      <c r="P185" s="59" t="n"/>
      <c r="Q185" s="59" t="n"/>
      <c r="R185" s="59" t="n"/>
      <c r="S185" s="59" t="n"/>
      <c r="T185" s="59" t="n"/>
      <c r="U185" s="59" t="n"/>
      <c r="V185" s="59" t="n"/>
      <c r="W185" s="59" t="n"/>
      <c r="X185" s="59" t="n"/>
      <c r="Y185" s="59" t="n"/>
      <c r="Z185" s="59" t="n"/>
      <c r="AA185" s="59" t="n"/>
      <c r="AB185" s="59" t="n"/>
      <c r="AC185" s="59" t="n"/>
      <c r="AD185" s="59" t="n"/>
    </row>
    <row r="186">
      <c r="A186" s="59" t="n"/>
      <c r="B186" s="59" t="n"/>
      <c r="C186" s="59" t="n"/>
      <c r="D186" s="59" t="n"/>
      <c r="E186" s="59" t="n"/>
      <c r="F186" s="59" t="n"/>
      <c r="G186" s="60" t="n"/>
      <c r="H186" s="59" t="n"/>
      <c r="I186" s="59" t="n"/>
      <c r="J186" s="59" t="n"/>
      <c r="K186" s="59" t="n"/>
      <c r="L186" s="59" t="n"/>
      <c r="M186" s="59" t="n"/>
      <c r="N186" s="59" t="n"/>
      <c r="O186" s="59" t="n"/>
      <c r="P186" s="59" t="n"/>
      <c r="Q186" s="59" t="n"/>
      <c r="R186" s="59" t="n"/>
      <c r="S186" s="59" t="n"/>
      <c r="T186" s="59" t="n"/>
      <c r="U186" s="59" t="n"/>
      <c r="V186" s="59" t="n"/>
      <c r="W186" s="59" t="n"/>
      <c r="X186" s="59" t="n"/>
      <c r="Y186" s="59" t="n"/>
      <c r="Z186" s="59" t="n"/>
      <c r="AA186" s="59" t="n"/>
      <c r="AB186" s="59" t="n"/>
      <c r="AC186" s="59" t="n"/>
      <c r="AD186" s="59" t="n"/>
    </row>
    <row r="187">
      <c r="A187" s="59" t="n"/>
      <c r="B187" s="59" t="n"/>
      <c r="C187" s="59" t="n"/>
      <c r="D187" s="59" t="n"/>
      <c r="E187" s="59" t="n"/>
      <c r="F187" s="59" t="n"/>
      <c r="G187" s="60" t="n"/>
      <c r="H187" s="59" t="n"/>
      <c r="I187" s="59" t="n"/>
      <c r="J187" s="59" t="n"/>
      <c r="K187" s="59" t="n"/>
      <c r="L187" s="59" t="n"/>
      <c r="M187" s="59" t="n"/>
      <c r="N187" s="59" t="n"/>
      <c r="O187" s="59" t="n"/>
      <c r="P187" s="59" t="n"/>
      <c r="Q187" s="59" t="n"/>
      <c r="R187" s="59" t="n"/>
      <c r="S187" s="59" t="n"/>
      <c r="T187" s="59" t="n"/>
      <c r="U187" s="59" t="n"/>
      <c r="V187" s="59" t="n"/>
      <c r="W187" s="59" t="n"/>
      <c r="X187" s="59" t="n"/>
      <c r="Y187" s="59" t="n"/>
      <c r="Z187" s="59" t="n"/>
      <c r="AA187" s="59" t="n"/>
      <c r="AB187" s="59" t="n"/>
      <c r="AC187" s="59" t="n"/>
      <c r="AD187" s="59" t="n"/>
    </row>
    <row r="188">
      <c r="A188" s="59" t="n"/>
      <c r="B188" s="59" t="n"/>
      <c r="C188" s="59" t="n"/>
      <c r="D188" s="59" t="n"/>
      <c r="E188" s="59" t="n"/>
      <c r="F188" s="59" t="n"/>
      <c r="G188" s="60" t="n"/>
      <c r="H188" s="59" t="n"/>
      <c r="I188" s="59" t="n"/>
      <c r="J188" s="59" t="n"/>
      <c r="K188" s="59" t="n"/>
      <c r="L188" s="59" t="n"/>
      <c r="M188" s="59" t="n"/>
      <c r="N188" s="59" t="n"/>
      <c r="O188" s="59" t="n"/>
      <c r="P188" s="59" t="n"/>
      <c r="Q188" s="59" t="n"/>
      <c r="R188" s="59" t="n"/>
      <c r="S188" s="59" t="n"/>
      <c r="T188" s="59" t="n"/>
      <c r="U188" s="59" t="n"/>
      <c r="V188" s="59" t="n"/>
      <c r="W188" s="59" t="n"/>
      <c r="X188" s="59" t="n"/>
      <c r="Y188" s="59" t="n"/>
      <c r="Z188" s="59" t="n"/>
      <c r="AA188" s="59" t="n"/>
      <c r="AB188" s="59" t="n"/>
      <c r="AC188" s="59" t="n"/>
      <c r="AD188" s="59" t="n"/>
    </row>
    <row r="189">
      <c r="A189" s="59" t="n"/>
      <c r="B189" s="59" t="n"/>
      <c r="C189" s="59" t="n"/>
      <c r="D189" s="59" t="n"/>
      <c r="E189" s="59" t="n"/>
      <c r="F189" s="59" t="n"/>
      <c r="G189" s="60" t="n"/>
      <c r="H189" s="59" t="n"/>
      <c r="I189" s="59" t="n"/>
      <c r="J189" s="59" t="n"/>
      <c r="K189" s="59" t="n"/>
      <c r="L189" s="59" t="n"/>
      <c r="M189" s="59" t="n"/>
      <c r="N189" s="59" t="n"/>
      <c r="O189" s="59" t="n"/>
      <c r="P189" s="59" t="n"/>
      <c r="Q189" s="59" t="n"/>
      <c r="R189" s="59" t="n"/>
      <c r="S189" s="59" t="n"/>
      <c r="T189" s="59" t="n"/>
      <c r="U189" s="59" t="n"/>
      <c r="V189" s="59" t="n"/>
      <c r="W189" s="59" t="n"/>
      <c r="X189" s="59" t="n"/>
      <c r="Y189" s="59" t="n"/>
      <c r="Z189" s="59" t="n"/>
      <c r="AA189" s="59" t="n"/>
      <c r="AB189" s="59" t="n"/>
      <c r="AC189" s="59" t="n"/>
      <c r="AD189" s="59" t="n"/>
    </row>
    <row r="190">
      <c r="A190" s="59" t="n"/>
      <c r="B190" s="59" t="n"/>
      <c r="C190" s="59" t="n"/>
      <c r="D190" s="59" t="n"/>
      <c r="E190" s="59" t="n"/>
      <c r="F190" s="59" t="n"/>
      <c r="G190" s="60" t="n"/>
      <c r="H190" s="59" t="n"/>
      <c r="I190" s="59" t="n"/>
      <c r="J190" s="59" t="n"/>
      <c r="K190" s="59" t="n"/>
      <c r="L190" s="59" t="n"/>
      <c r="M190" s="59" t="n"/>
      <c r="N190" s="59" t="n"/>
      <c r="O190" s="59" t="n"/>
      <c r="P190" s="59" t="n"/>
      <c r="Q190" s="59" t="n"/>
      <c r="R190" s="59" t="n"/>
      <c r="S190" s="59" t="n"/>
      <c r="T190" s="59" t="n"/>
      <c r="U190" s="59" t="n"/>
      <c r="V190" s="59" t="n"/>
      <c r="W190" s="59" t="n"/>
      <c r="X190" s="59" t="n"/>
      <c r="Y190" s="59" t="n"/>
      <c r="Z190" s="59" t="n"/>
      <c r="AA190" s="59" t="n"/>
      <c r="AB190" s="59" t="n"/>
      <c r="AC190" s="59" t="n"/>
      <c r="AD190" s="59" t="n"/>
    </row>
    <row r="191">
      <c r="A191" s="59" t="n"/>
      <c r="B191" s="59" t="n"/>
      <c r="C191" s="59" t="n"/>
      <c r="D191" s="59" t="n"/>
      <c r="E191" s="59" t="n"/>
      <c r="F191" s="59" t="n"/>
      <c r="G191" s="60" t="n"/>
      <c r="H191" s="59" t="n"/>
      <c r="I191" s="59" t="n"/>
      <c r="J191" s="59" t="n"/>
      <c r="K191" s="59" t="n"/>
      <c r="L191" s="59" t="n"/>
      <c r="M191" s="59" t="n"/>
      <c r="N191" s="59" t="n"/>
      <c r="O191" s="59" t="n"/>
      <c r="P191" s="59" t="n"/>
      <c r="Q191" s="59" t="n"/>
      <c r="R191" s="59" t="n"/>
      <c r="S191" s="59" t="n"/>
      <c r="T191" s="59" t="n"/>
      <c r="U191" s="59" t="n"/>
      <c r="V191" s="59" t="n"/>
      <c r="W191" s="59" t="n"/>
      <c r="X191" s="59" t="n"/>
      <c r="Y191" s="59" t="n"/>
      <c r="Z191" s="59" t="n"/>
      <c r="AA191" s="59" t="n"/>
      <c r="AB191" s="59" t="n"/>
      <c r="AC191" s="59" t="n"/>
      <c r="AD191" s="59" t="n"/>
    </row>
    <row r="192">
      <c r="A192" s="59" t="n"/>
      <c r="B192" s="59" t="n"/>
      <c r="C192" s="59" t="n"/>
      <c r="D192" s="59" t="n"/>
      <c r="E192" s="59" t="n"/>
      <c r="F192" s="59" t="n"/>
      <c r="G192" s="60" t="n"/>
      <c r="H192" s="59" t="n"/>
      <c r="I192" s="59" t="n"/>
      <c r="J192" s="59" t="n"/>
      <c r="K192" s="59" t="n"/>
      <c r="L192" s="59" t="n"/>
      <c r="M192" s="59" t="n"/>
      <c r="N192" s="59" t="n"/>
      <c r="O192" s="59" t="n"/>
      <c r="P192" s="59" t="n"/>
      <c r="Q192" s="59" t="n"/>
      <c r="R192" s="59" t="n"/>
      <c r="S192" s="59" t="n"/>
      <c r="T192" s="59" t="n"/>
      <c r="U192" s="59" t="n"/>
      <c r="V192" s="59" t="n"/>
      <c r="W192" s="59" t="n"/>
      <c r="X192" s="59" t="n"/>
      <c r="Y192" s="59" t="n"/>
      <c r="Z192" s="59" t="n"/>
      <c r="AA192" s="59" t="n"/>
      <c r="AB192" s="59" t="n"/>
      <c r="AC192" s="59" t="n"/>
      <c r="AD192" s="59" t="n"/>
    </row>
    <row r="193">
      <c r="A193" s="59" t="n"/>
      <c r="B193" s="59" t="n"/>
      <c r="C193" s="59" t="n"/>
      <c r="D193" s="59" t="n"/>
      <c r="E193" s="59" t="n"/>
      <c r="F193" s="59" t="n"/>
      <c r="G193" s="60" t="n"/>
      <c r="H193" s="59" t="n"/>
      <c r="I193" s="59" t="n"/>
      <c r="J193" s="59" t="n"/>
      <c r="K193" s="59" t="n"/>
      <c r="L193" s="59" t="n"/>
      <c r="M193" s="59" t="n"/>
      <c r="N193" s="59" t="n"/>
      <c r="O193" s="59" t="n"/>
      <c r="P193" s="59" t="n"/>
      <c r="Q193" s="59" t="n"/>
      <c r="R193" s="59" t="n"/>
      <c r="S193" s="59" t="n"/>
      <c r="T193" s="59" t="n"/>
      <c r="U193" s="59" t="n"/>
      <c r="V193" s="59" t="n"/>
      <c r="W193" s="59" t="n"/>
      <c r="X193" s="59" t="n"/>
      <c r="Y193" s="59" t="n"/>
      <c r="Z193" s="59" t="n"/>
      <c r="AA193" s="59" t="n"/>
      <c r="AB193" s="59" t="n"/>
      <c r="AC193" s="59" t="n"/>
      <c r="AD193" s="59" t="n"/>
    </row>
    <row r="194">
      <c r="A194" s="59" t="n"/>
      <c r="B194" s="59" t="n"/>
      <c r="C194" s="59" t="n"/>
      <c r="D194" s="59" t="n"/>
      <c r="E194" s="59" t="n"/>
      <c r="F194" s="59" t="n"/>
      <c r="G194" s="60" t="n"/>
      <c r="H194" s="59" t="n"/>
      <c r="I194" s="59" t="n"/>
      <c r="J194" s="59" t="n"/>
      <c r="K194" s="59" t="n"/>
      <c r="L194" s="59" t="n"/>
      <c r="M194" s="59" t="n"/>
      <c r="N194" s="59" t="n"/>
      <c r="O194" s="59" t="n"/>
      <c r="P194" s="59" t="n"/>
      <c r="Q194" s="59" t="n"/>
      <c r="R194" s="59" t="n"/>
      <c r="S194" s="59" t="n"/>
      <c r="T194" s="59" t="n"/>
      <c r="U194" s="59" t="n"/>
      <c r="V194" s="59" t="n"/>
      <c r="W194" s="59" t="n"/>
      <c r="X194" s="59" t="n"/>
      <c r="Y194" s="59" t="n"/>
      <c r="Z194" s="59" t="n"/>
      <c r="AA194" s="59" t="n"/>
      <c r="AB194" s="59" t="n"/>
      <c r="AC194" s="59" t="n"/>
      <c r="AD194" s="59" t="n"/>
    </row>
    <row r="195">
      <c r="A195" s="59" t="n"/>
      <c r="B195" s="59" t="n"/>
      <c r="C195" s="59" t="n"/>
      <c r="D195" s="59" t="n"/>
      <c r="E195" s="59" t="n"/>
      <c r="F195" s="59" t="n"/>
      <c r="G195" s="60" t="n"/>
      <c r="H195" s="59" t="n"/>
      <c r="I195" s="59" t="n"/>
      <c r="J195" s="59" t="n"/>
      <c r="K195" s="59" t="n"/>
      <c r="L195" s="59" t="n"/>
      <c r="M195" s="59" t="n"/>
      <c r="N195" s="59" t="n"/>
      <c r="O195" s="59" t="n"/>
      <c r="P195" s="59" t="n"/>
      <c r="Q195" s="59" t="n"/>
      <c r="R195" s="59" t="n"/>
      <c r="S195" s="59" t="n"/>
      <c r="T195" s="59" t="n"/>
      <c r="U195" s="59" t="n"/>
      <c r="V195" s="59" t="n"/>
      <c r="W195" s="59" t="n"/>
      <c r="X195" s="59" t="n"/>
      <c r="Y195" s="59" t="n"/>
      <c r="Z195" s="59" t="n"/>
      <c r="AA195" s="59" t="n"/>
      <c r="AB195" s="59" t="n"/>
      <c r="AC195" s="59" t="n"/>
      <c r="AD195" s="59" t="n"/>
    </row>
    <row r="196">
      <c r="A196" s="59" t="n"/>
      <c r="B196" s="59" t="n"/>
      <c r="C196" s="59" t="n"/>
      <c r="D196" s="59" t="n"/>
      <c r="E196" s="59" t="n"/>
      <c r="F196" s="59" t="n"/>
      <c r="G196" s="60" t="n"/>
      <c r="H196" s="59" t="n"/>
      <c r="I196" s="59" t="n"/>
      <c r="J196" s="59" t="n"/>
      <c r="K196" s="59" t="n"/>
      <c r="L196" s="59" t="n"/>
      <c r="M196" s="59" t="n"/>
      <c r="N196" s="59" t="n"/>
      <c r="O196" s="59" t="n"/>
      <c r="P196" s="59" t="n"/>
      <c r="Q196" s="59" t="n"/>
      <c r="R196" s="59" t="n"/>
      <c r="S196" s="59" t="n"/>
      <c r="T196" s="59" t="n"/>
      <c r="U196" s="59" t="n"/>
      <c r="V196" s="59" t="n"/>
      <c r="W196" s="59" t="n"/>
      <c r="X196" s="59" t="n"/>
      <c r="Y196" s="59" t="n"/>
      <c r="Z196" s="59" t="n"/>
      <c r="AA196" s="59" t="n"/>
      <c r="AB196" s="59" t="n"/>
      <c r="AC196" s="59" t="n"/>
      <c r="AD196" s="59" t="n"/>
    </row>
    <row r="197">
      <c r="A197" s="59" t="n"/>
      <c r="B197" s="59" t="n"/>
      <c r="C197" s="59" t="n"/>
      <c r="D197" s="59" t="n"/>
      <c r="E197" s="59" t="n"/>
      <c r="F197" s="59" t="n"/>
      <c r="G197" s="60" t="n"/>
      <c r="H197" s="59" t="n"/>
      <c r="I197" s="59" t="n"/>
      <c r="J197" s="59" t="n"/>
      <c r="K197" s="59" t="n"/>
      <c r="L197" s="59" t="n"/>
      <c r="M197" s="59" t="n"/>
      <c r="N197" s="59" t="n"/>
      <c r="O197" s="59" t="n"/>
      <c r="P197" s="59" t="n"/>
      <c r="Q197" s="59" t="n"/>
      <c r="R197" s="59" t="n"/>
      <c r="S197" s="59" t="n"/>
      <c r="T197" s="59" t="n"/>
      <c r="U197" s="59" t="n"/>
      <c r="V197" s="59" t="n"/>
      <c r="W197" s="59" t="n"/>
      <c r="X197" s="59" t="n"/>
      <c r="Y197" s="59" t="n"/>
      <c r="Z197" s="59" t="n"/>
      <c r="AA197" s="59" t="n"/>
      <c r="AB197" s="59" t="n"/>
      <c r="AC197" s="59" t="n"/>
      <c r="AD197" s="59" t="n"/>
    </row>
    <row r="198">
      <c r="A198" s="59" t="n"/>
      <c r="B198" s="59" t="n"/>
      <c r="C198" s="59" t="n"/>
      <c r="D198" s="59" t="n"/>
      <c r="E198" s="59" t="n"/>
      <c r="F198" s="59" t="n"/>
      <c r="G198" s="60" t="n"/>
      <c r="H198" s="59" t="n"/>
      <c r="I198" s="59" t="n"/>
      <c r="J198" s="59" t="n"/>
      <c r="K198" s="59" t="n"/>
      <c r="L198" s="59" t="n"/>
      <c r="M198" s="59" t="n"/>
      <c r="N198" s="59" t="n"/>
      <c r="O198" s="59" t="n"/>
      <c r="P198" s="59" t="n"/>
      <c r="Q198" s="59" t="n"/>
      <c r="R198" s="59" t="n"/>
      <c r="S198" s="59" t="n"/>
      <c r="T198" s="59" t="n"/>
      <c r="U198" s="59" t="n"/>
      <c r="V198" s="59" t="n"/>
      <c r="W198" s="59" t="n"/>
      <c r="X198" s="59" t="n"/>
      <c r="Y198" s="59" t="n"/>
      <c r="Z198" s="59" t="n"/>
      <c r="AA198" s="59" t="n"/>
      <c r="AB198" s="59" t="n"/>
      <c r="AC198" s="59" t="n"/>
      <c r="AD198" s="59" t="n"/>
    </row>
    <row r="199">
      <c r="A199" s="59" t="n"/>
      <c r="B199" s="59" t="n"/>
      <c r="C199" s="59" t="n"/>
      <c r="D199" s="59" t="n"/>
      <c r="E199" s="59" t="n"/>
      <c r="F199" s="59" t="n"/>
      <c r="G199" s="60" t="n"/>
      <c r="H199" s="59" t="n"/>
      <c r="I199" s="59" t="n"/>
      <c r="J199" s="59" t="n"/>
      <c r="K199" s="59" t="n"/>
      <c r="L199" s="59" t="n"/>
      <c r="M199" s="59" t="n"/>
      <c r="N199" s="59" t="n"/>
      <c r="O199" s="59" t="n"/>
      <c r="P199" s="59" t="n"/>
      <c r="Q199" s="59" t="n"/>
      <c r="R199" s="59" t="n"/>
      <c r="S199" s="59" t="n"/>
      <c r="T199" s="59" t="n"/>
      <c r="U199" s="59" t="n"/>
      <c r="V199" s="59" t="n"/>
      <c r="W199" s="59" t="n"/>
      <c r="X199" s="59" t="n"/>
      <c r="Y199" s="59" t="n"/>
      <c r="Z199" s="59" t="n"/>
      <c r="AA199" s="59" t="n"/>
      <c r="AB199" s="59" t="n"/>
      <c r="AC199" s="59" t="n"/>
      <c r="AD199" s="59" t="n"/>
    </row>
    <row r="200">
      <c r="A200" s="59" t="n"/>
      <c r="B200" s="59" t="n"/>
      <c r="C200" s="59" t="n"/>
      <c r="D200" s="59" t="n"/>
      <c r="E200" s="59" t="n"/>
      <c r="F200" s="59" t="n"/>
      <c r="G200" s="60" t="n"/>
      <c r="H200" s="59" t="n"/>
      <c r="I200" s="59" t="n"/>
      <c r="J200" s="59" t="n"/>
      <c r="K200" s="59" t="n"/>
      <c r="L200" s="59" t="n"/>
      <c r="M200" s="59" t="n"/>
      <c r="N200" s="59" t="n"/>
      <c r="O200" s="59" t="n"/>
      <c r="P200" s="59" t="n"/>
      <c r="Q200" s="59" t="n"/>
      <c r="R200" s="59" t="n"/>
      <c r="S200" s="59" t="n"/>
      <c r="T200" s="59" t="n"/>
      <c r="U200" s="59" t="n"/>
      <c r="V200" s="59" t="n"/>
      <c r="W200" s="59" t="n"/>
      <c r="X200" s="59" t="n"/>
      <c r="Y200" s="59" t="n"/>
      <c r="Z200" s="59" t="n"/>
      <c r="AA200" s="59" t="n"/>
      <c r="AB200" s="59" t="n"/>
      <c r="AC200" s="59" t="n"/>
      <c r="AD200" s="59" t="n"/>
    </row>
    <row r="201">
      <c r="A201" s="59" t="n"/>
      <c r="B201" s="59" t="n"/>
      <c r="C201" s="59" t="n"/>
      <c r="D201" s="59" t="n"/>
      <c r="E201" s="59" t="n"/>
      <c r="F201" s="59" t="n"/>
      <c r="G201" s="60" t="n"/>
      <c r="H201" s="59" t="n"/>
      <c r="I201" s="59" t="n"/>
      <c r="J201" s="59" t="n"/>
      <c r="K201" s="59" t="n"/>
      <c r="L201" s="59" t="n"/>
      <c r="M201" s="59" t="n"/>
      <c r="N201" s="59" t="n"/>
      <c r="O201" s="59" t="n"/>
      <c r="P201" s="59" t="n"/>
      <c r="Q201" s="59" t="n"/>
      <c r="R201" s="59" t="n"/>
      <c r="S201" s="59" t="n"/>
      <c r="T201" s="59" t="n"/>
      <c r="U201" s="59" t="n"/>
      <c r="V201" s="59" t="n"/>
      <c r="W201" s="59" t="n"/>
      <c r="X201" s="59" t="n"/>
      <c r="Y201" s="59" t="n"/>
      <c r="Z201" s="59" t="n"/>
      <c r="AA201" s="59" t="n"/>
      <c r="AB201" s="59" t="n"/>
      <c r="AC201" s="59" t="n"/>
      <c r="AD201" s="59" t="n"/>
    </row>
    <row r="202">
      <c r="A202" s="59" t="n"/>
      <c r="B202" s="59" t="n"/>
      <c r="C202" s="59" t="n"/>
      <c r="D202" s="59" t="n"/>
      <c r="E202" s="59" t="n"/>
      <c r="F202" s="59" t="n"/>
      <c r="G202" s="60" t="n"/>
      <c r="H202" s="59" t="n"/>
      <c r="I202" s="59" t="n"/>
      <c r="J202" s="59" t="n"/>
      <c r="K202" s="59" t="n"/>
      <c r="L202" s="59" t="n"/>
      <c r="M202" s="59" t="n"/>
      <c r="N202" s="59" t="n"/>
      <c r="O202" s="59" t="n"/>
      <c r="P202" s="59" t="n"/>
      <c r="Q202" s="59" t="n"/>
      <c r="R202" s="59" t="n"/>
      <c r="S202" s="59" t="n"/>
      <c r="T202" s="59" t="n"/>
      <c r="U202" s="59" t="n"/>
      <c r="V202" s="59" t="n"/>
      <c r="W202" s="59" t="n"/>
      <c r="X202" s="59" t="n"/>
      <c r="Y202" s="59" t="n"/>
      <c r="Z202" s="59" t="n"/>
      <c r="AA202" s="59" t="n"/>
      <c r="AB202" s="59" t="n"/>
      <c r="AC202" s="59" t="n"/>
      <c r="AD202" s="59" t="n"/>
    </row>
    <row r="203">
      <c r="A203" s="59" t="n"/>
      <c r="B203" s="59" t="n"/>
      <c r="C203" s="59" t="n"/>
      <c r="D203" s="59" t="n"/>
      <c r="E203" s="59" t="n"/>
      <c r="F203" s="59" t="n"/>
      <c r="G203" s="60" t="n"/>
      <c r="H203" s="59" t="n"/>
      <c r="I203" s="59" t="n"/>
      <c r="J203" s="59" t="n"/>
      <c r="K203" s="59" t="n"/>
      <c r="L203" s="59" t="n"/>
      <c r="M203" s="59" t="n"/>
      <c r="N203" s="59" t="n"/>
      <c r="O203" s="59" t="n"/>
      <c r="P203" s="59" t="n"/>
      <c r="Q203" s="59" t="n"/>
      <c r="R203" s="59" t="n"/>
      <c r="S203" s="59" t="n"/>
      <c r="T203" s="59" t="n"/>
      <c r="U203" s="59" t="n"/>
      <c r="V203" s="59" t="n"/>
      <c r="W203" s="59" t="n"/>
      <c r="X203" s="59" t="n"/>
      <c r="Y203" s="59" t="n"/>
      <c r="Z203" s="59" t="n"/>
      <c r="AA203" s="59" t="n"/>
      <c r="AB203" s="59" t="n"/>
      <c r="AC203" s="59" t="n"/>
      <c r="AD203" s="59" t="n"/>
    </row>
    <row r="204">
      <c r="A204" s="59" t="n"/>
      <c r="B204" s="59" t="n"/>
      <c r="C204" s="59" t="n"/>
      <c r="D204" s="59" t="n"/>
      <c r="E204" s="59" t="n"/>
      <c r="F204" s="59" t="n"/>
      <c r="G204" s="60" t="n"/>
      <c r="H204" s="59" t="n"/>
      <c r="I204" s="59" t="n"/>
      <c r="J204" s="59" t="n"/>
      <c r="K204" s="59" t="n"/>
      <c r="L204" s="59" t="n"/>
      <c r="M204" s="59" t="n"/>
      <c r="N204" s="59" t="n"/>
      <c r="O204" s="59" t="n"/>
      <c r="P204" s="59" t="n"/>
      <c r="Q204" s="59" t="n"/>
      <c r="R204" s="59" t="n"/>
      <c r="S204" s="59" t="n"/>
      <c r="T204" s="59" t="n"/>
      <c r="U204" s="59" t="n"/>
      <c r="V204" s="59" t="n"/>
      <c r="W204" s="59" t="n"/>
      <c r="X204" s="59" t="n"/>
      <c r="Y204" s="59" t="n"/>
      <c r="Z204" s="59" t="n"/>
      <c r="AA204" s="59" t="n"/>
      <c r="AB204" s="59" t="n"/>
      <c r="AC204" s="59" t="n"/>
      <c r="AD204" s="59" t="n"/>
    </row>
    <row r="205">
      <c r="A205" s="59" t="n"/>
      <c r="B205" s="59" t="n"/>
      <c r="C205" s="59" t="n"/>
      <c r="D205" s="59" t="n"/>
      <c r="E205" s="59" t="n"/>
      <c r="F205" s="59" t="n"/>
      <c r="G205" s="60" t="n"/>
      <c r="H205" s="59" t="n"/>
      <c r="I205" s="59" t="n"/>
      <c r="J205" s="59" t="n"/>
      <c r="K205" s="59" t="n"/>
      <c r="L205" s="59" t="n"/>
      <c r="M205" s="59" t="n"/>
      <c r="N205" s="59" t="n"/>
      <c r="O205" s="59" t="n"/>
      <c r="P205" s="59" t="n"/>
      <c r="Q205" s="59" t="n"/>
      <c r="R205" s="59" t="n"/>
      <c r="S205" s="59" t="n"/>
      <c r="T205" s="59" t="n"/>
      <c r="U205" s="59" t="n"/>
      <c r="V205" s="59" t="n"/>
      <c r="W205" s="59" t="n"/>
      <c r="X205" s="59" t="n"/>
      <c r="Y205" s="59" t="n"/>
      <c r="Z205" s="59" t="n"/>
      <c r="AA205" s="59" t="n"/>
      <c r="AB205" s="59" t="n"/>
      <c r="AC205" s="59" t="n"/>
      <c r="AD205" s="59" t="n"/>
    </row>
    <row r="206">
      <c r="A206" s="59" t="n"/>
      <c r="B206" s="59" t="n"/>
      <c r="C206" s="59" t="n"/>
      <c r="D206" s="59" t="n"/>
      <c r="E206" s="59" t="n"/>
      <c r="F206" s="59" t="n"/>
      <c r="G206" s="60" t="n"/>
      <c r="H206" s="59" t="n"/>
      <c r="I206" s="59" t="n"/>
      <c r="J206" s="59" t="n"/>
      <c r="K206" s="59" t="n"/>
      <c r="L206" s="59" t="n"/>
      <c r="M206" s="59" t="n"/>
      <c r="N206" s="59" t="n"/>
      <c r="O206" s="59" t="n"/>
      <c r="P206" s="59" t="n"/>
      <c r="Q206" s="59" t="n"/>
      <c r="R206" s="59" t="n"/>
      <c r="S206" s="59" t="n"/>
      <c r="T206" s="59" t="n"/>
      <c r="U206" s="59" t="n"/>
      <c r="V206" s="59" t="n"/>
      <c r="W206" s="59" t="n"/>
      <c r="X206" s="59" t="n"/>
      <c r="Y206" s="59" t="n"/>
      <c r="Z206" s="59" t="n"/>
      <c r="AA206" s="59" t="n"/>
      <c r="AB206" s="59" t="n"/>
      <c r="AC206" s="59" t="n"/>
      <c r="AD206" s="59" t="n"/>
    </row>
    <row r="207">
      <c r="A207" s="59" t="n"/>
      <c r="B207" s="59" t="n"/>
      <c r="C207" s="59" t="n"/>
      <c r="D207" s="59" t="n"/>
      <c r="E207" s="59" t="n"/>
      <c r="F207" s="59" t="n"/>
      <c r="G207" s="60" t="n"/>
      <c r="H207" s="59" t="n"/>
      <c r="I207" s="59" t="n"/>
      <c r="J207" s="59" t="n"/>
      <c r="K207" s="59" t="n"/>
      <c r="L207" s="59" t="n"/>
      <c r="M207" s="59" t="n"/>
      <c r="N207" s="59" t="n"/>
      <c r="O207" s="59" t="n"/>
      <c r="P207" s="59" t="n"/>
      <c r="Q207" s="59" t="n"/>
      <c r="R207" s="59" t="n"/>
      <c r="S207" s="59" t="n"/>
      <c r="T207" s="59" t="n"/>
      <c r="U207" s="59" t="n"/>
      <c r="V207" s="59" t="n"/>
      <c r="W207" s="59" t="n"/>
      <c r="X207" s="59" t="n"/>
      <c r="Y207" s="59" t="n"/>
      <c r="Z207" s="59" t="n"/>
      <c r="AA207" s="59" t="n"/>
      <c r="AB207" s="59" t="n"/>
      <c r="AC207" s="59" t="n"/>
      <c r="AD207" s="59" t="n"/>
    </row>
    <row r="208">
      <c r="A208" s="59" t="n"/>
      <c r="B208" s="59" t="n"/>
      <c r="C208" s="59" t="n"/>
      <c r="D208" s="59" t="n"/>
      <c r="E208" s="59" t="n"/>
      <c r="F208" s="59" t="n"/>
      <c r="G208" s="60" t="n"/>
      <c r="H208" s="59" t="n"/>
      <c r="I208" s="59" t="n"/>
      <c r="J208" s="59" t="n"/>
      <c r="K208" s="59" t="n"/>
      <c r="L208" s="59" t="n"/>
      <c r="M208" s="59" t="n"/>
      <c r="N208" s="59" t="n"/>
      <c r="O208" s="59" t="n"/>
      <c r="P208" s="59" t="n"/>
      <c r="Q208" s="59" t="n"/>
      <c r="R208" s="59" t="n"/>
      <c r="S208" s="59" t="n"/>
      <c r="T208" s="59" t="n"/>
      <c r="U208" s="59" t="n"/>
      <c r="V208" s="59" t="n"/>
      <c r="W208" s="59" t="n"/>
      <c r="X208" s="59" t="n"/>
      <c r="Y208" s="59" t="n"/>
      <c r="Z208" s="59" t="n"/>
      <c r="AA208" s="59" t="n"/>
      <c r="AB208" s="59" t="n"/>
      <c r="AC208" s="59" t="n"/>
      <c r="AD208" s="59" t="n"/>
    </row>
    <row r="209">
      <c r="A209" s="59" t="n"/>
      <c r="B209" s="59" t="n"/>
      <c r="C209" s="59" t="n"/>
      <c r="D209" s="59" t="n"/>
      <c r="E209" s="59" t="n"/>
      <c r="F209" s="59" t="n"/>
      <c r="G209" s="60" t="n"/>
      <c r="H209" s="59" t="n"/>
      <c r="I209" s="59" t="n"/>
      <c r="J209" s="59" t="n"/>
      <c r="K209" s="59" t="n"/>
      <c r="L209" s="59" t="n"/>
      <c r="M209" s="59" t="n"/>
      <c r="N209" s="59" t="n"/>
      <c r="O209" s="59" t="n"/>
      <c r="P209" s="59" t="n"/>
      <c r="Q209" s="59" t="n"/>
      <c r="R209" s="59" t="n"/>
      <c r="S209" s="59" t="n"/>
      <c r="T209" s="59" t="n"/>
      <c r="U209" s="59" t="n"/>
      <c r="V209" s="59" t="n"/>
      <c r="W209" s="59" t="n"/>
      <c r="X209" s="59" t="n"/>
      <c r="Y209" s="59" t="n"/>
      <c r="Z209" s="59" t="n"/>
      <c r="AA209" s="59" t="n"/>
      <c r="AB209" s="59" t="n"/>
      <c r="AC209" s="59" t="n"/>
      <c r="AD209" s="59" t="n"/>
    </row>
    <row r="210">
      <c r="A210" s="59" t="n"/>
      <c r="B210" s="59" t="n"/>
      <c r="C210" s="59" t="n"/>
      <c r="D210" s="59" t="n"/>
      <c r="E210" s="59" t="n"/>
      <c r="F210" s="59" t="n"/>
      <c r="G210" s="60" t="n"/>
      <c r="H210" s="59" t="n"/>
      <c r="I210" s="59" t="n"/>
      <c r="J210" s="59" t="n"/>
      <c r="K210" s="59" t="n"/>
      <c r="L210" s="59" t="n"/>
      <c r="M210" s="59" t="n"/>
      <c r="N210" s="59" t="n"/>
      <c r="O210" s="59" t="n"/>
      <c r="P210" s="59" t="n"/>
      <c r="Q210" s="59" t="n"/>
      <c r="R210" s="59" t="n"/>
      <c r="S210" s="59" t="n"/>
      <c r="T210" s="59" t="n"/>
      <c r="U210" s="59" t="n"/>
      <c r="V210" s="59" t="n"/>
      <c r="W210" s="59" t="n"/>
      <c r="X210" s="59" t="n"/>
      <c r="Y210" s="59" t="n"/>
      <c r="Z210" s="59" t="n"/>
      <c r="AA210" s="59" t="n"/>
      <c r="AB210" s="59" t="n"/>
      <c r="AC210" s="59" t="n"/>
      <c r="AD210" s="59" t="n"/>
    </row>
    <row r="211">
      <c r="A211" s="59" t="n"/>
      <c r="B211" s="59" t="n"/>
      <c r="C211" s="59" t="n"/>
      <c r="D211" s="59" t="n"/>
      <c r="E211" s="59" t="n"/>
      <c r="F211" s="59" t="n"/>
      <c r="G211" s="60" t="n"/>
      <c r="H211" s="59" t="n"/>
      <c r="I211" s="59" t="n"/>
      <c r="J211" s="59" t="n"/>
      <c r="K211" s="59" t="n"/>
      <c r="L211" s="59" t="n"/>
      <c r="M211" s="59" t="n"/>
      <c r="N211" s="59" t="n"/>
      <c r="O211" s="59" t="n"/>
      <c r="P211" s="59" t="n"/>
      <c r="Q211" s="59" t="n"/>
      <c r="R211" s="59" t="n"/>
      <c r="S211" s="59" t="n"/>
      <c r="T211" s="59" t="n"/>
      <c r="U211" s="59" t="n"/>
      <c r="V211" s="59" t="n"/>
      <c r="W211" s="59" t="n"/>
      <c r="X211" s="59" t="n"/>
      <c r="Y211" s="59" t="n"/>
      <c r="Z211" s="59" t="n"/>
      <c r="AA211" s="59" t="n"/>
      <c r="AB211" s="59" t="n"/>
      <c r="AC211" s="59" t="n"/>
      <c r="AD211" s="59" t="n"/>
    </row>
    <row r="212">
      <c r="A212" s="59" t="n"/>
      <c r="B212" s="59" t="n"/>
      <c r="C212" s="59" t="n"/>
      <c r="D212" s="59" t="n"/>
      <c r="E212" s="59" t="n"/>
      <c r="F212" s="59" t="n"/>
      <c r="G212" s="60" t="n"/>
      <c r="H212" s="59" t="n"/>
      <c r="I212" s="59" t="n"/>
      <c r="J212" s="59" t="n"/>
      <c r="K212" s="59" t="n"/>
      <c r="L212" s="59" t="n"/>
      <c r="M212" s="59" t="n"/>
      <c r="N212" s="59" t="n"/>
      <c r="O212" s="59" t="n"/>
      <c r="P212" s="59" t="n"/>
      <c r="Q212" s="59" t="n"/>
      <c r="R212" s="59" t="n"/>
      <c r="S212" s="59" t="n"/>
      <c r="T212" s="59" t="n"/>
      <c r="U212" s="59" t="n"/>
      <c r="V212" s="59" t="n"/>
      <c r="W212" s="59" t="n"/>
      <c r="X212" s="59" t="n"/>
      <c r="Y212" s="59" t="n"/>
      <c r="Z212" s="59" t="n"/>
      <c r="AA212" s="59" t="n"/>
      <c r="AB212" s="59" t="n"/>
      <c r="AC212" s="59" t="n"/>
      <c r="AD212" s="59" t="n"/>
    </row>
    <row r="213">
      <c r="A213" s="59" t="n"/>
      <c r="B213" s="59" t="n"/>
      <c r="C213" s="59" t="n"/>
      <c r="D213" s="59" t="n"/>
      <c r="E213" s="59" t="n"/>
      <c r="F213" s="59" t="n"/>
      <c r="G213" s="60" t="n"/>
      <c r="H213" s="59" t="n"/>
      <c r="I213" s="59" t="n"/>
      <c r="J213" s="59" t="n"/>
      <c r="K213" s="59" t="n"/>
      <c r="L213" s="59" t="n"/>
      <c r="M213" s="59" t="n"/>
      <c r="N213" s="59" t="n"/>
      <c r="O213" s="59" t="n"/>
      <c r="P213" s="59" t="n"/>
      <c r="Q213" s="59" t="n"/>
      <c r="R213" s="59" t="n"/>
      <c r="S213" s="59" t="n"/>
      <c r="T213" s="59" t="n"/>
      <c r="U213" s="59" t="n"/>
      <c r="V213" s="59" t="n"/>
      <c r="W213" s="59" t="n"/>
      <c r="X213" s="59" t="n"/>
      <c r="Y213" s="59" t="n"/>
      <c r="Z213" s="59" t="n"/>
      <c r="AA213" s="59" t="n"/>
      <c r="AB213" s="59" t="n"/>
      <c r="AC213" s="59" t="n"/>
      <c r="AD213" s="59" t="n"/>
    </row>
    <row r="214">
      <c r="A214" s="59" t="n"/>
      <c r="B214" s="59" t="n"/>
      <c r="C214" s="59" t="n"/>
      <c r="D214" s="59" t="n"/>
      <c r="E214" s="59" t="n"/>
      <c r="F214" s="59" t="n"/>
      <c r="G214" s="60" t="n"/>
      <c r="H214" s="59" t="n"/>
      <c r="I214" s="59" t="n"/>
      <c r="J214" s="59" t="n"/>
      <c r="K214" s="59" t="n"/>
      <c r="L214" s="59" t="n"/>
      <c r="M214" s="59" t="n"/>
      <c r="N214" s="59" t="n"/>
      <c r="O214" s="59" t="n"/>
      <c r="P214" s="59" t="n"/>
      <c r="Q214" s="59" t="n"/>
      <c r="R214" s="59" t="n"/>
      <c r="S214" s="59" t="n"/>
      <c r="T214" s="59" t="n"/>
      <c r="U214" s="59" t="n"/>
      <c r="V214" s="59" t="n"/>
      <c r="W214" s="59" t="n"/>
      <c r="X214" s="59" t="n"/>
      <c r="Y214" s="59" t="n"/>
      <c r="Z214" s="59" t="n"/>
      <c r="AA214" s="59" t="n"/>
      <c r="AB214" s="59" t="n"/>
      <c r="AC214" s="59" t="n"/>
      <c r="AD214" s="59" t="n"/>
    </row>
    <row r="215">
      <c r="A215" s="59" t="n"/>
      <c r="B215" s="59" t="n"/>
      <c r="C215" s="59" t="n"/>
      <c r="D215" s="59" t="n"/>
      <c r="E215" s="59" t="n"/>
      <c r="F215" s="59" t="n"/>
      <c r="G215" s="60" t="n"/>
      <c r="H215" s="59" t="n"/>
      <c r="I215" s="59" t="n"/>
      <c r="J215" s="59" t="n"/>
      <c r="K215" s="59" t="n"/>
      <c r="L215" s="59" t="n"/>
      <c r="M215" s="59" t="n"/>
      <c r="N215" s="59" t="n"/>
      <c r="O215" s="59" t="n"/>
      <c r="P215" s="59" t="n"/>
      <c r="Q215" s="59" t="n"/>
      <c r="R215" s="59" t="n"/>
      <c r="S215" s="59" t="n"/>
      <c r="T215" s="59" t="n"/>
      <c r="U215" s="59" t="n"/>
      <c r="V215" s="59" t="n"/>
      <c r="W215" s="59" t="n"/>
      <c r="X215" s="59" t="n"/>
      <c r="Y215" s="59" t="n"/>
      <c r="Z215" s="59" t="n"/>
      <c r="AA215" s="59" t="n"/>
      <c r="AB215" s="59" t="n"/>
      <c r="AC215" s="59" t="n"/>
      <c r="AD215" s="59" t="n"/>
    </row>
    <row r="216">
      <c r="A216" s="59" t="n"/>
      <c r="B216" s="59" t="n"/>
      <c r="C216" s="59" t="n"/>
      <c r="D216" s="59" t="n"/>
      <c r="E216" s="59" t="n"/>
      <c r="F216" s="59" t="n"/>
      <c r="G216" s="60" t="n"/>
      <c r="H216" s="59" t="n"/>
      <c r="I216" s="59" t="n"/>
      <c r="J216" s="59" t="n"/>
      <c r="K216" s="59" t="n"/>
      <c r="L216" s="59" t="n"/>
      <c r="M216" s="59" t="n"/>
      <c r="N216" s="59" t="n"/>
      <c r="O216" s="59" t="n"/>
      <c r="P216" s="59" t="n"/>
      <c r="Q216" s="59" t="n"/>
      <c r="R216" s="59" t="n"/>
      <c r="S216" s="59" t="n"/>
      <c r="T216" s="59" t="n"/>
      <c r="U216" s="59" t="n"/>
      <c r="V216" s="59" t="n"/>
      <c r="W216" s="59" t="n"/>
      <c r="X216" s="59" t="n"/>
      <c r="Y216" s="59" t="n"/>
      <c r="Z216" s="59" t="n"/>
      <c r="AA216" s="59" t="n"/>
      <c r="AB216" s="59" t="n"/>
      <c r="AC216" s="59" t="n"/>
      <c r="AD216" s="59" t="n"/>
    </row>
    <row r="217">
      <c r="A217" s="59" t="n"/>
      <c r="B217" s="59" t="n"/>
      <c r="C217" s="59" t="n"/>
      <c r="D217" s="59" t="n"/>
      <c r="E217" s="59" t="n"/>
      <c r="F217" s="59" t="n"/>
      <c r="G217" s="60" t="n"/>
      <c r="H217" s="59" t="n"/>
      <c r="I217" s="59" t="n"/>
      <c r="J217" s="59" t="n"/>
      <c r="K217" s="59" t="n"/>
      <c r="L217" s="59" t="n"/>
      <c r="M217" s="59" t="n"/>
      <c r="N217" s="59" t="n"/>
      <c r="O217" s="59" t="n"/>
      <c r="P217" s="59" t="n"/>
      <c r="Q217" s="59" t="n"/>
      <c r="R217" s="59" t="n"/>
      <c r="S217" s="59" t="n"/>
      <c r="T217" s="59" t="n"/>
      <c r="U217" s="59" t="n"/>
      <c r="V217" s="59" t="n"/>
      <c r="W217" s="59" t="n"/>
      <c r="X217" s="59" t="n"/>
      <c r="Y217" s="59" t="n"/>
      <c r="Z217" s="59" t="n"/>
      <c r="AA217" s="59" t="n"/>
      <c r="AB217" s="59" t="n"/>
      <c r="AC217" s="59" t="n"/>
      <c r="AD217" s="59" t="n"/>
    </row>
    <row r="218">
      <c r="A218" s="59" t="n"/>
      <c r="B218" s="59" t="n"/>
      <c r="C218" s="59" t="n"/>
      <c r="D218" s="59" t="n"/>
      <c r="E218" s="59" t="n"/>
      <c r="F218" s="59" t="n"/>
      <c r="G218" s="60" t="n"/>
      <c r="H218" s="59" t="n"/>
      <c r="I218" s="59" t="n"/>
      <c r="J218" s="59" t="n"/>
      <c r="K218" s="59" t="n"/>
      <c r="L218" s="59" t="n"/>
      <c r="M218" s="59" t="n"/>
      <c r="N218" s="59" t="n"/>
      <c r="O218" s="59" t="n"/>
      <c r="P218" s="59" t="n"/>
      <c r="Q218" s="59" t="n"/>
      <c r="R218" s="59" t="n"/>
      <c r="S218" s="59" t="n"/>
      <c r="T218" s="59" t="n"/>
      <c r="U218" s="59" t="n"/>
      <c r="V218" s="59" t="n"/>
      <c r="W218" s="59" t="n"/>
      <c r="X218" s="59" t="n"/>
      <c r="Y218" s="59" t="n"/>
      <c r="Z218" s="59" t="n"/>
      <c r="AA218" s="59" t="n"/>
      <c r="AB218" s="59" t="n"/>
      <c r="AC218" s="59" t="n"/>
      <c r="AD218" s="59" t="n"/>
    </row>
    <row r="219">
      <c r="A219" s="59" t="n"/>
      <c r="B219" s="59" t="n"/>
      <c r="C219" s="59" t="n"/>
      <c r="D219" s="59" t="n"/>
      <c r="E219" s="59" t="n"/>
      <c r="F219" s="59" t="n"/>
      <c r="G219" s="60" t="n"/>
      <c r="H219" s="59" t="n"/>
      <c r="I219" s="59" t="n"/>
      <c r="J219" s="59" t="n"/>
      <c r="K219" s="59" t="n"/>
      <c r="L219" s="59" t="n"/>
      <c r="M219" s="59" t="n"/>
      <c r="N219" s="59" t="n"/>
      <c r="O219" s="59" t="n"/>
      <c r="P219" s="59" t="n"/>
      <c r="Q219" s="59" t="n"/>
      <c r="R219" s="59" t="n"/>
      <c r="S219" s="59" t="n"/>
      <c r="T219" s="59" t="n"/>
      <c r="U219" s="59" t="n"/>
      <c r="V219" s="59" t="n"/>
      <c r="W219" s="59" t="n"/>
      <c r="X219" s="59" t="n"/>
      <c r="Y219" s="59" t="n"/>
      <c r="Z219" s="59" t="n"/>
      <c r="AA219" s="59" t="n"/>
      <c r="AB219" s="59" t="n"/>
      <c r="AC219" s="59" t="n"/>
      <c r="AD219" s="59" t="n"/>
    </row>
    <row r="220">
      <c r="A220" s="59" t="n"/>
      <c r="B220" s="59" t="n"/>
      <c r="C220" s="59" t="n"/>
      <c r="D220" s="59" t="n"/>
      <c r="E220" s="59" t="n"/>
      <c r="F220" s="59" t="n"/>
      <c r="G220" s="60" t="n"/>
      <c r="H220" s="59" t="n"/>
      <c r="I220" s="59" t="n"/>
      <c r="J220" s="59" t="n"/>
      <c r="K220" s="59" t="n"/>
      <c r="L220" s="59" t="n"/>
      <c r="M220" s="59" t="n"/>
      <c r="N220" s="59" t="n"/>
      <c r="O220" s="59" t="n"/>
      <c r="P220" s="59" t="n"/>
      <c r="Q220" s="59" t="n"/>
      <c r="R220" s="59" t="n"/>
      <c r="S220" s="59" t="n"/>
      <c r="T220" s="59" t="n"/>
      <c r="U220" s="59" t="n"/>
      <c r="V220" s="59" t="n"/>
      <c r="W220" s="59" t="n"/>
      <c r="X220" s="59" t="n"/>
      <c r="Y220" s="59" t="n"/>
      <c r="Z220" s="59" t="n"/>
      <c r="AA220" s="59" t="n"/>
      <c r="AB220" s="59" t="n"/>
      <c r="AC220" s="59" t="n"/>
      <c r="AD220" s="59" t="n"/>
    </row>
    <row r="221">
      <c r="A221" s="59" t="n"/>
      <c r="B221" s="59" t="n"/>
      <c r="C221" s="59" t="n"/>
      <c r="D221" s="59" t="n"/>
      <c r="E221" s="59" t="n"/>
      <c r="F221" s="59" t="n"/>
      <c r="G221" s="60" t="n"/>
      <c r="H221" s="59" t="n"/>
      <c r="I221" s="59" t="n"/>
      <c r="J221" s="59" t="n"/>
      <c r="K221" s="59" t="n"/>
      <c r="L221" s="59" t="n"/>
      <c r="M221" s="59" t="n"/>
      <c r="N221" s="59" t="n"/>
      <c r="O221" s="59" t="n"/>
      <c r="P221" s="59" t="n"/>
      <c r="Q221" s="59" t="n"/>
      <c r="R221" s="59" t="n"/>
      <c r="S221" s="59" t="n"/>
      <c r="T221" s="59" t="n"/>
      <c r="U221" s="59" t="n"/>
      <c r="V221" s="59" t="n"/>
      <c r="W221" s="59" t="n"/>
      <c r="X221" s="59" t="n"/>
      <c r="Y221" s="59" t="n"/>
      <c r="Z221" s="59" t="n"/>
      <c r="AA221" s="59" t="n"/>
      <c r="AB221" s="59" t="n"/>
      <c r="AC221" s="59" t="n"/>
      <c r="AD221" s="59" t="n"/>
    </row>
    <row r="222">
      <c r="A222" s="59" t="n"/>
      <c r="B222" s="59" t="n"/>
      <c r="C222" s="59" t="n"/>
      <c r="D222" s="59" t="n"/>
      <c r="E222" s="59" t="n"/>
      <c r="F222" s="59" t="n"/>
      <c r="G222" s="60" t="n"/>
      <c r="H222" s="59" t="n"/>
      <c r="I222" s="59" t="n"/>
      <c r="J222" s="59" t="n"/>
      <c r="K222" s="59" t="n"/>
      <c r="L222" s="59" t="n"/>
      <c r="M222" s="59" t="n"/>
      <c r="N222" s="59" t="n"/>
      <c r="O222" s="59" t="n"/>
      <c r="P222" s="59" t="n"/>
      <c r="Q222" s="59" t="n"/>
      <c r="R222" s="59" t="n"/>
      <c r="S222" s="59" t="n"/>
      <c r="T222" s="59" t="n"/>
      <c r="U222" s="59" t="n"/>
      <c r="V222" s="59" t="n"/>
      <c r="W222" s="59" t="n"/>
      <c r="X222" s="59" t="n"/>
      <c r="Y222" s="59" t="n"/>
      <c r="Z222" s="59" t="n"/>
      <c r="AA222" s="59" t="n"/>
      <c r="AB222" s="59" t="n"/>
      <c r="AC222" s="59" t="n"/>
      <c r="AD222" s="59" t="n"/>
    </row>
    <row r="223">
      <c r="A223" s="59" t="n"/>
      <c r="B223" s="59" t="n"/>
      <c r="C223" s="59" t="n"/>
      <c r="D223" s="59" t="n"/>
      <c r="E223" s="59" t="n"/>
      <c r="F223" s="59" t="n"/>
      <c r="G223" s="60" t="n"/>
      <c r="H223" s="59" t="n"/>
      <c r="I223" s="59" t="n"/>
      <c r="J223" s="59" t="n"/>
      <c r="K223" s="59" t="n"/>
      <c r="L223" s="59" t="n"/>
      <c r="M223" s="59" t="n"/>
      <c r="N223" s="59" t="n"/>
      <c r="O223" s="59" t="n"/>
      <c r="P223" s="59" t="n"/>
      <c r="Q223" s="59" t="n"/>
      <c r="R223" s="59" t="n"/>
      <c r="S223" s="59" t="n"/>
      <c r="T223" s="59" t="n"/>
      <c r="U223" s="59" t="n"/>
      <c r="V223" s="59" t="n"/>
      <c r="W223" s="59" t="n"/>
      <c r="X223" s="59" t="n"/>
      <c r="Y223" s="59" t="n"/>
      <c r="Z223" s="59" t="n"/>
      <c r="AA223" s="59" t="n"/>
      <c r="AB223" s="59" t="n"/>
      <c r="AC223" s="59" t="n"/>
      <c r="AD223" s="59" t="n"/>
    </row>
    <row r="224">
      <c r="A224" s="59" t="n"/>
      <c r="B224" s="59" t="n"/>
      <c r="C224" s="59" t="n"/>
      <c r="D224" s="59" t="n"/>
      <c r="E224" s="59" t="n"/>
      <c r="F224" s="59" t="n"/>
      <c r="G224" s="60" t="n"/>
      <c r="H224" s="59" t="n"/>
      <c r="I224" s="59" t="n"/>
      <c r="J224" s="59" t="n"/>
      <c r="K224" s="59" t="n"/>
      <c r="L224" s="59" t="n"/>
      <c r="M224" s="59" t="n"/>
      <c r="N224" s="59" t="n"/>
      <c r="O224" s="59" t="n"/>
      <c r="P224" s="59" t="n"/>
      <c r="Q224" s="59" t="n"/>
      <c r="R224" s="59" t="n"/>
      <c r="S224" s="59" t="n"/>
      <c r="T224" s="59" t="n"/>
      <c r="U224" s="59" t="n"/>
      <c r="V224" s="59" t="n"/>
      <c r="W224" s="59" t="n"/>
      <c r="X224" s="59" t="n"/>
      <c r="Y224" s="59" t="n"/>
      <c r="Z224" s="59" t="n"/>
      <c r="AA224" s="59" t="n"/>
      <c r="AB224" s="59" t="n"/>
      <c r="AC224" s="59" t="n"/>
      <c r="AD224" s="59" t="n"/>
    </row>
    <row r="225">
      <c r="A225" s="59" t="n"/>
      <c r="B225" s="59" t="n"/>
      <c r="C225" s="59" t="n"/>
      <c r="D225" s="59" t="n"/>
      <c r="E225" s="59" t="n"/>
      <c r="F225" s="59" t="n"/>
      <c r="G225" s="60" t="n"/>
      <c r="H225" s="59" t="n"/>
      <c r="I225" s="59" t="n"/>
      <c r="J225" s="59" t="n"/>
      <c r="K225" s="59" t="n"/>
      <c r="L225" s="59" t="n"/>
      <c r="M225" s="59" t="n"/>
      <c r="N225" s="59" t="n"/>
      <c r="O225" s="59" t="n"/>
      <c r="P225" s="59" t="n"/>
      <c r="Q225" s="59" t="n"/>
      <c r="R225" s="59" t="n"/>
      <c r="S225" s="59" t="n"/>
      <c r="T225" s="59" t="n"/>
      <c r="U225" s="59" t="n"/>
      <c r="V225" s="59" t="n"/>
      <c r="W225" s="59" t="n"/>
      <c r="X225" s="59" t="n"/>
      <c r="Y225" s="59" t="n"/>
      <c r="Z225" s="59" t="n"/>
      <c r="AA225" s="59" t="n"/>
      <c r="AB225" s="59" t="n"/>
      <c r="AC225" s="59" t="n"/>
      <c r="AD225" s="59" t="n"/>
    </row>
    <row r="226">
      <c r="A226" s="59" t="n"/>
      <c r="B226" s="59" t="n"/>
      <c r="C226" s="59" t="n"/>
      <c r="D226" s="59" t="n"/>
      <c r="E226" s="59" t="n"/>
      <c r="F226" s="59" t="n"/>
      <c r="G226" s="60" t="n"/>
      <c r="H226" s="59" t="n"/>
      <c r="I226" s="59" t="n"/>
      <c r="J226" s="59" t="n"/>
      <c r="K226" s="59" t="n"/>
      <c r="L226" s="59" t="n"/>
      <c r="M226" s="59" t="n"/>
      <c r="N226" s="59" t="n"/>
      <c r="O226" s="59" t="n"/>
      <c r="P226" s="59" t="n"/>
      <c r="Q226" s="59" t="n"/>
      <c r="R226" s="59" t="n"/>
      <c r="S226" s="59" t="n"/>
      <c r="T226" s="59" t="n"/>
      <c r="U226" s="59" t="n"/>
      <c r="V226" s="59" t="n"/>
      <c r="W226" s="59" t="n"/>
      <c r="X226" s="59" t="n"/>
      <c r="Y226" s="59" t="n"/>
      <c r="Z226" s="59" t="n"/>
      <c r="AA226" s="59" t="n"/>
      <c r="AB226" s="59" t="n"/>
      <c r="AC226" s="59" t="n"/>
      <c r="AD226" s="59" t="n"/>
    </row>
    <row r="227">
      <c r="A227" s="59" t="n"/>
      <c r="B227" s="59" t="n"/>
      <c r="C227" s="59" t="n"/>
      <c r="D227" s="59" t="n"/>
      <c r="E227" s="59" t="n"/>
      <c r="F227" s="59" t="n"/>
      <c r="G227" s="60" t="n"/>
      <c r="H227" s="59" t="n"/>
      <c r="I227" s="59" t="n"/>
      <c r="J227" s="59" t="n"/>
      <c r="K227" s="59" t="n"/>
      <c r="L227" s="59" t="n"/>
      <c r="M227" s="59" t="n"/>
      <c r="N227" s="59" t="n"/>
      <c r="O227" s="59" t="n"/>
      <c r="P227" s="59" t="n"/>
      <c r="Q227" s="59" t="n"/>
      <c r="R227" s="59" t="n"/>
      <c r="S227" s="59" t="n"/>
      <c r="T227" s="59" t="n"/>
      <c r="U227" s="59" t="n"/>
      <c r="V227" s="59" t="n"/>
      <c r="W227" s="59" t="n"/>
      <c r="X227" s="59" t="n"/>
      <c r="Y227" s="59" t="n"/>
      <c r="Z227" s="59" t="n"/>
      <c r="AA227" s="59" t="n"/>
      <c r="AB227" s="59" t="n"/>
      <c r="AC227" s="59" t="n"/>
      <c r="AD227" s="59" t="n"/>
    </row>
    <row r="228">
      <c r="A228" s="59" t="n"/>
      <c r="B228" s="59" t="n"/>
      <c r="C228" s="59" t="n"/>
      <c r="D228" s="59" t="n"/>
      <c r="E228" s="59" t="n"/>
      <c r="F228" s="59" t="n"/>
      <c r="G228" s="60" t="n"/>
      <c r="H228" s="59" t="n"/>
      <c r="I228" s="59" t="n"/>
      <c r="J228" s="59" t="n"/>
      <c r="K228" s="59" t="n"/>
      <c r="L228" s="59" t="n"/>
      <c r="M228" s="59" t="n"/>
      <c r="N228" s="59" t="n"/>
      <c r="O228" s="59" t="n"/>
      <c r="P228" s="59" t="n"/>
      <c r="Q228" s="59" t="n"/>
      <c r="R228" s="59" t="n"/>
      <c r="S228" s="59" t="n"/>
      <c r="T228" s="59" t="n"/>
      <c r="U228" s="59" t="n"/>
      <c r="V228" s="59" t="n"/>
      <c r="W228" s="59" t="n"/>
      <c r="X228" s="59" t="n"/>
      <c r="Y228" s="59" t="n"/>
      <c r="Z228" s="59" t="n"/>
      <c r="AA228" s="59" t="n"/>
      <c r="AB228" s="59" t="n"/>
      <c r="AC228" s="59" t="n"/>
      <c r="AD228" s="59" t="n"/>
    </row>
    <row r="229">
      <c r="A229" s="59" t="n"/>
      <c r="B229" s="59" t="n"/>
      <c r="C229" s="59" t="n"/>
      <c r="D229" s="59" t="n"/>
      <c r="E229" s="59" t="n"/>
      <c r="F229" s="59" t="n"/>
      <c r="G229" s="60" t="n"/>
      <c r="H229" s="59" t="n"/>
      <c r="I229" s="59" t="n"/>
      <c r="J229" s="59" t="n"/>
      <c r="K229" s="59" t="n"/>
      <c r="L229" s="59" t="n"/>
      <c r="M229" s="59" t="n"/>
      <c r="N229" s="59" t="n"/>
      <c r="O229" s="59" t="n"/>
      <c r="P229" s="59" t="n"/>
      <c r="Q229" s="59" t="n"/>
      <c r="R229" s="59" t="n"/>
      <c r="S229" s="59" t="n"/>
      <c r="T229" s="59" t="n"/>
      <c r="U229" s="59" t="n"/>
      <c r="V229" s="59" t="n"/>
      <c r="W229" s="59" t="n"/>
      <c r="X229" s="59" t="n"/>
      <c r="Y229" s="59" t="n"/>
      <c r="Z229" s="59" t="n"/>
      <c r="AA229" s="59" t="n"/>
      <c r="AB229" s="59" t="n"/>
      <c r="AC229" s="59" t="n"/>
      <c r="AD229" s="59" t="n"/>
    </row>
    <row r="230">
      <c r="A230" s="59" t="n"/>
      <c r="B230" s="59" t="n"/>
      <c r="C230" s="59" t="n"/>
      <c r="D230" s="59" t="n"/>
      <c r="E230" s="59" t="n"/>
      <c r="F230" s="59" t="n"/>
      <c r="G230" s="60" t="n"/>
      <c r="H230" s="59" t="n"/>
      <c r="I230" s="59" t="n"/>
      <c r="J230" s="59" t="n"/>
      <c r="K230" s="59" t="n"/>
      <c r="L230" s="59" t="n"/>
      <c r="M230" s="59" t="n"/>
      <c r="N230" s="59" t="n"/>
      <c r="O230" s="59" t="n"/>
      <c r="P230" s="59" t="n"/>
      <c r="Q230" s="59" t="n"/>
      <c r="R230" s="59" t="n"/>
      <c r="S230" s="59" t="n"/>
      <c r="T230" s="59" t="n"/>
      <c r="U230" s="59" t="n"/>
      <c r="V230" s="59" t="n"/>
      <c r="W230" s="59" t="n"/>
      <c r="X230" s="59" t="n"/>
      <c r="Y230" s="59" t="n"/>
      <c r="Z230" s="59" t="n"/>
      <c r="AA230" s="59" t="n"/>
      <c r="AB230" s="59" t="n"/>
      <c r="AC230" s="59" t="n"/>
      <c r="AD230" s="59" t="n"/>
    </row>
    <row r="231">
      <c r="A231" s="59" t="n"/>
      <c r="B231" s="59" t="n"/>
      <c r="C231" s="59" t="n"/>
      <c r="D231" s="59" t="n"/>
      <c r="E231" s="59" t="n"/>
      <c r="F231" s="59" t="n"/>
      <c r="G231" s="60" t="n"/>
      <c r="H231" s="59" t="n"/>
      <c r="I231" s="59" t="n"/>
      <c r="J231" s="59" t="n"/>
      <c r="K231" s="59" t="n"/>
      <c r="L231" s="59" t="n"/>
      <c r="M231" s="59" t="n"/>
      <c r="N231" s="59" t="n"/>
      <c r="O231" s="59" t="n"/>
      <c r="P231" s="59" t="n"/>
      <c r="Q231" s="59" t="n"/>
      <c r="R231" s="59" t="n"/>
      <c r="S231" s="59" t="n"/>
      <c r="T231" s="59" t="n"/>
      <c r="U231" s="59" t="n"/>
      <c r="V231" s="59" t="n"/>
      <c r="W231" s="59" t="n"/>
      <c r="X231" s="59" t="n"/>
      <c r="Y231" s="59" t="n"/>
      <c r="Z231" s="59" t="n"/>
      <c r="AA231" s="59" t="n"/>
      <c r="AB231" s="59" t="n"/>
      <c r="AC231" s="59" t="n"/>
      <c r="AD231" s="59" t="n"/>
    </row>
    <row r="232">
      <c r="A232" s="59" t="n"/>
      <c r="B232" s="59" t="n"/>
      <c r="C232" s="59" t="n"/>
      <c r="D232" s="59" t="n"/>
      <c r="E232" s="59" t="n"/>
      <c r="F232" s="59" t="n"/>
      <c r="G232" s="60" t="n"/>
      <c r="H232" s="59" t="n"/>
      <c r="I232" s="59" t="n"/>
      <c r="J232" s="59" t="n"/>
      <c r="K232" s="59" t="n"/>
      <c r="L232" s="59" t="n"/>
      <c r="M232" s="59" t="n"/>
      <c r="N232" s="59" t="n"/>
      <c r="O232" s="59" t="n"/>
      <c r="P232" s="59" t="n"/>
      <c r="Q232" s="59" t="n"/>
      <c r="R232" s="59" t="n"/>
      <c r="S232" s="59" t="n"/>
      <c r="T232" s="59" t="n"/>
      <c r="U232" s="59" t="n"/>
      <c r="V232" s="59" t="n"/>
      <c r="W232" s="59" t="n"/>
      <c r="X232" s="59" t="n"/>
      <c r="Y232" s="59" t="n"/>
      <c r="Z232" s="59" t="n"/>
      <c r="AA232" s="59" t="n"/>
      <c r="AB232" s="59" t="n"/>
      <c r="AC232" s="59" t="n"/>
      <c r="AD232" s="59" t="n"/>
    </row>
    <row r="233">
      <c r="A233" s="59" t="n"/>
      <c r="B233" s="59" t="n"/>
      <c r="C233" s="59" t="n"/>
      <c r="D233" s="59" t="n"/>
      <c r="E233" s="59" t="n"/>
      <c r="F233" s="59" t="n"/>
      <c r="G233" s="60" t="n"/>
      <c r="H233" s="59" t="n"/>
      <c r="I233" s="59" t="n"/>
      <c r="J233" s="59" t="n"/>
      <c r="K233" s="59" t="n"/>
      <c r="L233" s="59" t="n"/>
      <c r="M233" s="59" t="n"/>
      <c r="N233" s="59" t="n"/>
      <c r="O233" s="59" t="n"/>
      <c r="P233" s="59" t="n"/>
      <c r="Q233" s="59" t="n"/>
      <c r="R233" s="59" t="n"/>
      <c r="S233" s="59" t="n"/>
      <c r="T233" s="59" t="n"/>
      <c r="U233" s="59" t="n"/>
      <c r="V233" s="59" t="n"/>
      <c r="W233" s="59" t="n"/>
      <c r="X233" s="59" t="n"/>
      <c r="Y233" s="59" t="n"/>
      <c r="Z233" s="59" t="n"/>
      <c r="AA233" s="59" t="n"/>
      <c r="AB233" s="59" t="n"/>
      <c r="AC233" s="59" t="n"/>
      <c r="AD233" s="59" t="n"/>
    </row>
    <row r="234">
      <c r="A234" s="59" t="n"/>
      <c r="B234" s="59" t="n"/>
      <c r="C234" s="59" t="n"/>
      <c r="D234" s="59" t="n"/>
      <c r="E234" s="59" t="n"/>
      <c r="F234" s="59" t="n"/>
      <c r="G234" s="60" t="n"/>
      <c r="H234" s="59" t="n"/>
      <c r="I234" s="59" t="n"/>
      <c r="J234" s="59" t="n"/>
      <c r="K234" s="59" t="n"/>
      <c r="L234" s="59" t="n"/>
      <c r="M234" s="59" t="n"/>
      <c r="N234" s="59" t="n"/>
      <c r="O234" s="59" t="n"/>
      <c r="P234" s="59" t="n"/>
      <c r="Q234" s="59" t="n"/>
      <c r="R234" s="59" t="n"/>
      <c r="S234" s="59" t="n"/>
      <c r="T234" s="59" t="n"/>
      <c r="U234" s="59" t="n"/>
      <c r="V234" s="59" t="n"/>
      <c r="W234" s="59" t="n"/>
      <c r="X234" s="59" t="n"/>
      <c r="Y234" s="59" t="n"/>
      <c r="Z234" s="59" t="n"/>
      <c r="AA234" s="59" t="n"/>
      <c r="AB234" s="59" t="n"/>
      <c r="AC234" s="59" t="n"/>
      <c r="AD234" s="59" t="n"/>
    </row>
    <row r="235">
      <c r="A235" s="59" t="n"/>
      <c r="B235" s="59" t="n"/>
      <c r="C235" s="59" t="n"/>
      <c r="D235" s="59" t="n"/>
      <c r="E235" s="59" t="n"/>
      <c r="F235" s="59" t="n"/>
      <c r="G235" s="60" t="n"/>
      <c r="H235" s="59" t="n"/>
      <c r="I235" s="59" t="n"/>
      <c r="J235" s="59" t="n"/>
      <c r="K235" s="59" t="n"/>
      <c r="L235" s="59" t="n"/>
      <c r="M235" s="59" t="n"/>
      <c r="N235" s="59" t="n"/>
      <c r="O235" s="59" t="n"/>
      <c r="P235" s="59" t="n"/>
      <c r="Q235" s="59" t="n"/>
      <c r="R235" s="59" t="n"/>
      <c r="S235" s="59" t="n"/>
      <c r="T235" s="59" t="n"/>
      <c r="U235" s="59" t="n"/>
      <c r="V235" s="59" t="n"/>
      <c r="W235" s="59" t="n"/>
      <c r="X235" s="59" t="n"/>
      <c r="Y235" s="59" t="n"/>
      <c r="Z235" s="59" t="n"/>
      <c r="AA235" s="59" t="n"/>
      <c r="AB235" s="59" t="n"/>
      <c r="AC235" s="59" t="n"/>
      <c r="AD235" s="59" t="n"/>
    </row>
    <row r="236">
      <c r="A236" s="59" t="n"/>
      <c r="B236" s="59" t="n"/>
      <c r="C236" s="59" t="n"/>
      <c r="D236" s="59" t="n"/>
      <c r="E236" s="59" t="n"/>
      <c r="F236" s="59" t="n"/>
      <c r="G236" s="60" t="n"/>
      <c r="H236" s="59" t="n"/>
      <c r="I236" s="59" t="n"/>
      <c r="J236" s="59" t="n"/>
      <c r="K236" s="59" t="n"/>
      <c r="L236" s="59" t="n"/>
      <c r="M236" s="59" t="n"/>
      <c r="N236" s="59" t="n"/>
      <c r="O236" s="59" t="n"/>
      <c r="P236" s="59" t="n"/>
      <c r="Q236" s="59" t="n"/>
      <c r="R236" s="59" t="n"/>
      <c r="S236" s="59" t="n"/>
      <c r="T236" s="59" t="n"/>
      <c r="U236" s="59" t="n"/>
      <c r="V236" s="59" t="n"/>
      <c r="W236" s="59" t="n"/>
      <c r="X236" s="59" t="n"/>
      <c r="Y236" s="59" t="n"/>
      <c r="Z236" s="59" t="n"/>
      <c r="AA236" s="59" t="n"/>
      <c r="AB236" s="59" t="n"/>
      <c r="AC236" s="59" t="n"/>
      <c r="AD236" s="59" t="n"/>
    </row>
    <row r="237">
      <c r="A237" s="59" t="n"/>
      <c r="B237" s="59" t="n"/>
      <c r="C237" s="59" t="n"/>
      <c r="D237" s="59" t="n"/>
      <c r="E237" s="59" t="n"/>
      <c r="F237" s="59" t="n"/>
      <c r="G237" s="60" t="n"/>
      <c r="H237" s="59" t="n"/>
      <c r="I237" s="59" t="n"/>
      <c r="J237" s="59" t="n"/>
      <c r="K237" s="59" t="n"/>
      <c r="L237" s="59" t="n"/>
      <c r="M237" s="59" t="n"/>
      <c r="N237" s="59" t="n"/>
      <c r="O237" s="59" t="n"/>
      <c r="P237" s="59" t="n"/>
      <c r="Q237" s="59" t="n"/>
      <c r="R237" s="59" t="n"/>
      <c r="S237" s="59" t="n"/>
      <c r="T237" s="59" t="n"/>
      <c r="U237" s="59" t="n"/>
      <c r="V237" s="59" t="n"/>
      <c r="W237" s="59" t="n"/>
      <c r="X237" s="59" t="n"/>
      <c r="Y237" s="59" t="n"/>
      <c r="Z237" s="59" t="n"/>
      <c r="AA237" s="59" t="n"/>
      <c r="AB237" s="59" t="n"/>
      <c r="AC237" s="59" t="n"/>
      <c r="AD237" s="59" t="n"/>
    </row>
    <row r="238">
      <c r="A238" s="59" t="n"/>
      <c r="B238" s="59" t="n"/>
      <c r="C238" s="59" t="n"/>
      <c r="D238" s="59" t="n"/>
      <c r="E238" s="59" t="n"/>
      <c r="F238" s="59" t="n"/>
      <c r="G238" s="60" t="n"/>
      <c r="H238" s="59" t="n"/>
      <c r="I238" s="59" t="n"/>
      <c r="J238" s="59" t="n"/>
      <c r="K238" s="59" t="n"/>
      <c r="L238" s="59" t="n"/>
      <c r="M238" s="59" t="n"/>
      <c r="N238" s="59" t="n"/>
      <c r="O238" s="59" t="n"/>
      <c r="P238" s="59" t="n"/>
      <c r="Q238" s="59" t="n"/>
      <c r="R238" s="59" t="n"/>
      <c r="S238" s="59" t="n"/>
      <c r="T238" s="59" t="n"/>
      <c r="U238" s="59" t="n"/>
      <c r="V238" s="59" t="n"/>
      <c r="W238" s="59" t="n"/>
      <c r="X238" s="59" t="n"/>
      <c r="Y238" s="59" t="n"/>
      <c r="Z238" s="59" t="n"/>
      <c r="AA238" s="59" t="n"/>
      <c r="AB238" s="59" t="n"/>
      <c r="AC238" s="59" t="n"/>
      <c r="AD238" s="59" t="n"/>
    </row>
    <row r="239">
      <c r="A239" s="59" t="n"/>
      <c r="B239" s="59" t="n"/>
      <c r="C239" s="59" t="n"/>
      <c r="D239" s="59" t="n"/>
      <c r="E239" s="59" t="n"/>
      <c r="F239" s="59" t="n"/>
      <c r="G239" s="60" t="n"/>
      <c r="H239" s="59" t="n"/>
      <c r="I239" s="59" t="n"/>
      <c r="J239" s="59" t="n"/>
      <c r="K239" s="59" t="n"/>
      <c r="L239" s="59" t="n"/>
      <c r="M239" s="59" t="n"/>
      <c r="N239" s="59" t="n"/>
      <c r="O239" s="59" t="n"/>
      <c r="P239" s="59" t="n"/>
      <c r="Q239" s="59" t="n"/>
      <c r="R239" s="59" t="n"/>
      <c r="S239" s="59" t="n"/>
      <c r="T239" s="59" t="n"/>
      <c r="U239" s="59" t="n"/>
      <c r="V239" s="59" t="n"/>
      <c r="W239" s="59" t="n"/>
      <c r="X239" s="59" t="n"/>
      <c r="Y239" s="59" t="n"/>
      <c r="Z239" s="59" t="n"/>
      <c r="AA239" s="59" t="n"/>
      <c r="AB239" s="59" t="n"/>
      <c r="AC239" s="59" t="n"/>
      <c r="AD239" s="59" t="n"/>
    </row>
    <row r="240">
      <c r="A240" s="59" t="n"/>
      <c r="B240" s="59" t="n"/>
      <c r="C240" s="59" t="n"/>
      <c r="D240" s="59" t="n"/>
      <c r="E240" s="59" t="n"/>
      <c r="F240" s="59" t="n"/>
      <c r="G240" s="60" t="n"/>
      <c r="H240" s="59" t="n"/>
      <c r="I240" s="59" t="n"/>
      <c r="J240" s="59" t="n"/>
      <c r="K240" s="59" t="n"/>
      <c r="L240" s="59" t="n"/>
      <c r="M240" s="59" t="n"/>
      <c r="N240" s="59" t="n"/>
      <c r="O240" s="59" t="n"/>
      <c r="P240" s="59" t="n"/>
      <c r="Q240" s="59" t="n"/>
      <c r="R240" s="59" t="n"/>
      <c r="S240" s="59" t="n"/>
      <c r="T240" s="59" t="n"/>
      <c r="U240" s="59" t="n"/>
      <c r="V240" s="59" t="n"/>
      <c r="W240" s="59" t="n"/>
      <c r="X240" s="59" t="n"/>
      <c r="Y240" s="59" t="n"/>
      <c r="Z240" s="59" t="n"/>
      <c r="AA240" s="59" t="n"/>
      <c r="AB240" s="59" t="n"/>
      <c r="AC240" s="59" t="n"/>
      <c r="AD240" s="59" t="n"/>
    </row>
    <row r="241">
      <c r="A241" s="59" t="n"/>
      <c r="B241" s="59" t="n"/>
      <c r="C241" s="59" t="n"/>
      <c r="D241" s="59" t="n"/>
      <c r="E241" s="59" t="n"/>
      <c r="F241" s="59" t="n"/>
      <c r="G241" s="60" t="n"/>
      <c r="H241" s="59" t="n"/>
      <c r="I241" s="59" t="n"/>
      <c r="J241" s="59" t="n"/>
      <c r="K241" s="59" t="n"/>
      <c r="L241" s="59" t="n"/>
      <c r="M241" s="59" t="n"/>
      <c r="N241" s="59" t="n"/>
      <c r="O241" s="59" t="n"/>
      <c r="P241" s="59" t="n"/>
      <c r="Q241" s="59" t="n"/>
      <c r="R241" s="59" t="n"/>
      <c r="S241" s="59" t="n"/>
      <c r="T241" s="59" t="n"/>
      <c r="U241" s="59" t="n"/>
      <c r="V241" s="59" t="n"/>
      <c r="W241" s="59" t="n"/>
      <c r="X241" s="59" t="n"/>
      <c r="Y241" s="59" t="n"/>
      <c r="Z241" s="59" t="n"/>
      <c r="AA241" s="59" t="n"/>
      <c r="AB241" s="59" t="n"/>
      <c r="AC241" s="59" t="n"/>
      <c r="AD241" s="59" t="n"/>
    </row>
    <row r="242">
      <c r="A242" s="59" t="n"/>
      <c r="B242" s="59" t="n"/>
      <c r="C242" s="59" t="n"/>
      <c r="D242" s="59" t="n"/>
      <c r="E242" s="59" t="n"/>
      <c r="F242" s="59" t="n"/>
      <c r="G242" s="60" t="n"/>
      <c r="H242" s="59" t="n"/>
      <c r="I242" s="59" t="n"/>
      <c r="J242" s="59" t="n"/>
      <c r="K242" s="59" t="n"/>
      <c r="L242" s="59" t="n"/>
      <c r="M242" s="59" t="n"/>
      <c r="N242" s="59" t="n"/>
      <c r="O242" s="59" t="n"/>
      <c r="P242" s="59" t="n"/>
      <c r="Q242" s="59" t="n"/>
      <c r="R242" s="59" t="n"/>
      <c r="S242" s="59" t="n"/>
      <c r="T242" s="59" t="n"/>
      <c r="U242" s="59" t="n"/>
      <c r="V242" s="59" t="n"/>
      <c r="W242" s="59" t="n"/>
      <c r="X242" s="59" t="n"/>
      <c r="Y242" s="59" t="n"/>
      <c r="Z242" s="59" t="n"/>
      <c r="AA242" s="59" t="n"/>
      <c r="AB242" s="59" t="n"/>
      <c r="AC242" s="59" t="n"/>
      <c r="AD242" s="59" t="n"/>
    </row>
    <row r="243">
      <c r="A243" s="59" t="n"/>
      <c r="B243" s="59" t="n"/>
      <c r="C243" s="59" t="n"/>
      <c r="D243" s="59" t="n"/>
      <c r="E243" s="59" t="n"/>
      <c r="F243" s="59" t="n"/>
      <c r="G243" s="60" t="n"/>
      <c r="H243" s="59" t="n"/>
      <c r="I243" s="59" t="n"/>
      <c r="J243" s="59" t="n"/>
      <c r="K243" s="59" t="n"/>
      <c r="L243" s="59" t="n"/>
      <c r="M243" s="59" t="n"/>
      <c r="N243" s="59" t="n"/>
      <c r="O243" s="59" t="n"/>
      <c r="P243" s="59" t="n"/>
      <c r="Q243" s="59" t="n"/>
      <c r="R243" s="59" t="n"/>
      <c r="S243" s="59" t="n"/>
      <c r="T243" s="59" t="n"/>
      <c r="U243" s="59" t="n"/>
      <c r="V243" s="59" t="n"/>
      <c r="W243" s="59" t="n"/>
      <c r="X243" s="59" t="n"/>
      <c r="Y243" s="59" t="n"/>
      <c r="Z243" s="59" t="n"/>
      <c r="AA243" s="59" t="n"/>
      <c r="AB243" s="59" t="n"/>
      <c r="AC243" s="59" t="n"/>
      <c r="AD243" s="59" t="n"/>
    </row>
    <row r="244">
      <c r="A244" s="59" t="n"/>
      <c r="B244" s="59" t="n"/>
      <c r="C244" s="59" t="n"/>
      <c r="D244" s="59" t="n"/>
      <c r="E244" s="59" t="n"/>
      <c r="F244" s="59" t="n"/>
      <c r="G244" s="60" t="n"/>
      <c r="H244" s="59" t="n"/>
      <c r="I244" s="59" t="n"/>
      <c r="J244" s="59" t="n"/>
      <c r="K244" s="59" t="n"/>
      <c r="L244" s="59" t="n"/>
      <c r="M244" s="59" t="n"/>
      <c r="N244" s="59" t="n"/>
      <c r="O244" s="59" t="n"/>
      <c r="P244" s="59" t="n"/>
      <c r="Q244" s="59" t="n"/>
      <c r="R244" s="59" t="n"/>
      <c r="S244" s="59" t="n"/>
      <c r="T244" s="59" t="n"/>
      <c r="U244" s="59" t="n"/>
      <c r="V244" s="59" t="n"/>
      <c r="W244" s="59" t="n"/>
      <c r="X244" s="59" t="n"/>
      <c r="Y244" s="59" t="n"/>
      <c r="Z244" s="59" t="n"/>
      <c r="AA244" s="59" t="n"/>
      <c r="AB244" s="59" t="n"/>
      <c r="AC244" s="59" t="n"/>
      <c r="AD244" s="59" t="n"/>
    </row>
    <row r="245">
      <c r="A245" s="59" t="n"/>
      <c r="B245" s="59" t="n"/>
      <c r="C245" s="59" t="n"/>
      <c r="D245" s="59" t="n"/>
      <c r="E245" s="59" t="n"/>
      <c r="F245" s="59" t="n"/>
      <c r="G245" s="60" t="n"/>
      <c r="H245" s="59" t="n"/>
      <c r="I245" s="59" t="n"/>
      <c r="J245" s="59" t="n"/>
      <c r="K245" s="59" t="n"/>
      <c r="L245" s="59" t="n"/>
      <c r="M245" s="59" t="n"/>
      <c r="N245" s="59" t="n"/>
      <c r="O245" s="59" t="n"/>
      <c r="P245" s="59" t="n"/>
      <c r="Q245" s="59" t="n"/>
      <c r="R245" s="59" t="n"/>
      <c r="S245" s="59" t="n"/>
      <c r="T245" s="59" t="n"/>
      <c r="U245" s="59" t="n"/>
      <c r="V245" s="59" t="n"/>
      <c r="W245" s="59" t="n"/>
      <c r="X245" s="59" t="n"/>
      <c r="Y245" s="59" t="n"/>
      <c r="Z245" s="59" t="n"/>
      <c r="AA245" s="59" t="n"/>
      <c r="AB245" s="59" t="n"/>
      <c r="AC245" s="59" t="n"/>
      <c r="AD245" s="59" t="n"/>
    </row>
    <row r="246">
      <c r="A246" s="59" t="n"/>
      <c r="B246" s="59" t="n"/>
      <c r="C246" s="59" t="n"/>
      <c r="D246" s="59" t="n"/>
      <c r="E246" s="59" t="n"/>
      <c r="F246" s="59" t="n"/>
      <c r="G246" s="60" t="n"/>
      <c r="H246" s="59" t="n"/>
      <c r="I246" s="59" t="n"/>
      <c r="J246" s="59" t="n"/>
      <c r="K246" s="59" t="n"/>
      <c r="L246" s="59" t="n"/>
      <c r="M246" s="59" t="n"/>
      <c r="N246" s="59" t="n"/>
      <c r="O246" s="59" t="n"/>
      <c r="P246" s="59" t="n"/>
      <c r="Q246" s="59" t="n"/>
      <c r="R246" s="59" t="n"/>
      <c r="S246" s="59" t="n"/>
      <c r="T246" s="59" t="n"/>
      <c r="U246" s="59" t="n"/>
      <c r="V246" s="59" t="n"/>
      <c r="W246" s="59" t="n"/>
      <c r="X246" s="59" t="n"/>
      <c r="Y246" s="59" t="n"/>
      <c r="Z246" s="59" t="n"/>
      <c r="AA246" s="59" t="n"/>
      <c r="AB246" s="59" t="n"/>
      <c r="AC246" s="59" t="n"/>
      <c r="AD246" s="59" t="n"/>
    </row>
    <row r="247">
      <c r="A247" s="59" t="n"/>
      <c r="B247" s="59" t="n"/>
      <c r="C247" s="59" t="n"/>
      <c r="D247" s="59" t="n"/>
      <c r="E247" s="59" t="n"/>
      <c r="F247" s="59" t="n"/>
      <c r="G247" s="60" t="n"/>
      <c r="H247" s="59" t="n"/>
      <c r="I247" s="59" t="n"/>
      <c r="J247" s="59" t="n"/>
      <c r="K247" s="59" t="n"/>
      <c r="L247" s="59" t="n"/>
      <c r="M247" s="59" t="n"/>
      <c r="N247" s="59" t="n"/>
      <c r="O247" s="59" t="n"/>
      <c r="P247" s="59" t="n"/>
      <c r="Q247" s="59" t="n"/>
      <c r="R247" s="59" t="n"/>
      <c r="S247" s="59" t="n"/>
      <c r="T247" s="59" t="n"/>
      <c r="U247" s="59" t="n"/>
      <c r="V247" s="59" t="n"/>
      <c r="W247" s="59" t="n"/>
      <c r="X247" s="59" t="n"/>
      <c r="Y247" s="59" t="n"/>
      <c r="Z247" s="59" t="n"/>
      <c r="AA247" s="59" t="n"/>
      <c r="AB247" s="59" t="n"/>
      <c r="AC247" s="59" t="n"/>
      <c r="AD247" s="59" t="n"/>
    </row>
    <row r="248">
      <c r="A248" s="59" t="n"/>
      <c r="B248" s="59" t="n"/>
      <c r="C248" s="59" t="n"/>
      <c r="D248" s="59" t="n"/>
      <c r="E248" s="59" t="n"/>
      <c r="F248" s="59" t="n"/>
      <c r="G248" s="60" t="n"/>
      <c r="H248" s="59" t="n"/>
      <c r="I248" s="59" t="n"/>
      <c r="J248" s="59" t="n"/>
      <c r="K248" s="59" t="n"/>
      <c r="L248" s="59" t="n"/>
      <c r="M248" s="59" t="n"/>
      <c r="N248" s="59" t="n"/>
      <c r="O248" s="59" t="n"/>
      <c r="P248" s="59" t="n"/>
      <c r="Q248" s="59" t="n"/>
      <c r="R248" s="59" t="n"/>
      <c r="S248" s="59" t="n"/>
      <c r="T248" s="59" t="n"/>
      <c r="U248" s="59" t="n"/>
      <c r="V248" s="59" t="n"/>
      <c r="W248" s="59" t="n"/>
      <c r="X248" s="59" t="n"/>
      <c r="Y248" s="59" t="n"/>
      <c r="Z248" s="59" t="n"/>
      <c r="AA248" s="59" t="n"/>
      <c r="AB248" s="59" t="n"/>
      <c r="AC248" s="59" t="n"/>
      <c r="AD248" s="59" t="n"/>
    </row>
    <row r="249">
      <c r="A249" s="59" t="n"/>
      <c r="B249" s="59" t="n"/>
      <c r="C249" s="59" t="n"/>
      <c r="D249" s="59" t="n"/>
      <c r="E249" s="59" t="n"/>
      <c r="F249" s="59" t="n"/>
      <c r="G249" s="60" t="n"/>
      <c r="H249" s="59" t="n"/>
      <c r="I249" s="59" t="n"/>
      <c r="J249" s="59" t="n"/>
      <c r="K249" s="59" t="n"/>
      <c r="L249" s="59" t="n"/>
      <c r="M249" s="59" t="n"/>
      <c r="N249" s="59" t="n"/>
      <c r="O249" s="59" t="n"/>
      <c r="P249" s="59" t="n"/>
      <c r="Q249" s="59" t="n"/>
      <c r="R249" s="59" t="n"/>
      <c r="S249" s="59" t="n"/>
      <c r="T249" s="59" t="n"/>
      <c r="U249" s="59" t="n"/>
      <c r="V249" s="59" t="n"/>
      <c r="W249" s="59" t="n"/>
      <c r="X249" s="59" t="n"/>
      <c r="Y249" s="59" t="n"/>
      <c r="Z249" s="59" t="n"/>
      <c r="AA249" s="59" t="n"/>
      <c r="AB249" s="59" t="n"/>
      <c r="AC249" s="59" t="n"/>
      <c r="AD249" s="59" t="n"/>
    </row>
    <row r="250">
      <c r="A250" s="59" t="n"/>
      <c r="B250" s="59" t="n"/>
      <c r="C250" s="59" t="n"/>
      <c r="D250" s="59" t="n"/>
      <c r="E250" s="59" t="n"/>
      <c r="F250" s="59" t="n"/>
      <c r="G250" s="60" t="n"/>
      <c r="H250" s="59" t="n"/>
      <c r="I250" s="59" t="n"/>
      <c r="J250" s="59" t="n"/>
      <c r="K250" s="59" t="n"/>
      <c r="L250" s="59" t="n"/>
      <c r="M250" s="59" t="n"/>
      <c r="N250" s="59" t="n"/>
      <c r="O250" s="59" t="n"/>
      <c r="P250" s="59" t="n"/>
      <c r="Q250" s="59" t="n"/>
      <c r="R250" s="59" t="n"/>
      <c r="S250" s="59" t="n"/>
      <c r="T250" s="59" t="n"/>
      <c r="U250" s="59" t="n"/>
      <c r="V250" s="59" t="n"/>
      <c r="W250" s="59" t="n"/>
      <c r="X250" s="59" t="n"/>
      <c r="Y250" s="59" t="n"/>
      <c r="Z250" s="59" t="n"/>
      <c r="AA250" s="59" t="n"/>
      <c r="AB250" s="59" t="n"/>
      <c r="AC250" s="59" t="n"/>
      <c r="AD250" s="59" t="n"/>
    </row>
    <row r="251">
      <c r="A251" s="59" t="n"/>
      <c r="B251" s="59" t="n"/>
      <c r="C251" s="59" t="n"/>
      <c r="D251" s="59" t="n"/>
      <c r="E251" s="59" t="n"/>
      <c r="F251" s="59" t="n"/>
      <c r="G251" s="60" t="n"/>
      <c r="H251" s="59" t="n"/>
      <c r="I251" s="59" t="n"/>
      <c r="J251" s="59" t="n"/>
      <c r="K251" s="59" t="n"/>
      <c r="L251" s="59" t="n"/>
      <c r="M251" s="59" t="n"/>
      <c r="N251" s="59" t="n"/>
      <c r="O251" s="59" t="n"/>
      <c r="P251" s="59" t="n"/>
      <c r="Q251" s="59" t="n"/>
      <c r="R251" s="59" t="n"/>
      <c r="S251" s="59" t="n"/>
      <c r="T251" s="59" t="n"/>
      <c r="U251" s="59" t="n"/>
      <c r="V251" s="59" t="n"/>
      <c r="W251" s="59" t="n"/>
      <c r="X251" s="59" t="n"/>
      <c r="Y251" s="59" t="n"/>
      <c r="Z251" s="59" t="n"/>
      <c r="AA251" s="59" t="n"/>
      <c r="AB251" s="59" t="n"/>
      <c r="AC251" s="59" t="n"/>
      <c r="AD251" s="59" t="n"/>
    </row>
    <row r="252">
      <c r="A252" s="59" t="n"/>
      <c r="B252" s="59" t="n"/>
      <c r="C252" s="59" t="n"/>
      <c r="D252" s="59" t="n"/>
      <c r="E252" s="59" t="n"/>
      <c r="F252" s="59" t="n"/>
      <c r="G252" s="60" t="n"/>
      <c r="H252" s="59" t="n"/>
      <c r="I252" s="59" t="n"/>
      <c r="J252" s="59" t="n"/>
      <c r="K252" s="59" t="n"/>
      <c r="L252" s="59" t="n"/>
      <c r="M252" s="59" t="n"/>
      <c r="N252" s="59" t="n"/>
      <c r="O252" s="59" t="n"/>
      <c r="P252" s="59" t="n"/>
      <c r="Q252" s="59" t="n"/>
      <c r="R252" s="59" t="n"/>
      <c r="S252" s="59" t="n"/>
      <c r="T252" s="59" t="n"/>
      <c r="U252" s="59" t="n"/>
      <c r="V252" s="59" t="n"/>
      <c r="W252" s="59" t="n"/>
      <c r="X252" s="59" t="n"/>
      <c r="Y252" s="59" t="n"/>
      <c r="Z252" s="59" t="n"/>
      <c r="AA252" s="59" t="n"/>
      <c r="AB252" s="59" t="n"/>
      <c r="AC252" s="59" t="n"/>
      <c r="AD252" s="59" t="n"/>
    </row>
    <row r="253">
      <c r="A253" s="59" t="n"/>
      <c r="B253" s="59" t="n"/>
      <c r="C253" s="59" t="n"/>
      <c r="D253" s="59" t="n"/>
      <c r="E253" s="59" t="n"/>
      <c r="F253" s="59" t="n"/>
      <c r="G253" s="60" t="n"/>
      <c r="H253" s="59" t="n"/>
      <c r="I253" s="59" t="n"/>
      <c r="J253" s="59" t="n"/>
      <c r="K253" s="59" t="n"/>
      <c r="L253" s="59" t="n"/>
      <c r="M253" s="59" t="n"/>
      <c r="N253" s="59" t="n"/>
      <c r="O253" s="59" t="n"/>
      <c r="P253" s="59" t="n"/>
      <c r="Q253" s="59" t="n"/>
      <c r="R253" s="59" t="n"/>
      <c r="S253" s="59" t="n"/>
      <c r="T253" s="59" t="n"/>
      <c r="U253" s="59" t="n"/>
      <c r="V253" s="59" t="n"/>
      <c r="W253" s="59" t="n"/>
      <c r="X253" s="59" t="n"/>
      <c r="Y253" s="59" t="n"/>
      <c r="Z253" s="59" t="n"/>
      <c r="AA253" s="59" t="n"/>
      <c r="AB253" s="59" t="n"/>
      <c r="AC253" s="59" t="n"/>
      <c r="AD253" s="59" t="n"/>
    </row>
    <row r="254">
      <c r="A254" s="59" t="n"/>
      <c r="B254" s="59" t="n"/>
      <c r="C254" s="59" t="n"/>
      <c r="D254" s="59" t="n"/>
      <c r="E254" s="59" t="n"/>
      <c r="F254" s="59" t="n"/>
      <c r="G254" s="60" t="n"/>
      <c r="H254" s="59" t="n"/>
      <c r="I254" s="59" t="n"/>
      <c r="J254" s="59" t="n"/>
      <c r="K254" s="59" t="n"/>
      <c r="L254" s="59" t="n"/>
      <c r="M254" s="59" t="n"/>
      <c r="N254" s="59" t="n"/>
      <c r="O254" s="59" t="n"/>
      <c r="P254" s="59" t="n"/>
      <c r="Q254" s="59" t="n"/>
      <c r="R254" s="59" t="n"/>
      <c r="S254" s="59" t="n"/>
      <c r="T254" s="59" t="n"/>
      <c r="U254" s="59" t="n"/>
      <c r="V254" s="59" t="n"/>
      <c r="W254" s="59" t="n"/>
      <c r="X254" s="59" t="n"/>
      <c r="Y254" s="59" t="n"/>
      <c r="Z254" s="59" t="n"/>
      <c r="AA254" s="59" t="n"/>
      <c r="AB254" s="59" t="n"/>
      <c r="AC254" s="59" t="n"/>
      <c r="AD254" s="59" t="n"/>
    </row>
    <row r="255">
      <c r="A255" s="59" t="n"/>
      <c r="B255" s="59" t="n"/>
      <c r="C255" s="59" t="n"/>
      <c r="D255" s="59" t="n"/>
      <c r="E255" s="59" t="n"/>
      <c r="F255" s="59" t="n"/>
      <c r="G255" s="60" t="n"/>
      <c r="H255" s="59" t="n"/>
      <c r="I255" s="59" t="n"/>
      <c r="J255" s="59" t="n"/>
      <c r="K255" s="59" t="n"/>
      <c r="L255" s="59" t="n"/>
      <c r="M255" s="59" t="n"/>
      <c r="N255" s="59" t="n"/>
      <c r="O255" s="59" t="n"/>
      <c r="P255" s="59" t="n"/>
      <c r="Q255" s="59" t="n"/>
      <c r="R255" s="59" t="n"/>
      <c r="S255" s="59" t="n"/>
      <c r="T255" s="59" t="n"/>
      <c r="U255" s="59" t="n"/>
      <c r="V255" s="59" t="n"/>
      <c r="W255" s="59" t="n"/>
      <c r="X255" s="59" t="n"/>
      <c r="Y255" s="59" t="n"/>
      <c r="Z255" s="59" t="n"/>
      <c r="AA255" s="59" t="n"/>
      <c r="AB255" s="59" t="n"/>
      <c r="AC255" s="59" t="n"/>
      <c r="AD255" s="59" t="n"/>
    </row>
    <row r="256">
      <c r="A256" s="59" t="n"/>
      <c r="B256" s="59" t="n"/>
      <c r="C256" s="59" t="n"/>
      <c r="D256" s="59" t="n"/>
      <c r="E256" s="59" t="n"/>
      <c r="F256" s="59" t="n"/>
      <c r="G256" s="60" t="n"/>
      <c r="H256" s="59" t="n"/>
      <c r="I256" s="59" t="n"/>
      <c r="J256" s="59" t="n"/>
      <c r="K256" s="59" t="n"/>
      <c r="L256" s="59" t="n"/>
      <c r="M256" s="59" t="n"/>
      <c r="N256" s="59" t="n"/>
      <c r="O256" s="59" t="n"/>
      <c r="P256" s="59" t="n"/>
      <c r="Q256" s="59" t="n"/>
      <c r="R256" s="59" t="n"/>
      <c r="S256" s="59" t="n"/>
      <c r="T256" s="59" t="n"/>
      <c r="U256" s="59" t="n"/>
      <c r="V256" s="59" t="n"/>
      <c r="W256" s="59" t="n"/>
      <c r="X256" s="59" t="n"/>
      <c r="Y256" s="59" t="n"/>
      <c r="Z256" s="59" t="n"/>
      <c r="AA256" s="59" t="n"/>
      <c r="AB256" s="59" t="n"/>
      <c r="AC256" s="59" t="n"/>
      <c r="AD256" s="59" t="n"/>
    </row>
    <row r="257">
      <c r="A257" s="59" t="n"/>
      <c r="B257" s="59" t="n"/>
      <c r="C257" s="59" t="n"/>
      <c r="D257" s="59" t="n"/>
      <c r="E257" s="59" t="n"/>
      <c r="F257" s="59" t="n"/>
      <c r="G257" s="60" t="n"/>
      <c r="H257" s="59" t="n"/>
      <c r="I257" s="59" t="n"/>
      <c r="J257" s="59" t="n"/>
      <c r="K257" s="59" t="n"/>
      <c r="L257" s="59" t="n"/>
      <c r="M257" s="59" t="n"/>
      <c r="N257" s="59" t="n"/>
      <c r="O257" s="59" t="n"/>
      <c r="P257" s="59" t="n"/>
      <c r="Q257" s="59" t="n"/>
      <c r="R257" s="59" t="n"/>
      <c r="S257" s="59" t="n"/>
      <c r="T257" s="59" t="n"/>
      <c r="U257" s="59" t="n"/>
      <c r="V257" s="59" t="n"/>
      <c r="W257" s="59" t="n"/>
      <c r="X257" s="59" t="n"/>
      <c r="Y257" s="59" t="n"/>
      <c r="Z257" s="59" t="n"/>
      <c r="AA257" s="59" t="n"/>
      <c r="AB257" s="59" t="n"/>
      <c r="AC257" s="59" t="n"/>
      <c r="AD257" s="59" t="n"/>
    </row>
    <row r="258">
      <c r="A258" s="59" t="n"/>
      <c r="B258" s="59" t="n"/>
      <c r="C258" s="59" t="n"/>
      <c r="D258" s="59" t="n"/>
      <c r="E258" s="59" t="n"/>
      <c r="F258" s="59" t="n"/>
      <c r="G258" s="60" t="n"/>
      <c r="H258" s="59" t="n"/>
      <c r="I258" s="59" t="n"/>
      <c r="J258" s="59" t="n"/>
      <c r="K258" s="59" t="n"/>
      <c r="L258" s="59" t="n"/>
      <c r="M258" s="59" t="n"/>
      <c r="N258" s="59" t="n"/>
      <c r="O258" s="59" t="n"/>
      <c r="P258" s="59" t="n"/>
      <c r="Q258" s="59" t="n"/>
      <c r="R258" s="59" t="n"/>
      <c r="S258" s="59" t="n"/>
      <c r="T258" s="59" t="n"/>
      <c r="U258" s="59" t="n"/>
      <c r="V258" s="59" t="n"/>
      <c r="W258" s="59" t="n"/>
      <c r="X258" s="59" t="n"/>
      <c r="Y258" s="59" t="n"/>
      <c r="Z258" s="59" t="n"/>
      <c r="AA258" s="59" t="n"/>
      <c r="AB258" s="59" t="n"/>
      <c r="AC258" s="59" t="n"/>
      <c r="AD258" s="59" t="n"/>
    </row>
    <row r="259">
      <c r="A259" s="59" t="n"/>
      <c r="B259" s="59" t="n"/>
      <c r="C259" s="59" t="n"/>
      <c r="D259" s="59" t="n"/>
      <c r="E259" s="59" t="n"/>
      <c r="F259" s="59" t="n"/>
      <c r="G259" s="60" t="n"/>
      <c r="H259" s="59" t="n"/>
      <c r="I259" s="59" t="n"/>
      <c r="J259" s="59" t="n"/>
      <c r="K259" s="59" t="n"/>
      <c r="L259" s="59" t="n"/>
      <c r="M259" s="59" t="n"/>
      <c r="N259" s="59" t="n"/>
      <c r="O259" s="59" t="n"/>
      <c r="P259" s="59" t="n"/>
      <c r="Q259" s="59" t="n"/>
      <c r="R259" s="59" t="n"/>
      <c r="S259" s="59" t="n"/>
      <c r="T259" s="59" t="n"/>
      <c r="U259" s="59" t="n"/>
      <c r="V259" s="59" t="n"/>
      <c r="W259" s="59" t="n"/>
      <c r="X259" s="59" t="n"/>
      <c r="Y259" s="59" t="n"/>
      <c r="Z259" s="59" t="n"/>
      <c r="AA259" s="59" t="n"/>
      <c r="AB259" s="59" t="n"/>
      <c r="AC259" s="59" t="n"/>
      <c r="AD259" s="59" t="n"/>
    </row>
    <row r="260">
      <c r="A260" s="59" t="n"/>
      <c r="B260" s="59" t="n"/>
      <c r="C260" s="59" t="n"/>
      <c r="D260" s="59" t="n"/>
      <c r="E260" s="59" t="n"/>
      <c r="F260" s="59" t="n"/>
      <c r="G260" s="60" t="n"/>
      <c r="H260" s="59" t="n"/>
      <c r="I260" s="59" t="n"/>
      <c r="J260" s="59" t="n"/>
      <c r="K260" s="59" t="n"/>
      <c r="L260" s="59" t="n"/>
      <c r="M260" s="59" t="n"/>
      <c r="N260" s="59" t="n"/>
      <c r="O260" s="59" t="n"/>
      <c r="P260" s="59" t="n"/>
      <c r="Q260" s="59" t="n"/>
      <c r="R260" s="59" t="n"/>
      <c r="S260" s="59" t="n"/>
      <c r="T260" s="59" t="n"/>
      <c r="U260" s="59" t="n"/>
      <c r="V260" s="59" t="n"/>
      <c r="W260" s="59" t="n"/>
      <c r="X260" s="59" t="n"/>
      <c r="Y260" s="59" t="n"/>
      <c r="Z260" s="59" t="n"/>
      <c r="AA260" s="59" t="n"/>
      <c r="AB260" s="59" t="n"/>
      <c r="AC260" s="59" t="n"/>
      <c r="AD260" s="59" t="n"/>
    </row>
    <row r="261">
      <c r="A261" s="59" t="n"/>
      <c r="B261" s="59" t="n"/>
      <c r="C261" s="59" t="n"/>
      <c r="D261" s="59" t="n"/>
      <c r="E261" s="59" t="n"/>
      <c r="F261" s="59" t="n"/>
      <c r="G261" s="60" t="n"/>
      <c r="H261" s="59" t="n"/>
      <c r="I261" s="59" t="n"/>
      <c r="J261" s="59" t="n"/>
      <c r="K261" s="59" t="n"/>
      <c r="L261" s="59" t="n"/>
      <c r="M261" s="59" t="n"/>
      <c r="N261" s="59" t="n"/>
      <c r="O261" s="59" t="n"/>
      <c r="P261" s="59" t="n"/>
      <c r="Q261" s="59" t="n"/>
      <c r="R261" s="59" t="n"/>
      <c r="S261" s="59" t="n"/>
      <c r="T261" s="59" t="n"/>
      <c r="U261" s="59" t="n"/>
      <c r="V261" s="59" t="n"/>
      <c r="W261" s="59" t="n"/>
      <c r="X261" s="59" t="n"/>
      <c r="Y261" s="59" t="n"/>
      <c r="Z261" s="59" t="n"/>
      <c r="AA261" s="59" t="n"/>
      <c r="AB261" s="59" t="n"/>
      <c r="AC261" s="59" t="n"/>
      <c r="AD261" s="59" t="n"/>
    </row>
    <row r="262">
      <c r="A262" s="59" t="n"/>
      <c r="B262" s="59" t="n"/>
      <c r="C262" s="59" t="n"/>
      <c r="D262" s="59" t="n"/>
      <c r="E262" s="59" t="n"/>
      <c r="F262" s="59" t="n"/>
      <c r="G262" s="60" t="n"/>
      <c r="H262" s="59" t="n"/>
      <c r="I262" s="59" t="n"/>
      <c r="J262" s="59" t="n"/>
      <c r="K262" s="59" t="n"/>
      <c r="L262" s="59" t="n"/>
      <c r="M262" s="59" t="n"/>
      <c r="N262" s="59" t="n"/>
      <c r="O262" s="59" t="n"/>
      <c r="P262" s="59" t="n"/>
      <c r="Q262" s="59" t="n"/>
      <c r="R262" s="59" t="n"/>
      <c r="S262" s="59" t="n"/>
      <c r="T262" s="59" t="n"/>
      <c r="U262" s="59" t="n"/>
      <c r="V262" s="59" t="n"/>
      <c r="W262" s="59" t="n"/>
      <c r="X262" s="59" t="n"/>
      <c r="Y262" s="59" t="n"/>
      <c r="Z262" s="59" t="n"/>
      <c r="AA262" s="59" t="n"/>
      <c r="AB262" s="59" t="n"/>
      <c r="AC262" s="59" t="n"/>
      <c r="AD262" s="59" t="n"/>
    </row>
    <row r="263">
      <c r="A263" s="59" t="n"/>
      <c r="B263" s="59" t="n"/>
      <c r="C263" s="59" t="n"/>
      <c r="D263" s="59" t="n"/>
      <c r="E263" s="59" t="n"/>
      <c r="F263" s="59" t="n"/>
      <c r="G263" s="60" t="n"/>
      <c r="H263" s="59" t="n"/>
      <c r="I263" s="59" t="n"/>
      <c r="J263" s="59" t="n"/>
      <c r="K263" s="59" t="n"/>
      <c r="L263" s="59" t="n"/>
      <c r="M263" s="59" t="n"/>
      <c r="N263" s="59" t="n"/>
      <c r="O263" s="59" t="n"/>
      <c r="P263" s="59" t="n"/>
      <c r="Q263" s="59" t="n"/>
      <c r="R263" s="59" t="n"/>
      <c r="S263" s="59" t="n"/>
      <c r="T263" s="59" t="n"/>
      <c r="U263" s="59" t="n"/>
      <c r="V263" s="59" t="n"/>
      <c r="W263" s="59" t="n"/>
      <c r="X263" s="59" t="n"/>
      <c r="Y263" s="59" t="n"/>
      <c r="Z263" s="59" t="n"/>
      <c r="AA263" s="59" t="n"/>
      <c r="AB263" s="59" t="n"/>
      <c r="AC263" s="59" t="n"/>
      <c r="AD263" s="59" t="n"/>
    </row>
    <row r="264">
      <c r="A264" s="59" t="n"/>
      <c r="B264" s="59" t="n"/>
      <c r="C264" s="59" t="n"/>
      <c r="D264" s="59" t="n"/>
      <c r="E264" s="59" t="n"/>
      <c r="F264" s="59" t="n"/>
      <c r="G264" s="60" t="n"/>
      <c r="H264" s="59" t="n"/>
      <c r="I264" s="59" t="n"/>
      <c r="J264" s="59" t="n"/>
      <c r="K264" s="59" t="n"/>
      <c r="L264" s="59" t="n"/>
      <c r="M264" s="59" t="n"/>
      <c r="N264" s="59" t="n"/>
      <c r="O264" s="59" t="n"/>
      <c r="P264" s="59" t="n"/>
      <c r="Q264" s="59" t="n"/>
      <c r="R264" s="59" t="n"/>
      <c r="S264" s="59" t="n"/>
      <c r="T264" s="59" t="n"/>
      <c r="U264" s="59" t="n"/>
      <c r="V264" s="59" t="n"/>
      <c r="W264" s="59" t="n"/>
      <c r="X264" s="59" t="n"/>
      <c r="Y264" s="59" t="n"/>
      <c r="Z264" s="59" t="n"/>
      <c r="AA264" s="59" t="n"/>
      <c r="AB264" s="59" t="n"/>
      <c r="AC264" s="59" t="n"/>
      <c r="AD264" s="59" t="n"/>
    </row>
    <row r="265">
      <c r="A265" s="59" t="n"/>
      <c r="B265" s="59" t="n"/>
      <c r="C265" s="59" t="n"/>
      <c r="D265" s="59" t="n"/>
      <c r="E265" s="59" t="n"/>
      <c r="F265" s="59" t="n"/>
      <c r="G265" s="60" t="n"/>
      <c r="H265" s="59" t="n"/>
      <c r="I265" s="59" t="n"/>
      <c r="J265" s="59" t="n"/>
      <c r="K265" s="59" t="n"/>
      <c r="L265" s="59" t="n"/>
      <c r="M265" s="59" t="n"/>
      <c r="N265" s="59" t="n"/>
      <c r="O265" s="59" t="n"/>
      <c r="P265" s="59" t="n"/>
      <c r="Q265" s="59" t="n"/>
      <c r="R265" s="59" t="n"/>
      <c r="S265" s="59" t="n"/>
      <c r="T265" s="59" t="n"/>
      <c r="U265" s="59" t="n"/>
      <c r="V265" s="59" t="n"/>
      <c r="W265" s="59" t="n"/>
      <c r="X265" s="59" t="n"/>
      <c r="Y265" s="59" t="n"/>
      <c r="Z265" s="59" t="n"/>
      <c r="AA265" s="59" t="n"/>
      <c r="AB265" s="59" t="n"/>
      <c r="AC265" s="59" t="n"/>
      <c r="AD265" s="59" t="n"/>
    </row>
    <row r="266">
      <c r="A266" s="59" t="n"/>
      <c r="B266" s="59" t="n"/>
      <c r="C266" s="59" t="n"/>
      <c r="D266" s="59" t="n"/>
      <c r="E266" s="59" t="n"/>
      <c r="F266" s="59" t="n"/>
      <c r="G266" s="60" t="n"/>
      <c r="H266" s="59" t="n"/>
      <c r="I266" s="59" t="n"/>
      <c r="J266" s="59" t="n"/>
      <c r="K266" s="59" t="n"/>
      <c r="L266" s="59" t="n"/>
      <c r="M266" s="59" t="n"/>
      <c r="N266" s="59" t="n"/>
      <c r="O266" s="59" t="n"/>
      <c r="P266" s="59" t="n"/>
      <c r="Q266" s="59" t="n"/>
      <c r="R266" s="59" t="n"/>
      <c r="S266" s="59" t="n"/>
      <c r="T266" s="59" t="n"/>
      <c r="U266" s="59" t="n"/>
      <c r="V266" s="59" t="n"/>
      <c r="W266" s="59" t="n"/>
      <c r="X266" s="59" t="n"/>
      <c r="Y266" s="59" t="n"/>
      <c r="Z266" s="59" t="n"/>
      <c r="AA266" s="59" t="n"/>
      <c r="AB266" s="59" t="n"/>
      <c r="AC266" s="59" t="n"/>
      <c r="AD266" s="59" t="n"/>
    </row>
    <row r="267">
      <c r="A267" s="59" t="n"/>
      <c r="B267" s="59" t="n"/>
      <c r="C267" s="59" t="n"/>
      <c r="D267" s="59" t="n"/>
      <c r="E267" s="59" t="n"/>
      <c r="F267" s="59" t="n"/>
      <c r="G267" s="60" t="n"/>
      <c r="H267" s="59" t="n"/>
      <c r="I267" s="59" t="n"/>
      <c r="J267" s="59" t="n"/>
      <c r="K267" s="59" t="n"/>
      <c r="L267" s="59" t="n"/>
      <c r="M267" s="59" t="n"/>
      <c r="N267" s="59" t="n"/>
      <c r="O267" s="59" t="n"/>
      <c r="P267" s="59" t="n"/>
      <c r="Q267" s="59" t="n"/>
      <c r="R267" s="59" t="n"/>
      <c r="S267" s="59" t="n"/>
      <c r="T267" s="59" t="n"/>
      <c r="U267" s="59" t="n"/>
      <c r="V267" s="59" t="n"/>
      <c r="W267" s="59" t="n"/>
      <c r="X267" s="59" t="n"/>
      <c r="Y267" s="59" t="n"/>
      <c r="Z267" s="59" t="n"/>
      <c r="AA267" s="59" t="n"/>
      <c r="AB267" s="59" t="n"/>
      <c r="AC267" s="59" t="n"/>
      <c r="AD267" s="59" t="n"/>
    </row>
    <row r="268">
      <c r="A268" s="59" t="n"/>
      <c r="B268" s="59" t="n"/>
      <c r="C268" s="59" t="n"/>
      <c r="D268" s="59" t="n"/>
      <c r="E268" s="59" t="n"/>
      <c r="F268" s="59" t="n"/>
      <c r="G268" s="60" t="n"/>
      <c r="H268" s="59" t="n"/>
      <c r="I268" s="59" t="n"/>
      <c r="J268" s="59" t="n"/>
      <c r="K268" s="59" t="n"/>
      <c r="L268" s="59" t="n"/>
      <c r="M268" s="59" t="n"/>
      <c r="N268" s="59" t="n"/>
      <c r="O268" s="59" t="n"/>
      <c r="P268" s="59" t="n"/>
      <c r="Q268" s="59" t="n"/>
      <c r="R268" s="59" t="n"/>
      <c r="S268" s="59" t="n"/>
      <c r="T268" s="59" t="n"/>
      <c r="U268" s="59" t="n"/>
      <c r="V268" s="59" t="n"/>
      <c r="W268" s="59" t="n"/>
      <c r="X268" s="59" t="n"/>
      <c r="Y268" s="59" t="n"/>
      <c r="Z268" s="59" t="n"/>
      <c r="AA268" s="59" t="n"/>
      <c r="AB268" s="59" t="n"/>
      <c r="AC268" s="59" t="n"/>
      <c r="AD268" s="59" t="n"/>
    </row>
    <row r="269">
      <c r="A269" s="59" t="n"/>
      <c r="B269" s="59" t="n"/>
      <c r="C269" s="59" t="n"/>
      <c r="D269" s="59" t="n"/>
      <c r="E269" s="59" t="n"/>
      <c r="F269" s="59" t="n"/>
      <c r="G269" s="60" t="n"/>
      <c r="H269" s="59" t="n"/>
      <c r="I269" s="59" t="n"/>
      <c r="J269" s="59" t="n"/>
      <c r="K269" s="59" t="n"/>
      <c r="L269" s="59" t="n"/>
      <c r="M269" s="59" t="n"/>
      <c r="N269" s="59" t="n"/>
      <c r="O269" s="59" t="n"/>
      <c r="P269" s="59" t="n"/>
      <c r="Q269" s="59" t="n"/>
      <c r="R269" s="59" t="n"/>
      <c r="S269" s="59" t="n"/>
      <c r="T269" s="59" t="n"/>
      <c r="U269" s="59" t="n"/>
      <c r="V269" s="59" t="n"/>
      <c r="W269" s="59" t="n"/>
      <c r="X269" s="59" t="n"/>
      <c r="Y269" s="59" t="n"/>
      <c r="Z269" s="59" t="n"/>
      <c r="AA269" s="59" t="n"/>
      <c r="AB269" s="59" t="n"/>
      <c r="AC269" s="59" t="n"/>
      <c r="AD269" s="59" t="n"/>
    </row>
    <row r="270">
      <c r="A270" s="59" t="n"/>
      <c r="B270" s="59" t="n"/>
      <c r="C270" s="59" t="n"/>
      <c r="D270" s="59" t="n"/>
      <c r="E270" s="59" t="n"/>
      <c r="F270" s="59" t="n"/>
      <c r="G270" s="60" t="n"/>
      <c r="H270" s="59" t="n"/>
      <c r="I270" s="59" t="n"/>
      <c r="J270" s="59" t="n"/>
      <c r="K270" s="59" t="n"/>
      <c r="L270" s="59" t="n"/>
      <c r="M270" s="59" t="n"/>
      <c r="N270" s="59" t="n"/>
      <c r="O270" s="59" t="n"/>
      <c r="P270" s="59" t="n"/>
      <c r="Q270" s="59" t="n"/>
      <c r="R270" s="59" t="n"/>
      <c r="S270" s="59" t="n"/>
      <c r="T270" s="59" t="n"/>
      <c r="U270" s="59" t="n"/>
      <c r="V270" s="59" t="n"/>
      <c r="W270" s="59" t="n"/>
      <c r="X270" s="59" t="n"/>
      <c r="Y270" s="59" t="n"/>
      <c r="Z270" s="59" t="n"/>
      <c r="AA270" s="59" t="n"/>
      <c r="AB270" s="59" t="n"/>
      <c r="AC270" s="59" t="n"/>
      <c r="AD270" s="59" t="n"/>
    </row>
    <row r="271">
      <c r="A271" s="59" t="n"/>
      <c r="B271" s="59" t="n"/>
      <c r="C271" s="59" t="n"/>
      <c r="D271" s="59" t="n"/>
      <c r="E271" s="59" t="n"/>
      <c r="F271" s="59" t="n"/>
      <c r="G271" s="60" t="n"/>
      <c r="H271" s="59" t="n"/>
      <c r="I271" s="59" t="n"/>
      <c r="J271" s="59" t="n"/>
      <c r="K271" s="59" t="n"/>
      <c r="L271" s="59" t="n"/>
      <c r="M271" s="59" t="n"/>
      <c r="N271" s="59" t="n"/>
      <c r="O271" s="59" t="n"/>
      <c r="P271" s="59" t="n"/>
      <c r="Q271" s="59" t="n"/>
      <c r="R271" s="59" t="n"/>
      <c r="S271" s="59" t="n"/>
      <c r="T271" s="59" t="n"/>
      <c r="U271" s="59" t="n"/>
      <c r="V271" s="59" t="n"/>
      <c r="W271" s="59" t="n"/>
      <c r="X271" s="59" t="n"/>
      <c r="Y271" s="59" t="n"/>
      <c r="Z271" s="59" t="n"/>
      <c r="AA271" s="59" t="n"/>
      <c r="AB271" s="59" t="n"/>
      <c r="AC271" s="59" t="n"/>
      <c r="AD271" s="59" t="n"/>
    </row>
    <row r="272">
      <c r="A272" s="59" t="n"/>
      <c r="B272" s="59" t="n"/>
      <c r="C272" s="59" t="n"/>
      <c r="D272" s="59" t="n"/>
      <c r="E272" s="59" t="n"/>
      <c r="F272" s="59" t="n"/>
      <c r="G272" s="60" t="n"/>
      <c r="H272" s="59" t="n"/>
      <c r="I272" s="59" t="n"/>
      <c r="J272" s="59" t="n"/>
      <c r="K272" s="59" t="n"/>
      <c r="L272" s="59" t="n"/>
      <c r="M272" s="59" t="n"/>
      <c r="N272" s="59" t="n"/>
      <c r="O272" s="59" t="n"/>
      <c r="P272" s="59" t="n"/>
      <c r="Q272" s="59" t="n"/>
      <c r="R272" s="59" t="n"/>
      <c r="S272" s="59" t="n"/>
      <c r="T272" s="59" t="n"/>
      <c r="U272" s="59" t="n"/>
      <c r="V272" s="59" t="n"/>
      <c r="W272" s="59" t="n"/>
      <c r="X272" s="59" t="n"/>
      <c r="Y272" s="59" t="n"/>
      <c r="Z272" s="59" t="n"/>
      <c r="AA272" s="59" t="n"/>
      <c r="AB272" s="59" t="n"/>
      <c r="AC272" s="59" t="n"/>
      <c r="AD272" s="59" t="n"/>
    </row>
    <row r="273">
      <c r="A273" s="59" t="n"/>
      <c r="B273" s="59" t="n"/>
      <c r="C273" s="59" t="n"/>
      <c r="D273" s="59" t="n"/>
      <c r="E273" s="59" t="n"/>
      <c r="F273" s="59" t="n"/>
      <c r="G273" s="60" t="n"/>
      <c r="H273" s="59" t="n"/>
      <c r="I273" s="59" t="n"/>
      <c r="J273" s="59" t="n"/>
      <c r="K273" s="59" t="n"/>
      <c r="L273" s="59" t="n"/>
      <c r="M273" s="59" t="n"/>
      <c r="N273" s="59" t="n"/>
      <c r="O273" s="59" t="n"/>
      <c r="P273" s="59" t="n"/>
      <c r="Q273" s="59" t="n"/>
      <c r="R273" s="59" t="n"/>
      <c r="S273" s="59" t="n"/>
      <c r="T273" s="59" t="n"/>
      <c r="U273" s="59" t="n"/>
      <c r="V273" s="59" t="n"/>
      <c r="W273" s="59" t="n"/>
      <c r="X273" s="59" t="n"/>
      <c r="Y273" s="59" t="n"/>
      <c r="Z273" s="59" t="n"/>
      <c r="AA273" s="59" t="n"/>
      <c r="AB273" s="59" t="n"/>
      <c r="AC273" s="59" t="n"/>
      <c r="AD273" s="59" t="n"/>
    </row>
    <row r="274">
      <c r="A274" s="59" t="n"/>
      <c r="B274" s="59" t="n"/>
      <c r="C274" s="59" t="n"/>
      <c r="D274" s="59" t="n"/>
      <c r="E274" s="59" t="n"/>
      <c r="F274" s="59" t="n"/>
      <c r="G274" s="60" t="n"/>
      <c r="H274" s="59" t="n"/>
      <c r="I274" s="59" t="n"/>
      <c r="J274" s="59" t="n"/>
      <c r="K274" s="59" t="n"/>
      <c r="L274" s="59" t="n"/>
      <c r="M274" s="59" t="n"/>
      <c r="N274" s="59" t="n"/>
      <c r="O274" s="59" t="n"/>
      <c r="P274" s="59" t="n"/>
      <c r="Q274" s="59" t="n"/>
      <c r="R274" s="59" t="n"/>
      <c r="S274" s="59" t="n"/>
      <c r="T274" s="59" t="n"/>
      <c r="U274" s="59" t="n"/>
      <c r="V274" s="59" t="n"/>
      <c r="W274" s="59" t="n"/>
      <c r="X274" s="59" t="n"/>
      <c r="Y274" s="59" t="n"/>
      <c r="Z274" s="59" t="n"/>
      <c r="AA274" s="59" t="n"/>
      <c r="AB274" s="59" t="n"/>
      <c r="AC274" s="59" t="n"/>
      <c r="AD274" s="59" t="n"/>
    </row>
    <row r="275">
      <c r="A275" s="59" t="n"/>
      <c r="B275" s="59" t="n"/>
      <c r="C275" s="59" t="n"/>
      <c r="D275" s="59" t="n"/>
      <c r="E275" s="59" t="n"/>
      <c r="F275" s="59" t="n"/>
      <c r="G275" s="60" t="n"/>
      <c r="H275" s="59" t="n"/>
      <c r="I275" s="59" t="n"/>
      <c r="J275" s="59" t="n"/>
      <c r="K275" s="59" t="n"/>
      <c r="L275" s="59" t="n"/>
      <c r="M275" s="59" t="n"/>
      <c r="N275" s="59" t="n"/>
      <c r="O275" s="59" t="n"/>
      <c r="P275" s="59" t="n"/>
      <c r="Q275" s="59" t="n"/>
      <c r="R275" s="59" t="n"/>
      <c r="S275" s="59" t="n"/>
      <c r="T275" s="59" t="n"/>
      <c r="U275" s="59" t="n"/>
      <c r="V275" s="59" t="n"/>
      <c r="W275" s="59" t="n"/>
      <c r="X275" s="59" t="n"/>
      <c r="Y275" s="59" t="n"/>
      <c r="Z275" s="59" t="n"/>
      <c r="AA275" s="59" t="n"/>
      <c r="AB275" s="59" t="n"/>
      <c r="AC275" s="59" t="n"/>
      <c r="AD275" s="59" t="n"/>
    </row>
    <row r="276">
      <c r="A276" s="59" t="n"/>
      <c r="B276" s="59" t="n"/>
      <c r="C276" s="59" t="n"/>
      <c r="D276" s="59" t="n"/>
      <c r="E276" s="59" t="n"/>
      <c r="F276" s="59" t="n"/>
      <c r="G276" s="60" t="n"/>
      <c r="H276" s="59" t="n"/>
      <c r="I276" s="59" t="n"/>
      <c r="J276" s="59" t="n"/>
      <c r="K276" s="59" t="n"/>
      <c r="L276" s="59" t="n"/>
      <c r="M276" s="59" t="n"/>
      <c r="N276" s="59" t="n"/>
      <c r="O276" s="59" t="n"/>
      <c r="P276" s="59" t="n"/>
      <c r="Q276" s="59" t="n"/>
      <c r="R276" s="59" t="n"/>
      <c r="S276" s="59" t="n"/>
      <c r="T276" s="59" t="n"/>
      <c r="U276" s="59" t="n"/>
      <c r="V276" s="59" t="n"/>
      <c r="W276" s="59" t="n"/>
      <c r="X276" s="59" t="n"/>
      <c r="Y276" s="59" t="n"/>
      <c r="Z276" s="59" t="n"/>
      <c r="AA276" s="59" t="n"/>
      <c r="AB276" s="59" t="n"/>
      <c r="AC276" s="59" t="n"/>
      <c r="AD276" s="59" t="n"/>
    </row>
    <row r="277">
      <c r="A277" s="59" t="n"/>
      <c r="B277" s="59" t="n"/>
      <c r="C277" s="59" t="n"/>
      <c r="D277" s="59" t="n"/>
      <c r="E277" s="59" t="n"/>
      <c r="F277" s="59" t="n"/>
      <c r="G277" s="60" t="n"/>
      <c r="H277" s="59" t="n"/>
      <c r="I277" s="59" t="n"/>
      <c r="J277" s="59" t="n"/>
      <c r="K277" s="59" t="n"/>
      <c r="L277" s="59" t="n"/>
      <c r="M277" s="59" t="n"/>
      <c r="N277" s="59" t="n"/>
      <c r="O277" s="59" t="n"/>
      <c r="P277" s="59" t="n"/>
      <c r="Q277" s="59" t="n"/>
      <c r="R277" s="59" t="n"/>
      <c r="S277" s="59" t="n"/>
      <c r="T277" s="59" t="n"/>
      <c r="U277" s="59" t="n"/>
      <c r="V277" s="59" t="n"/>
      <c r="W277" s="59" t="n"/>
      <c r="X277" s="59" t="n"/>
      <c r="Y277" s="59" t="n"/>
      <c r="Z277" s="59" t="n"/>
      <c r="AA277" s="59" t="n"/>
      <c r="AB277" s="59" t="n"/>
      <c r="AC277" s="59" t="n"/>
      <c r="AD277" s="59" t="n"/>
    </row>
    <row r="278">
      <c r="A278" s="59" t="n"/>
      <c r="B278" s="59" t="n"/>
      <c r="C278" s="59" t="n"/>
      <c r="D278" s="59" t="n"/>
      <c r="E278" s="59" t="n"/>
      <c r="F278" s="59" t="n"/>
      <c r="G278" s="60" t="n"/>
      <c r="H278" s="59" t="n"/>
      <c r="I278" s="59" t="n"/>
      <c r="J278" s="59" t="n"/>
      <c r="K278" s="59" t="n"/>
      <c r="L278" s="59" t="n"/>
      <c r="M278" s="59" t="n"/>
      <c r="N278" s="59" t="n"/>
      <c r="O278" s="59" t="n"/>
      <c r="P278" s="59" t="n"/>
      <c r="Q278" s="59" t="n"/>
      <c r="R278" s="59" t="n"/>
      <c r="S278" s="59" t="n"/>
      <c r="T278" s="59" t="n"/>
      <c r="U278" s="59" t="n"/>
      <c r="V278" s="59" t="n"/>
      <c r="W278" s="59" t="n"/>
      <c r="X278" s="59" t="n"/>
      <c r="Y278" s="59" t="n"/>
      <c r="Z278" s="59" t="n"/>
      <c r="AA278" s="59" t="n"/>
      <c r="AB278" s="59" t="n"/>
      <c r="AC278" s="59" t="n"/>
      <c r="AD278" s="59" t="n"/>
    </row>
    <row r="279">
      <c r="A279" s="59" t="n"/>
      <c r="B279" s="59" t="n"/>
      <c r="C279" s="59" t="n"/>
      <c r="D279" s="59" t="n"/>
      <c r="E279" s="59" t="n"/>
      <c r="F279" s="59" t="n"/>
      <c r="G279" s="60" t="n"/>
      <c r="H279" s="59" t="n"/>
      <c r="I279" s="59" t="n"/>
      <c r="J279" s="59" t="n"/>
      <c r="K279" s="59" t="n"/>
      <c r="L279" s="59" t="n"/>
      <c r="M279" s="59" t="n"/>
      <c r="N279" s="59" t="n"/>
      <c r="O279" s="59" t="n"/>
      <c r="P279" s="59" t="n"/>
      <c r="Q279" s="59" t="n"/>
      <c r="R279" s="59" t="n"/>
      <c r="S279" s="59" t="n"/>
      <c r="T279" s="59" t="n"/>
      <c r="U279" s="59" t="n"/>
      <c r="V279" s="59" t="n"/>
      <c r="W279" s="59" t="n"/>
      <c r="X279" s="59" t="n"/>
      <c r="Y279" s="59" t="n"/>
      <c r="Z279" s="59" t="n"/>
      <c r="AA279" s="59" t="n"/>
      <c r="AB279" s="59" t="n"/>
      <c r="AC279" s="59" t="n"/>
      <c r="AD279" s="59" t="n"/>
    </row>
    <row r="280">
      <c r="A280" s="59" t="n"/>
      <c r="B280" s="59" t="n"/>
      <c r="C280" s="59" t="n"/>
      <c r="D280" s="59" t="n"/>
      <c r="E280" s="59" t="n"/>
      <c r="F280" s="59" t="n"/>
      <c r="G280" s="60" t="n"/>
      <c r="H280" s="59" t="n"/>
      <c r="I280" s="59" t="n"/>
      <c r="J280" s="59" t="n"/>
      <c r="K280" s="59" t="n"/>
      <c r="L280" s="59" t="n"/>
      <c r="M280" s="59" t="n"/>
      <c r="N280" s="59" t="n"/>
      <c r="O280" s="59" t="n"/>
      <c r="P280" s="59" t="n"/>
      <c r="Q280" s="59" t="n"/>
      <c r="R280" s="59" t="n"/>
      <c r="S280" s="59" t="n"/>
      <c r="T280" s="59" t="n"/>
      <c r="U280" s="59" t="n"/>
      <c r="V280" s="59" t="n"/>
      <c r="W280" s="59" t="n"/>
      <c r="X280" s="59" t="n"/>
      <c r="Y280" s="59" t="n"/>
      <c r="Z280" s="59" t="n"/>
      <c r="AA280" s="59" t="n"/>
      <c r="AB280" s="59" t="n"/>
      <c r="AC280" s="59" t="n"/>
      <c r="AD280" s="59" t="n"/>
    </row>
    <row r="281">
      <c r="A281" s="59" t="n"/>
      <c r="B281" s="59" t="n"/>
      <c r="C281" s="59" t="n"/>
      <c r="D281" s="59" t="n"/>
      <c r="E281" s="59" t="n"/>
      <c r="F281" s="59" t="n"/>
      <c r="G281" s="60" t="n"/>
      <c r="H281" s="59" t="n"/>
      <c r="I281" s="59" t="n"/>
      <c r="J281" s="59" t="n"/>
      <c r="K281" s="59" t="n"/>
      <c r="L281" s="59" t="n"/>
      <c r="M281" s="59" t="n"/>
      <c r="N281" s="59" t="n"/>
      <c r="O281" s="59" t="n"/>
      <c r="P281" s="59" t="n"/>
      <c r="Q281" s="59" t="n"/>
      <c r="R281" s="59" t="n"/>
      <c r="S281" s="59" t="n"/>
      <c r="T281" s="59" t="n"/>
      <c r="U281" s="59" t="n"/>
      <c r="V281" s="59" t="n"/>
      <c r="W281" s="59" t="n"/>
      <c r="X281" s="59" t="n"/>
      <c r="Y281" s="59" t="n"/>
      <c r="Z281" s="59" t="n"/>
      <c r="AA281" s="59" t="n"/>
      <c r="AB281" s="59" t="n"/>
      <c r="AC281" s="59" t="n"/>
      <c r="AD281" s="59" t="n"/>
    </row>
    <row r="282">
      <c r="A282" s="59" t="n"/>
      <c r="B282" s="59" t="n"/>
      <c r="C282" s="59" t="n"/>
      <c r="D282" s="59" t="n"/>
      <c r="E282" s="59" t="n"/>
      <c r="F282" s="59" t="n"/>
      <c r="G282" s="60" t="n"/>
      <c r="H282" s="59" t="n"/>
      <c r="I282" s="59" t="n"/>
      <c r="J282" s="59" t="n"/>
      <c r="K282" s="59" t="n"/>
      <c r="L282" s="59" t="n"/>
      <c r="M282" s="59" t="n"/>
      <c r="N282" s="59" t="n"/>
      <c r="O282" s="59" t="n"/>
      <c r="P282" s="59" t="n"/>
      <c r="Q282" s="59" t="n"/>
      <c r="R282" s="59" t="n"/>
      <c r="S282" s="59" t="n"/>
      <c r="T282" s="59" t="n"/>
      <c r="U282" s="59" t="n"/>
      <c r="V282" s="59" t="n"/>
      <c r="W282" s="59" t="n"/>
      <c r="X282" s="59" t="n"/>
      <c r="Y282" s="59" t="n"/>
      <c r="Z282" s="59" t="n"/>
      <c r="AA282" s="59" t="n"/>
      <c r="AB282" s="59" t="n"/>
      <c r="AC282" s="59" t="n"/>
      <c r="AD282" s="59" t="n"/>
    </row>
    <row r="283">
      <c r="A283" s="59" t="n"/>
      <c r="B283" s="59" t="n"/>
      <c r="C283" s="59" t="n"/>
      <c r="D283" s="59" t="n"/>
      <c r="E283" s="59" t="n"/>
      <c r="F283" s="59" t="n"/>
      <c r="G283" s="60" t="n"/>
      <c r="H283" s="59" t="n"/>
      <c r="I283" s="59" t="n"/>
      <c r="J283" s="59" t="n"/>
      <c r="K283" s="59" t="n"/>
      <c r="L283" s="59" t="n"/>
      <c r="M283" s="59" t="n"/>
      <c r="N283" s="59" t="n"/>
      <c r="O283" s="59" t="n"/>
      <c r="P283" s="59" t="n"/>
      <c r="Q283" s="59" t="n"/>
      <c r="R283" s="59" t="n"/>
      <c r="S283" s="59" t="n"/>
      <c r="T283" s="59" t="n"/>
      <c r="U283" s="59" t="n"/>
      <c r="V283" s="59" t="n"/>
      <c r="W283" s="59" t="n"/>
      <c r="X283" s="59" t="n"/>
      <c r="Y283" s="59" t="n"/>
      <c r="Z283" s="59" t="n"/>
      <c r="AA283" s="59" t="n"/>
      <c r="AB283" s="59" t="n"/>
      <c r="AC283" s="59" t="n"/>
      <c r="AD283" s="59" t="n"/>
    </row>
    <row r="284">
      <c r="A284" s="59" t="n"/>
      <c r="B284" s="59" t="n"/>
      <c r="C284" s="59" t="n"/>
      <c r="D284" s="59" t="n"/>
      <c r="E284" s="59" t="n"/>
      <c r="F284" s="59" t="n"/>
      <c r="G284" s="60" t="n"/>
      <c r="H284" s="59" t="n"/>
      <c r="I284" s="59" t="n"/>
      <c r="J284" s="59" t="n"/>
      <c r="K284" s="59" t="n"/>
      <c r="L284" s="59" t="n"/>
      <c r="M284" s="59" t="n"/>
      <c r="N284" s="59" t="n"/>
      <c r="O284" s="59" t="n"/>
      <c r="P284" s="59" t="n"/>
      <c r="Q284" s="59" t="n"/>
      <c r="R284" s="59" t="n"/>
      <c r="S284" s="59" t="n"/>
      <c r="T284" s="59" t="n"/>
      <c r="U284" s="59" t="n"/>
      <c r="V284" s="59" t="n"/>
      <c r="W284" s="59" t="n"/>
      <c r="X284" s="59" t="n"/>
      <c r="Y284" s="59" t="n"/>
      <c r="Z284" s="59" t="n"/>
      <c r="AA284" s="59" t="n"/>
      <c r="AB284" s="59" t="n"/>
      <c r="AC284" s="59" t="n"/>
      <c r="AD284" s="59" t="n"/>
    </row>
    <row r="285">
      <c r="A285" s="59" t="n"/>
      <c r="B285" s="59" t="n"/>
      <c r="C285" s="59" t="n"/>
      <c r="D285" s="59" t="n"/>
      <c r="E285" s="59" t="n"/>
      <c r="F285" s="59" t="n"/>
      <c r="G285" s="60" t="n"/>
      <c r="H285" s="59" t="n"/>
      <c r="I285" s="59" t="n"/>
      <c r="J285" s="59" t="n"/>
      <c r="K285" s="59" t="n"/>
      <c r="L285" s="59" t="n"/>
      <c r="M285" s="59" t="n"/>
      <c r="N285" s="59" t="n"/>
      <c r="O285" s="59" t="n"/>
      <c r="P285" s="59" t="n"/>
      <c r="Q285" s="59" t="n"/>
      <c r="R285" s="59" t="n"/>
      <c r="S285" s="59" t="n"/>
      <c r="T285" s="59" t="n"/>
      <c r="U285" s="59" t="n"/>
      <c r="V285" s="59" t="n"/>
      <c r="W285" s="59" t="n"/>
      <c r="X285" s="59" t="n"/>
      <c r="Y285" s="59" t="n"/>
      <c r="Z285" s="59" t="n"/>
      <c r="AA285" s="59" t="n"/>
      <c r="AB285" s="59" t="n"/>
      <c r="AC285" s="59" t="n"/>
      <c r="AD285" s="59" t="n"/>
    </row>
    <row r="286">
      <c r="A286" s="59" t="n"/>
      <c r="B286" s="59" t="n"/>
      <c r="C286" s="59" t="n"/>
      <c r="D286" s="59" t="n"/>
      <c r="E286" s="59" t="n"/>
      <c r="F286" s="59" t="n"/>
      <c r="G286" s="60" t="n"/>
      <c r="H286" s="59" t="n"/>
      <c r="I286" s="59" t="n"/>
      <c r="J286" s="59" t="n"/>
      <c r="K286" s="59" t="n"/>
      <c r="L286" s="59" t="n"/>
      <c r="M286" s="59" t="n"/>
      <c r="N286" s="59" t="n"/>
      <c r="O286" s="59" t="n"/>
      <c r="P286" s="59" t="n"/>
      <c r="Q286" s="59" t="n"/>
      <c r="R286" s="59" t="n"/>
      <c r="S286" s="59" t="n"/>
      <c r="T286" s="59" t="n"/>
      <c r="U286" s="59" t="n"/>
      <c r="V286" s="59" t="n"/>
      <c r="W286" s="59" t="n"/>
      <c r="X286" s="59" t="n"/>
      <c r="Y286" s="59" t="n"/>
      <c r="Z286" s="59" t="n"/>
      <c r="AA286" s="59" t="n"/>
      <c r="AB286" s="59" t="n"/>
      <c r="AC286" s="59" t="n"/>
      <c r="AD286" s="59" t="n"/>
    </row>
    <row r="287">
      <c r="A287" s="59" t="n"/>
      <c r="B287" s="59" t="n"/>
      <c r="C287" s="59" t="n"/>
      <c r="D287" s="59" t="n"/>
      <c r="E287" s="59" t="n"/>
      <c r="F287" s="59" t="n"/>
      <c r="G287" s="60" t="n"/>
      <c r="H287" s="59" t="n"/>
      <c r="I287" s="59" t="n"/>
      <c r="J287" s="59" t="n"/>
      <c r="K287" s="59" t="n"/>
      <c r="L287" s="59" t="n"/>
      <c r="M287" s="59" t="n"/>
      <c r="N287" s="59" t="n"/>
      <c r="O287" s="59" t="n"/>
      <c r="P287" s="59" t="n"/>
      <c r="Q287" s="59" t="n"/>
      <c r="R287" s="59" t="n"/>
      <c r="S287" s="59" t="n"/>
      <c r="T287" s="59" t="n"/>
      <c r="U287" s="59" t="n"/>
      <c r="V287" s="59" t="n"/>
      <c r="W287" s="59" t="n"/>
      <c r="X287" s="59" t="n"/>
      <c r="Y287" s="59" t="n"/>
      <c r="Z287" s="59" t="n"/>
      <c r="AA287" s="59" t="n"/>
      <c r="AB287" s="59" t="n"/>
      <c r="AC287" s="59" t="n"/>
      <c r="AD287" s="59" t="n"/>
    </row>
    <row r="288">
      <c r="A288" s="59" t="n"/>
      <c r="B288" s="59" t="n"/>
      <c r="C288" s="59" t="n"/>
      <c r="D288" s="59" t="n"/>
      <c r="E288" s="59" t="n"/>
      <c r="F288" s="59" t="n"/>
      <c r="G288" s="60" t="n"/>
      <c r="H288" s="59" t="n"/>
      <c r="I288" s="59" t="n"/>
      <c r="J288" s="59" t="n"/>
      <c r="K288" s="59" t="n"/>
      <c r="L288" s="59" t="n"/>
      <c r="M288" s="59" t="n"/>
      <c r="N288" s="59" t="n"/>
      <c r="O288" s="59" t="n"/>
      <c r="P288" s="59" t="n"/>
      <c r="Q288" s="59" t="n"/>
      <c r="R288" s="59" t="n"/>
      <c r="S288" s="59" t="n"/>
      <c r="T288" s="59" t="n"/>
      <c r="U288" s="59" t="n"/>
      <c r="V288" s="59" t="n"/>
      <c r="W288" s="59" t="n"/>
      <c r="X288" s="59" t="n"/>
      <c r="Y288" s="59" t="n"/>
      <c r="Z288" s="59" t="n"/>
      <c r="AA288" s="59" t="n"/>
      <c r="AB288" s="59" t="n"/>
      <c r="AC288" s="59" t="n"/>
      <c r="AD288" s="59" t="n"/>
    </row>
    <row r="289">
      <c r="A289" s="59" t="n"/>
      <c r="B289" s="59" t="n"/>
      <c r="C289" s="59" t="n"/>
      <c r="D289" s="59" t="n"/>
      <c r="E289" s="59" t="n"/>
      <c r="F289" s="59" t="n"/>
      <c r="G289" s="60" t="n"/>
      <c r="H289" s="59" t="n"/>
      <c r="I289" s="59" t="n"/>
      <c r="J289" s="59" t="n"/>
      <c r="K289" s="59" t="n"/>
      <c r="L289" s="59" t="n"/>
      <c r="M289" s="59" t="n"/>
      <c r="N289" s="59" t="n"/>
      <c r="O289" s="59" t="n"/>
      <c r="P289" s="59" t="n"/>
      <c r="Q289" s="59" t="n"/>
      <c r="R289" s="59" t="n"/>
      <c r="S289" s="59" t="n"/>
      <c r="T289" s="59" t="n"/>
      <c r="U289" s="59" t="n"/>
      <c r="V289" s="59" t="n"/>
      <c r="W289" s="59" t="n"/>
      <c r="X289" s="59" t="n"/>
      <c r="Y289" s="59" t="n"/>
      <c r="Z289" s="59" t="n"/>
      <c r="AA289" s="59" t="n"/>
      <c r="AB289" s="59" t="n"/>
      <c r="AC289" s="59" t="n"/>
      <c r="AD289" s="59" t="n"/>
    </row>
    <row r="290">
      <c r="A290" s="59" t="n"/>
      <c r="B290" s="59" t="n"/>
      <c r="C290" s="59" t="n"/>
      <c r="D290" s="59" t="n"/>
      <c r="E290" s="59" t="n"/>
      <c r="F290" s="59" t="n"/>
      <c r="G290" s="60" t="n"/>
      <c r="H290" s="59" t="n"/>
      <c r="I290" s="59" t="n"/>
      <c r="J290" s="59" t="n"/>
      <c r="K290" s="59" t="n"/>
      <c r="L290" s="59" t="n"/>
      <c r="M290" s="59" t="n"/>
      <c r="N290" s="59" t="n"/>
      <c r="O290" s="59" t="n"/>
      <c r="P290" s="59" t="n"/>
      <c r="Q290" s="59" t="n"/>
      <c r="R290" s="59" t="n"/>
      <c r="S290" s="59" t="n"/>
      <c r="T290" s="59" t="n"/>
      <c r="U290" s="59" t="n"/>
      <c r="V290" s="59" t="n"/>
      <c r="W290" s="59" t="n"/>
      <c r="X290" s="59" t="n"/>
      <c r="Y290" s="59" t="n"/>
      <c r="Z290" s="59" t="n"/>
      <c r="AA290" s="59" t="n"/>
      <c r="AB290" s="59" t="n"/>
      <c r="AC290" s="59" t="n"/>
      <c r="AD290" s="59" t="n"/>
    </row>
    <row r="291">
      <c r="A291" s="59" t="n"/>
      <c r="B291" s="59" t="n"/>
      <c r="C291" s="59" t="n"/>
      <c r="D291" s="59" t="n"/>
      <c r="E291" s="59" t="n"/>
      <c r="F291" s="59" t="n"/>
      <c r="G291" s="60" t="n"/>
      <c r="H291" s="59" t="n"/>
      <c r="I291" s="59" t="n"/>
      <c r="J291" s="59" t="n"/>
      <c r="K291" s="59" t="n"/>
      <c r="L291" s="59" t="n"/>
      <c r="M291" s="59" t="n"/>
      <c r="N291" s="59" t="n"/>
      <c r="O291" s="59" t="n"/>
      <c r="P291" s="59" t="n"/>
      <c r="Q291" s="59" t="n"/>
      <c r="R291" s="59" t="n"/>
      <c r="S291" s="59" t="n"/>
      <c r="T291" s="59" t="n"/>
      <c r="U291" s="59" t="n"/>
      <c r="V291" s="59" t="n"/>
      <c r="W291" s="59" t="n"/>
      <c r="X291" s="59" t="n"/>
      <c r="Y291" s="59" t="n"/>
      <c r="Z291" s="59" t="n"/>
      <c r="AA291" s="59" t="n"/>
      <c r="AB291" s="59" t="n"/>
      <c r="AC291" s="59" t="n"/>
      <c r="AD291" s="59" t="n"/>
    </row>
    <row r="292">
      <c r="A292" s="59" t="n"/>
      <c r="B292" s="59" t="n"/>
      <c r="C292" s="59" t="n"/>
      <c r="D292" s="59" t="n"/>
      <c r="E292" s="59" t="n"/>
      <c r="F292" s="59" t="n"/>
      <c r="G292" s="60" t="n"/>
      <c r="H292" s="59" t="n"/>
      <c r="I292" s="59" t="n"/>
      <c r="J292" s="59" t="n"/>
      <c r="K292" s="59" t="n"/>
      <c r="L292" s="59" t="n"/>
      <c r="M292" s="59" t="n"/>
      <c r="N292" s="59" t="n"/>
      <c r="O292" s="59" t="n"/>
      <c r="P292" s="59" t="n"/>
      <c r="Q292" s="59" t="n"/>
      <c r="R292" s="59" t="n"/>
      <c r="S292" s="59" t="n"/>
      <c r="T292" s="59" t="n"/>
      <c r="U292" s="59" t="n"/>
      <c r="V292" s="59" t="n"/>
      <c r="W292" s="59" t="n"/>
      <c r="X292" s="59" t="n"/>
      <c r="Y292" s="59" t="n"/>
      <c r="Z292" s="59" t="n"/>
      <c r="AA292" s="59" t="n"/>
      <c r="AB292" s="59" t="n"/>
      <c r="AC292" s="59" t="n"/>
      <c r="AD292" s="59" t="n"/>
    </row>
    <row r="293">
      <c r="A293" s="59" t="n"/>
      <c r="B293" s="59" t="n"/>
      <c r="C293" s="59" t="n"/>
      <c r="D293" s="59" t="n"/>
      <c r="E293" s="59" t="n"/>
      <c r="F293" s="59" t="n"/>
      <c r="G293" s="60" t="n"/>
      <c r="H293" s="59" t="n"/>
      <c r="I293" s="59" t="n"/>
      <c r="J293" s="59" t="n"/>
      <c r="K293" s="59" t="n"/>
      <c r="L293" s="59" t="n"/>
      <c r="M293" s="59" t="n"/>
      <c r="N293" s="59" t="n"/>
      <c r="O293" s="59" t="n"/>
      <c r="P293" s="59" t="n"/>
      <c r="Q293" s="59" t="n"/>
      <c r="R293" s="59" t="n"/>
      <c r="S293" s="59" t="n"/>
      <c r="T293" s="59" t="n"/>
      <c r="U293" s="59" t="n"/>
      <c r="V293" s="59" t="n"/>
      <c r="W293" s="59" t="n"/>
      <c r="X293" s="59" t="n"/>
      <c r="Y293" s="59" t="n"/>
      <c r="Z293" s="59" t="n"/>
      <c r="AA293" s="59" t="n"/>
      <c r="AB293" s="59" t="n"/>
      <c r="AC293" s="59" t="n"/>
      <c r="AD293" s="59" t="n"/>
    </row>
    <row r="294">
      <c r="A294" s="59" t="n"/>
      <c r="B294" s="59" t="n"/>
      <c r="C294" s="59" t="n"/>
      <c r="D294" s="59" t="n"/>
      <c r="E294" s="59" t="n"/>
      <c r="F294" s="59" t="n"/>
      <c r="G294" s="60" t="n"/>
      <c r="H294" s="59" t="n"/>
      <c r="I294" s="59" t="n"/>
      <c r="J294" s="59" t="n"/>
      <c r="K294" s="59" t="n"/>
      <c r="L294" s="59" t="n"/>
      <c r="M294" s="59" t="n"/>
      <c r="N294" s="59" t="n"/>
      <c r="O294" s="59" t="n"/>
      <c r="P294" s="59" t="n"/>
      <c r="Q294" s="59" t="n"/>
      <c r="R294" s="59" t="n"/>
      <c r="S294" s="59" t="n"/>
      <c r="T294" s="59" t="n"/>
      <c r="U294" s="59" t="n"/>
      <c r="V294" s="59" t="n"/>
      <c r="W294" s="59" t="n"/>
      <c r="X294" s="59" t="n"/>
      <c r="Y294" s="59" t="n"/>
      <c r="Z294" s="59" t="n"/>
      <c r="AA294" s="59" t="n"/>
      <c r="AB294" s="59" t="n"/>
      <c r="AC294" s="59" t="n"/>
      <c r="AD294" s="59" t="n"/>
    </row>
    <row r="295">
      <c r="A295" s="59" t="n"/>
      <c r="B295" s="59" t="n"/>
      <c r="C295" s="59" t="n"/>
      <c r="D295" s="59" t="n"/>
      <c r="E295" s="59" t="n"/>
      <c r="F295" s="59" t="n"/>
      <c r="G295" s="60" t="n"/>
      <c r="H295" s="59" t="n"/>
      <c r="I295" s="59" t="n"/>
      <c r="J295" s="59" t="n"/>
      <c r="K295" s="59" t="n"/>
      <c r="L295" s="59" t="n"/>
      <c r="M295" s="59" t="n"/>
      <c r="N295" s="59" t="n"/>
      <c r="O295" s="59" t="n"/>
      <c r="P295" s="59" t="n"/>
      <c r="Q295" s="59" t="n"/>
      <c r="R295" s="59" t="n"/>
      <c r="S295" s="59" t="n"/>
      <c r="T295" s="59" t="n"/>
      <c r="U295" s="59" t="n"/>
      <c r="V295" s="59" t="n"/>
      <c r="W295" s="59" t="n"/>
      <c r="X295" s="59" t="n"/>
      <c r="Y295" s="59" t="n"/>
      <c r="Z295" s="59" t="n"/>
      <c r="AA295" s="59" t="n"/>
      <c r="AB295" s="59" t="n"/>
      <c r="AC295" s="59" t="n"/>
      <c r="AD295" s="59" t="n"/>
    </row>
    <row r="296">
      <c r="A296" s="59" t="n"/>
      <c r="B296" s="59" t="n"/>
      <c r="C296" s="59" t="n"/>
      <c r="D296" s="59" t="n"/>
      <c r="E296" s="59" t="n"/>
      <c r="F296" s="59" t="n"/>
      <c r="G296" s="60" t="n"/>
      <c r="H296" s="59" t="n"/>
      <c r="I296" s="59" t="n"/>
      <c r="J296" s="59" t="n"/>
      <c r="K296" s="59" t="n"/>
      <c r="L296" s="59" t="n"/>
      <c r="M296" s="59" t="n"/>
      <c r="N296" s="59" t="n"/>
      <c r="O296" s="59" t="n"/>
      <c r="P296" s="59" t="n"/>
      <c r="Q296" s="59" t="n"/>
      <c r="R296" s="59" t="n"/>
      <c r="S296" s="59" t="n"/>
      <c r="T296" s="59" t="n"/>
      <c r="U296" s="59" t="n"/>
      <c r="V296" s="59" t="n"/>
      <c r="W296" s="59" t="n"/>
      <c r="X296" s="59" t="n"/>
      <c r="Y296" s="59" t="n"/>
      <c r="Z296" s="59" t="n"/>
      <c r="AA296" s="59" t="n"/>
      <c r="AB296" s="59" t="n"/>
      <c r="AC296" s="59" t="n"/>
      <c r="AD296" s="59" t="n"/>
    </row>
    <row r="297">
      <c r="A297" s="59" t="n"/>
      <c r="B297" s="59" t="n"/>
      <c r="C297" s="59" t="n"/>
      <c r="D297" s="59" t="n"/>
      <c r="E297" s="59" t="n"/>
      <c r="F297" s="59" t="n"/>
      <c r="G297" s="60" t="n"/>
      <c r="H297" s="59" t="n"/>
      <c r="I297" s="59" t="n"/>
      <c r="J297" s="59" t="n"/>
      <c r="K297" s="59" t="n"/>
      <c r="L297" s="59" t="n"/>
      <c r="M297" s="59" t="n"/>
      <c r="N297" s="59" t="n"/>
      <c r="O297" s="59" t="n"/>
      <c r="P297" s="59" t="n"/>
      <c r="Q297" s="59" t="n"/>
      <c r="R297" s="59" t="n"/>
      <c r="S297" s="59" t="n"/>
      <c r="T297" s="59" t="n"/>
      <c r="U297" s="59" t="n"/>
      <c r="V297" s="59" t="n"/>
      <c r="W297" s="59" t="n"/>
      <c r="X297" s="59" t="n"/>
      <c r="Y297" s="59" t="n"/>
      <c r="Z297" s="59" t="n"/>
      <c r="AA297" s="59" t="n"/>
      <c r="AB297" s="59" t="n"/>
      <c r="AC297" s="59" t="n"/>
      <c r="AD297" s="59" t="n"/>
    </row>
    <row r="298">
      <c r="A298" s="59" t="n"/>
      <c r="B298" s="59" t="n"/>
      <c r="C298" s="59" t="n"/>
      <c r="D298" s="59" t="n"/>
      <c r="E298" s="59" t="n"/>
      <c r="F298" s="59" t="n"/>
      <c r="G298" s="60" t="n"/>
      <c r="H298" s="59" t="n"/>
      <c r="I298" s="59" t="n"/>
      <c r="J298" s="59" t="n"/>
      <c r="K298" s="59" t="n"/>
      <c r="L298" s="59" t="n"/>
      <c r="M298" s="59" t="n"/>
      <c r="N298" s="59" t="n"/>
      <c r="O298" s="59" t="n"/>
      <c r="P298" s="59" t="n"/>
      <c r="Q298" s="59" t="n"/>
      <c r="R298" s="59" t="n"/>
      <c r="S298" s="59" t="n"/>
      <c r="T298" s="59" t="n"/>
      <c r="U298" s="59" t="n"/>
      <c r="V298" s="59" t="n"/>
      <c r="W298" s="59" t="n"/>
      <c r="X298" s="59" t="n"/>
      <c r="Y298" s="59" t="n"/>
      <c r="Z298" s="59" t="n"/>
      <c r="AA298" s="59" t="n"/>
      <c r="AB298" s="59" t="n"/>
      <c r="AC298" s="59" t="n"/>
      <c r="AD298" s="59" t="n"/>
    </row>
    <row r="299">
      <c r="A299" s="59" t="n"/>
      <c r="B299" s="59" t="n"/>
      <c r="C299" s="59" t="n"/>
      <c r="D299" s="59" t="n"/>
      <c r="E299" s="59" t="n"/>
      <c r="F299" s="59" t="n"/>
      <c r="G299" s="60" t="n"/>
      <c r="H299" s="59" t="n"/>
      <c r="I299" s="59" t="n"/>
      <c r="J299" s="59" t="n"/>
      <c r="K299" s="59" t="n"/>
      <c r="L299" s="59" t="n"/>
      <c r="M299" s="59" t="n"/>
      <c r="N299" s="59" t="n"/>
      <c r="O299" s="59" t="n"/>
      <c r="P299" s="59" t="n"/>
      <c r="Q299" s="59" t="n"/>
      <c r="R299" s="59" t="n"/>
      <c r="S299" s="59" t="n"/>
      <c r="T299" s="59" t="n"/>
      <c r="U299" s="59" t="n"/>
      <c r="V299" s="59" t="n"/>
      <c r="W299" s="59" t="n"/>
      <c r="X299" s="59" t="n"/>
      <c r="Y299" s="59" t="n"/>
      <c r="Z299" s="59" t="n"/>
      <c r="AA299" s="59" t="n"/>
      <c r="AB299" s="59" t="n"/>
      <c r="AC299" s="59" t="n"/>
      <c r="AD299" s="59" t="n"/>
    </row>
    <row r="300">
      <c r="A300" s="59" t="n"/>
      <c r="B300" s="59" t="n"/>
      <c r="C300" s="59" t="n"/>
      <c r="D300" s="59" t="n"/>
      <c r="E300" s="59" t="n"/>
      <c r="F300" s="59" t="n"/>
      <c r="G300" s="60" t="n"/>
      <c r="H300" s="59" t="n"/>
      <c r="I300" s="59" t="n"/>
      <c r="J300" s="59" t="n"/>
      <c r="K300" s="59" t="n"/>
      <c r="L300" s="59" t="n"/>
      <c r="M300" s="59" t="n"/>
      <c r="N300" s="59" t="n"/>
      <c r="O300" s="59" t="n"/>
      <c r="P300" s="59" t="n"/>
      <c r="Q300" s="59" t="n"/>
      <c r="R300" s="59" t="n"/>
      <c r="S300" s="59" t="n"/>
      <c r="T300" s="59" t="n"/>
      <c r="U300" s="59" t="n"/>
      <c r="V300" s="59" t="n"/>
      <c r="W300" s="59" t="n"/>
      <c r="X300" s="59" t="n"/>
      <c r="Y300" s="59" t="n"/>
      <c r="Z300" s="59" t="n"/>
      <c r="AA300" s="59" t="n"/>
      <c r="AB300" s="59" t="n"/>
      <c r="AC300" s="59" t="n"/>
      <c r="AD300" s="59" t="n"/>
    </row>
    <row r="301">
      <c r="A301" s="59" t="n"/>
      <c r="B301" s="59" t="n"/>
      <c r="C301" s="59" t="n"/>
      <c r="D301" s="59" t="n"/>
      <c r="E301" s="59" t="n"/>
      <c r="F301" s="59" t="n"/>
      <c r="G301" s="60" t="n"/>
      <c r="H301" s="59" t="n"/>
      <c r="I301" s="59" t="n"/>
      <c r="J301" s="59" t="n"/>
      <c r="K301" s="59" t="n"/>
      <c r="L301" s="59" t="n"/>
      <c r="M301" s="59" t="n"/>
      <c r="N301" s="59" t="n"/>
      <c r="O301" s="59" t="n"/>
      <c r="P301" s="59" t="n"/>
      <c r="Q301" s="59" t="n"/>
      <c r="R301" s="59" t="n"/>
      <c r="S301" s="59" t="n"/>
      <c r="T301" s="59" t="n"/>
      <c r="U301" s="59" t="n"/>
      <c r="V301" s="59" t="n"/>
      <c r="W301" s="59" t="n"/>
      <c r="X301" s="59" t="n"/>
      <c r="Y301" s="59" t="n"/>
      <c r="Z301" s="59" t="n"/>
      <c r="AA301" s="59" t="n"/>
      <c r="AB301" s="59" t="n"/>
      <c r="AC301" s="59" t="n"/>
      <c r="AD301" s="59" t="n"/>
    </row>
    <row r="302">
      <c r="A302" s="59" t="n"/>
      <c r="B302" s="59" t="n"/>
      <c r="C302" s="59" t="n"/>
      <c r="D302" s="59" t="n"/>
      <c r="E302" s="59" t="n"/>
      <c r="F302" s="59" t="n"/>
      <c r="G302" s="60" t="n"/>
      <c r="H302" s="59" t="n"/>
      <c r="I302" s="59" t="n"/>
      <c r="J302" s="59" t="n"/>
      <c r="K302" s="59" t="n"/>
      <c r="L302" s="59" t="n"/>
      <c r="M302" s="59" t="n"/>
      <c r="N302" s="59" t="n"/>
      <c r="O302" s="59" t="n"/>
      <c r="P302" s="59" t="n"/>
      <c r="Q302" s="59" t="n"/>
      <c r="R302" s="59" t="n"/>
      <c r="S302" s="59" t="n"/>
      <c r="T302" s="59" t="n"/>
      <c r="U302" s="59" t="n"/>
      <c r="V302" s="59" t="n"/>
      <c r="W302" s="59" t="n"/>
      <c r="X302" s="59" t="n"/>
      <c r="Y302" s="59" t="n"/>
      <c r="Z302" s="59" t="n"/>
      <c r="AA302" s="59" t="n"/>
      <c r="AB302" s="59" t="n"/>
      <c r="AC302" s="59" t="n"/>
      <c r="AD302" s="59" t="n"/>
    </row>
    <row r="303">
      <c r="A303" s="59" t="n"/>
      <c r="B303" s="59" t="n"/>
      <c r="C303" s="59" t="n"/>
      <c r="D303" s="59" t="n"/>
      <c r="E303" s="59" t="n"/>
      <c r="F303" s="59" t="n"/>
      <c r="G303" s="60" t="n"/>
      <c r="H303" s="59" t="n"/>
      <c r="I303" s="59" t="n"/>
      <c r="J303" s="59" t="n"/>
      <c r="K303" s="59" t="n"/>
      <c r="L303" s="59" t="n"/>
      <c r="M303" s="59" t="n"/>
      <c r="N303" s="59" t="n"/>
      <c r="O303" s="59" t="n"/>
      <c r="P303" s="59" t="n"/>
      <c r="Q303" s="59" t="n"/>
      <c r="R303" s="59" t="n"/>
      <c r="S303" s="59" t="n"/>
      <c r="T303" s="59" t="n"/>
      <c r="U303" s="59" t="n"/>
      <c r="V303" s="59" t="n"/>
      <c r="W303" s="59" t="n"/>
      <c r="X303" s="59" t="n"/>
      <c r="Y303" s="59" t="n"/>
      <c r="Z303" s="59" t="n"/>
      <c r="AA303" s="59" t="n"/>
      <c r="AB303" s="59" t="n"/>
      <c r="AC303" s="59" t="n"/>
      <c r="AD303" s="59" t="n"/>
    </row>
    <row r="304">
      <c r="A304" s="59" t="n"/>
      <c r="B304" s="59" t="n"/>
      <c r="C304" s="59" t="n"/>
      <c r="D304" s="59" t="n"/>
      <c r="E304" s="59" t="n"/>
      <c r="F304" s="59" t="n"/>
      <c r="G304" s="60" t="n"/>
      <c r="H304" s="59" t="n"/>
      <c r="I304" s="59" t="n"/>
      <c r="J304" s="59" t="n"/>
      <c r="K304" s="59" t="n"/>
      <c r="L304" s="59" t="n"/>
      <c r="M304" s="59" t="n"/>
      <c r="N304" s="59" t="n"/>
      <c r="O304" s="59" t="n"/>
      <c r="P304" s="59" t="n"/>
      <c r="Q304" s="59" t="n"/>
      <c r="R304" s="59" t="n"/>
      <c r="S304" s="59" t="n"/>
      <c r="T304" s="59" t="n"/>
      <c r="U304" s="59" t="n"/>
      <c r="V304" s="59" t="n"/>
      <c r="W304" s="59" t="n"/>
      <c r="X304" s="59" t="n"/>
      <c r="Y304" s="59" t="n"/>
      <c r="Z304" s="59" t="n"/>
      <c r="AA304" s="59" t="n"/>
      <c r="AB304" s="59" t="n"/>
      <c r="AC304" s="59" t="n"/>
      <c r="AD304" s="59" t="n"/>
    </row>
    <row r="305">
      <c r="A305" s="59" t="n"/>
      <c r="B305" s="59" t="n"/>
      <c r="C305" s="59" t="n"/>
      <c r="D305" s="59" t="n"/>
      <c r="E305" s="59" t="n"/>
      <c r="F305" s="59" t="n"/>
      <c r="G305" s="60" t="n"/>
      <c r="H305" s="59" t="n"/>
      <c r="I305" s="59" t="n"/>
      <c r="J305" s="59" t="n"/>
      <c r="K305" s="59" t="n"/>
      <c r="L305" s="59" t="n"/>
      <c r="M305" s="59" t="n"/>
      <c r="N305" s="59" t="n"/>
      <c r="O305" s="59" t="n"/>
      <c r="P305" s="59" t="n"/>
      <c r="Q305" s="59" t="n"/>
      <c r="R305" s="59" t="n"/>
      <c r="S305" s="59" t="n"/>
      <c r="T305" s="59" t="n"/>
      <c r="U305" s="59" t="n"/>
      <c r="V305" s="59" t="n"/>
      <c r="W305" s="59" t="n"/>
      <c r="X305" s="59" t="n"/>
      <c r="Y305" s="59" t="n"/>
      <c r="Z305" s="59" t="n"/>
      <c r="AA305" s="59" t="n"/>
      <c r="AB305" s="59" t="n"/>
      <c r="AC305" s="59" t="n"/>
      <c r="AD305" s="59" t="n"/>
    </row>
    <row r="306">
      <c r="A306" s="59" t="n"/>
      <c r="B306" s="59" t="n"/>
      <c r="C306" s="59" t="n"/>
      <c r="D306" s="59" t="n"/>
      <c r="E306" s="59" t="n"/>
      <c r="F306" s="59" t="n"/>
      <c r="G306" s="60" t="n"/>
      <c r="H306" s="59" t="n"/>
      <c r="I306" s="59" t="n"/>
      <c r="J306" s="59" t="n"/>
      <c r="K306" s="59" t="n"/>
      <c r="L306" s="59" t="n"/>
      <c r="M306" s="59" t="n"/>
      <c r="N306" s="59" t="n"/>
      <c r="O306" s="59" t="n"/>
      <c r="P306" s="59" t="n"/>
      <c r="Q306" s="59" t="n"/>
      <c r="R306" s="59" t="n"/>
      <c r="S306" s="59" t="n"/>
      <c r="T306" s="59" t="n"/>
      <c r="U306" s="59" t="n"/>
      <c r="V306" s="59" t="n"/>
      <c r="W306" s="59" t="n"/>
      <c r="X306" s="59" t="n"/>
      <c r="Y306" s="59" t="n"/>
      <c r="Z306" s="59" t="n"/>
      <c r="AA306" s="59" t="n"/>
      <c r="AB306" s="59" t="n"/>
      <c r="AC306" s="59" t="n"/>
      <c r="AD306" s="59" t="n"/>
    </row>
    <row r="307">
      <c r="A307" s="59" t="n"/>
      <c r="B307" s="59" t="n"/>
      <c r="C307" s="59" t="n"/>
      <c r="D307" s="59" t="n"/>
      <c r="E307" s="59" t="n"/>
      <c r="F307" s="59" t="n"/>
      <c r="G307" s="60" t="n"/>
      <c r="H307" s="59" t="n"/>
      <c r="I307" s="59" t="n"/>
      <c r="J307" s="59" t="n"/>
      <c r="K307" s="59" t="n"/>
      <c r="L307" s="59" t="n"/>
      <c r="M307" s="59" t="n"/>
      <c r="N307" s="59" t="n"/>
      <c r="O307" s="59" t="n"/>
      <c r="P307" s="59" t="n"/>
      <c r="Q307" s="59" t="n"/>
      <c r="R307" s="59" t="n"/>
      <c r="S307" s="59" t="n"/>
      <c r="T307" s="59" t="n"/>
      <c r="U307" s="59" t="n"/>
      <c r="V307" s="59" t="n"/>
      <c r="W307" s="59" t="n"/>
      <c r="X307" s="59" t="n"/>
      <c r="Y307" s="59" t="n"/>
      <c r="Z307" s="59" t="n"/>
      <c r="AA307" s="59" t="n"/>
      <c r="AB307" s="59" t="n"/>
      <c r="AC307" s="59" t="n"/>
      <c r="AD307" s="59" t="n"/>
    </row>
    <row r="308">
      <c r="A308" s="59" t="n"/>
      <c r="B308" s="59" t="n"/>
      <c r="C308" s="59" t="n"/>
      <c r="D308" s="59" t="n"/>
      <c r="E308" s="59" t="n"/>
      <c r="F308" s="59" t="n"/>
      <c r="G308" s="60" t="n"/>
      <c r="H308" s="59" t="n"/>
      <c r="I308" s="59" t="n"/>
      <c r="J308" s="59" t="n"/>
      <c r="K308" s="59" t="n"/>
      <c r="L308" s="59" t="n"/>
      <c r="M308" s="59" t="n"/>
      <c r="N308" s="59" t="n"/>
      <c r="O308" s="59" t="n"/>
      <c r="P308" s="59" t="n"/>
      <c r="Q308" s="59" t="n"/>
      <c r="R308" s="59" t="n"/>
      <c r="S308" s="59" t="n"/>
      <c r="T308" s="59" t="n"/>
      <c r="U308" s="59" t="n"/>
      <c r="V308" s="59" t="n"/>
      <c r="W308" s="59" t="n"/>
      <c r="X308" s="59" t="n"/>
      <c r="Y308" s="59" t="n"/>
      <c r="Z308" s="59" t="n"/>
      <c r="AA308" s="59" t="n"/>
      <c r="AB308" s="59" t="n"/>
      <c r="AC308" s="59" t="n"/>
      <c r="AD308" s="59" t="n"/>
    </row>
    <row r="309">
      <c r="A309" s="59" t="n"/>
      <c r="B309" s="59" t="n"/>
      <c r="C309" s="59" t="n"/>
      <c r="D309" s="59" t="n"/>
      <c r="E309" s="59" t="n"/>
      <c r="F309" s="59" t="n"/>
      <c r="G309" s="60" t="n"/>
      <c r="H309" s="59" t="n"/>
      <c r="I309" s="59" t="n"/>
      <c r="J309" s="59" t="n"/>
      <c r="K309" s="59" t="n"/>
      <c r="L309" s="59" t="n"/>
      <c r="M309" s="59" t="n"/>
      <c r="N309" s="59" t="n"/>
      <c r="O309" s="59" t="n"/>
      <c r="P309" s="59" t="n"/>
      <c r="Q309" s="59" t="n"/>
      <c r="R309" s="59" t="n"/>
      <c r="S309" s="59" t="n"/>
      <c r="T309" s="59" t="n"/>
      <c r="U309" s="59" t="n"/>
      <c r="V309" s="59" t="n"/>
      <c r="W309" s="59" t="n"/>
      <c r="X309" s="59" t="n"/>
      <c r="Y309" s="59" t="n"/>
      <c r="Z309" s="59" t="n"/>
      <c r="AA309" s="59" t="n"/>
      <c r="AB309" s="59" t="n"/>
      <c r="AC309" s="59" t="n"/>
      <c r="AD309" s="59" t="n"/>
    </row>
    <row r="310">
      <c r="A310" s="59" t="n"/>
      <c r="B310" s="59" t="n"/>
      <c r="C310" s="59" t="n"/>
      <c r="D310" s="59" t="n"/>
      <c r="E310" s="59" t="n"/>
      <c r="F310" s="59" t="n"/>
      <c r="G310" s="60" t="n"/>
      <c r="H310" s="59" t="n"/>
      <c r="I310" s="59" t="n"/>
      <c r="J310" s="59" t="n"/>
      <c r="K310" s="59" t="n"/>
      <c r="L310" s="59" t="n"/>
      <c r="M310" s="59" t="n"/>
      <c r="N310" s="59" t="n"/>
      <c r="O310" s="59" t="n"/>
      <c r="P310" s="59" t="n"/>
      <c r="Q310" s="59" t="n"/>
      <c r="R310" s="59" t="n"/>
      <c r="S310" s="59" t="n"/>
      <c r="T310" s="59" t="n"/>
      <c r="U310" s="59" t="n"/>
      <c r="V310" s="59" t="n"/>
      <c r="W310" s="59" t="n"/>
      <c r="X310" s="59" t="n"/>
      <c r="Y310" s="59" t="n"/>
      <c r="Z310" s="59" t="n"/>
      <c r="AA310" s="59" t="n"/>
      <c r="AB310" s="59" t="n"/>
      <c r="AC310" s="59" t="n"/>
      <c r="AD310" s="59" t="n"/>
    </row>
    <row r="311">
      <c r="A311" s="59" t="n"/>
      <c r="B311" s="59" t="n"/>
      <c r="C311" s="59" t="n"/>
      <c r="D311" s="59" t="n"/>
      <c r="E311" s="59" t="n"/>
      <c r="F311" s="59" t="n"/>
      <c r="G311" s="60" t="n"/>
      <c r="H311" s="59" t="n"/>
      <c r="I311" s="59" t="n"/>
      <c r="J311" s="59" t="n"/>
      <c r="K311" s="59" t="n"/>
      <c r="L311" s="59" t="n"/>
      <c r="M311" s="59" t="n"/>
      <c r="N311" s="59" t="n"/>
      <c r="O311" s="59" t="n"/>
      <c r="P311" s="59" t="n"/>
      <c r="Q311" s="59" t="n"/>
      <c r="R311" s="59" t="n"/>
      <c r="S311" s="59" t="n"/>
      <c r="T311" s="59" t="n"/>
      <c r="U311" s="59" t="n"/>
      <c r="V311" s="59" t="n"/>
      <c r="W311" s="59" t="n"/>
      <c r="X311" s="59" t="n"/>
      <c r="Y311" s="59" t="n"/>
      <c r="Z311" s="59" t="n"/>
      <c r="AA311" s="59" t="n"/>
      <c r="AB311" s="59" t="n"/>
      <c r="AC311" s="59" t="n"/>
      <c r="AD311" s="59" t="n"/>
    </row>
    <row r="312">
      <c r="A312" s="59" t="n"/>
      <c r="B312" s="59" t="n"/>
      <c r="C312" s="59" t="n"/>
      <c r="D312" s="59" t="n"/>
      <c r="E312" s="59" t="n"/>
      <c r="F312" s="59" t="n"/>
      <c r="G312" s="60" t="n"/>
      <c r="H312" s="59" t="n"/>
      <c r="I312" s="59" t="n"/>
      <c r="J312" s="59" t="n"/>
      <c r="K312" s="59" t="n"/>
      <c r="L312" s="59" t="n"/>
      <c r="M312" s="59" t="n"/>
      <c r="N312" s="59" t="n"/>
      <c r="O312" s="59" t="n"/>
      <c r="P312" s="59" t="n"/>
      <c r="Q312" s="59" t="n"/>
      <c r="R312" s="59" t="n"/>
      <c r="S312" s="59" t="n"/>
      <c r="T312" s="59" t="n"/>
      <c r="U312" s="59" t="n"/>
      <c r="V312" s="59" t="n"/>
      <c r="W312" s="59" t="n"/>
      <c r="X312" s="59" t="n"/>
      <c r="Y312" s="59" t="n"/>
      <c r="Z312" s="59" t="n"/>
      <c r="AA312" s="59" t="n"/>
      <c r="AB312" s="59" t="n"/>
      <c r="AC312" s="59" t="n"/>
      <c r="AD312" s="59" t="n"/>
    </row>
    <row r="313">
      <c r="A313" s="59" t="n"/>
      <c r="B313" s="59" t="n"/>
      <c r="C313" s="59" t="n"/>
      <c r="D313" s="59" t="n"/>
      <c r="E313" s="59" t="n"/>
      <c r="F313" s="59" t="n"/>
      <c r="G313" s="60" t="n"/>
      <c r="H313" s="59" t="n"/>
      <c r="I313" s="59" t="n"/>
      <c r="J313" s="59" t="n"/>
      <c r="K313" s="59" t="n"/>
      <c r="L313" s="59" t="n"/>
      <c r="M313" s="59" t="n"/>
      <c r="N313" s="59" t="n"/>
      <c r="O313" s="59" t="n"/>
      <c r="P313" s="59" t="n"/>
      <c r="Q313" s="59" t="n"/>
      <c r="R313" s="59" t="n"/>
      <c r="S313" s="59" t="n"/>
      <c r="T313" s="59" t="n"/>
      <c r="U313" s="59" t="n"/>
      <c r="V313" s="59" t="n"/>
      <c r="W313" s="59" t="n"/>
      <c r="X313" s="59" t="n"/>
      <c r="Y313" s="59" t="n"/>
      <c r="Z313" s="59" t="n"/>
      <c r="AA313" s="59" t="n"/>
      <c r="AB313" s="59" t="n"/>
      <c r="AC313" s="59" t="n"/>
      <c r="AD313" s="59" t="n"/>
    </row>
    <row r="314">
      <c r="A314" s="59" t="n"/>
      <c r="B314" s="59" t="n"/>
      <c r="C314" s="59" t="n"/>
      <c r="D314" s="59" t="n"/>
      <c r="E314" s="59" t="n"/>
      <c r="F314" s="59" t="n"/>
      <c r="G314" s="60" t="n"/>
      <c r="H314" s="59" t="n"/>
      <c r="I314" s="59" t="n"/>
      <c r="J314" s="59" t="n"/>
      <c r="K314" s="59" t="n"/>
      <c r="L314" s="59" t="n"/>
      <c r="M314" s="59" t="n"/>
      <c r="N314" s="59" t="n"/>
      <c r="O314" s="59" t="n"/>
      <c r="P314" s="59" t="n"/>
      <c r="Q314" s="59" t="n"/>
      <c r="R314" s="59" t="n"/>
      <c r="S314" s="59" t="n"/>
      <c r="T314" s="59" t="n"/>
      <c r="U314" s="59" t="n"/>
      <c r="V314" s="59" t="n"/>
      <c r="W314" s="59" t="n"/>
      <c r="X314" s="59" t="n"/>
      <c r="Y314" s="59" t="n"/>
      <c r="Z314" s="59" t="n"/>
      <c r="AA314" s="59" t="n"/>
      <c r="AB314" s="59" t="n"/>
      <c r="AC314" s="59" t="n"/>
      <c r="AD314" s="59" t="n"/>
    </row>
    <row r="315">
      <c r="A315" s="59" t="n"/>
      <c r="B315" s="59" t="n"/>
      <c r="C315" s="59" t="n"/>
      <c r="D315" s="59" t="n"/>
      <c r="E315" s="59" t="n"/>
      <c r="F315" s="59" t="n"/>
      <c r="G315" s="60" t="n"/>
      <c r="H315" s="59" t="n"/>
      <c r="I315" s="59" t="n"/>
      <c r="J315" s="59" t="n"/>
      <c r="K315" s="59" t="n"/>
      <c r="L315" s="59" t="n"/>
      <c r="M315" s="59" t="n"/>
      <c r="N315" s="59" t="n"/>
      <c r="O315" s="59" t="n"/>
      <c r="P315" s="59" t="n"/>
      <c r="Q315" s="59" t="n"/>
      <c r="R315" s="59" t="n"/>
      <c r="S315" s="59" t="n"/>
      <c r="T315" s="59" t="n"/>
      <c r="U315" s="59" t="n"/>
      <c r="V315" s="59" t="n"/>
      <c r="W315" s="59" t="n"/>
      <c r="X315" s="59" t="n"/>
      <c r="Y315" s="59" t="n"/>
      <c r="Z315" s="59" t="n"/>
      <c r="AA315" s="59" t="n"/>
      <c r="AB315" s="59" t="n"/>
      <c r="AC315" s="59" t="n"/>
      <c r="AD315" s="59" t="n"/>
    </row>
    <row r="316">
      <c r="A316" s="59" t="n"/>
      <c r="B316" s="59" t="n"/>
      <c r="C316" s="59" t="n"/>
      <c r="D316" s="59" t="n"/>
      <c r="E316" s="59" t="n"/>
      <c r="F316" s="59" t="n"/>
      <c r="G316" s="60" t="n"/>
      <c r="H316" s="59" t="n"/>
      <c r="I316" s="59" t="n"/>
      <c r="J316" s="59" t="n"/>
      <c r="K316" s="59" t="n"/>
      <c r="L316" s="59" t="n"/>
      <c r="M316" s="59" t="n"/>
      <c r="N316" s="59" t="n"/>
      <c r="O316" s="59" t="n"/>
      <c r="P316" s="59" t="n"/>
      <c r="Q316" s="59" t="n"/>
      <c r="R316" s="59" t="n"/>
      <c r="S316" s="59" t="n"/>
      <c r="T316" s="59" t="n"/>
      <c r="U316" s="59" t="n"/>
      <c r="V316" s="59" t="n"/>
      <c r="W316" s="59" t="n"/>
      <c r="X316" s="59" t="n"/>
      <c r="Y316" s="59" t="n"/>
      <c r="Z316" s="59" t="n"/>
      <c r="AA316" s="59" t="n"/>
      <c r="AB316" s="59" t="n"/>
      <c r="AC316" s="59" t="n"/>
      <c r="AD316" s="59" t="n"/>
    </row>
    <row r="317">
      <c r="A317" s="59" t="n"/>
      <c r="B317" s="59" t="n"/>
      <c r="C317" s="59" t="n"/>
      <c r="D317" s="59" t="n"/>
      <c r="E317" s="59" t="n"/>
      <c r="F317" s="59" t="n"/>
      <c r="G317" s="60" t="n"/>
      <c r="H317" s="59" t="n"/>
      <c r="I317" s="59" t="n"/>
      <c r="J317" s="59" t="n"/>
      <c r="K317" s="59" t="n"/>
      <c r="L317" s="59" t="n"/>
      <c r="M317" s="59" t="n"/>
      <c r="N317" s="59" t="n"/>
      <c r="O317" s="59" t="n"/>
      <c r="P317" s="59" t="n"/>
      <c r="Q317" s="59" t="n"/>
      <c r="R317" s="59" t="n"/>
      <c r="S317" s="59" t="n"/>
      <c r="T317" s="59" t="n"/>
      <c r="U317" s="59" t="n"/>
      <c r="V317" s="59" t="n"/>
      <c r="W317" s="59" t="n"/>
      <c r="X317" s="59" t="n"/>
      <c r="Y317" s="59" t="n"/>
      <c r="Z317" s="59" t="n"/>
      <c r="AA317" s="59" t="n"/>
      <c r="AB317" s="59" t="n"/>
      <c r="AC317" s="59" t="n"/>
      <c r="AD317" s="59" t="n"/>
    </row>
    <row r="318">
      <c r="A318" s="59" t="n"/>
      <c r="B318" s="59" t="n"/>
      <c r="C318" s="59" t="n"/>
      <c r="D318" s="59" t="n"/>
      <c r="E318" s="59" t="n"/>
      <c r="F318" s="59" t="n"/>
      <c r="G318" s="60" t="n"/>
      <c r="H318" s="59" t="n"/>
      <c r="I318" s="59" t="n"/>
      <c r="J318" s="59" t="n"/>
      <c r="K318" s="59" t="n"/>
      <c r="L318" s="59" t="n"/>
      <c r="M318" s="59" t="n"/>
      <c r="N318" s="59" t="n"/>
      <c r="O318" s="59" t="n"/>
      <c r="P318" s="59" t="n"/>
      <c r="Q318" s="59" t="n"/>
      <c r="R318" s="59" t="n"/>
      <c r="S318" s="59" t="n"/>
      <c r="T318" s="59" t="n"/>
      <c r="U318" s="59" t="n"/>
      <c r="V318" s="59" t="n"/>
      <c r="W318" s="59" t="n"/>
      <c r="X318" s="59" t="n"/>
      <c r="Y318" s="59" t="n"/>
      <c r="Z318" s="59" t="n"/>
      <c r="AA318" s="59" t="n"/>
      <c r="AB318" s="59" t="n"/>
      <c r="AC318" s="59" t="n"/>
      <c r="AD318" s="59" t="n"/>
    </row>
    <row r="319">
      <c r="A319" s="59" t="n"/>
      <c r="B319" s="59" t="n"/>
      <c r="C319" s="59" t="n"/>
      <c r="D319" s="59" t="n"/>
      <c r="E319" s="59" t="n"/>
      <c r="F319" s="59" t="n"/>
      <c r="G319" s="60" t="n"/>
      <c r="H319" s="59" t="n"/>
      <c r="I319" s="59" t="n"/>
      <c r="J319" s="59" t="n"/>
      <c r="K319" s="59" t="n"/>
      <c r="L319" s="59" t="n"/>
      <c r="M319" s="59" t="n"/>
      <c r="N319" s="59" t="n"/>
      <c r="O319" s="59" t="n"/>
      <c r="P319" s="59" t="n"/>
      <c r="Q319" s="59" t="n"/>
      <c r="R319" s="59" t="n"/>
      <c r="S319" s="59" t="n"/>
      <c r="T319" s="59" t="n"/>
      <c r="U319" s="59" t="n"/>
      <c r="V319" s="59" t="n"/>
      <c r="W319" s="59" t="n"/>
      <c r="X319" s="59" t="n"/>
      <c r="Y319" s="59" t="n"/>
      <c r="Z319" s="59" t="n"/>
      <c r="AA319" s="59" t="n"/>
      <c r="AB319" s="59" t="n"/>
      <c r="AC319" s="59" t="n"/>
      <c r="AD319" s="59" t="n"/>
    </row>
    <row r="320">
      <c r="A320" s="59" t="n"/>
      <c r="B320" s="59" t="n"/>
      <c r="C320" s="59" t="n"/>
      <c r="D320" s="59" t="n"/>
      <c r="E320" s="59" t="n"/>
      <c r="F320" s="59" t="n"/>
      <c r="G320" s="60" t="n"/>
      <c r="H320" s="59" t="n"/>
      <c r="I320" s="59" t="n"/>
      <c r="J320" s="59" t="n"/>
      <c r="K320" s="59" t="n"/>
      <c r="L320" s="59" t="n"/>
      <c r="M320" s="59" t="n"/>
      <c r="N320" s="59" t="n"/>
      <c r="O320" s="59" t="n"/>
      <c r="P320" s="59" t="n"/>
      <c r="Q320" s="59" t="n"/>
      <c r="R320" s="59" t="n"/>
      <c r="S320" s="59" t="n"/>
      <c r="T320" s="59" t="n"/>
      <c r="U320" s="59" t="n"/>
      <c r="V320" s="59" t="n"/>
      <c r="W320" s="59" t="n"/>
      <c r="X320" s="59" t="n"/>
      <c r="Y320" s="59" t="n"/>
      <c r="Z320" s="59" t="n"/>
      <c r="AA320" s="59" t="n"/>
      <c r="AB320" s="59" t="n"/>
      <c r="AC320" s="59" t="n"/>
      <c r="AD320" s="59" t="n"/>
    </row>
    <row r="321">
      <c r="A321" s="59" t="n"/>
      <c r="B321" s="59" t="n"/>
      <c r="C321" s="59" t="n"/>
      <c r="D321" s="59" t="n"/>
      <c r="E321" s="59" t="n"/>
      <c r="F321" s="59" t="n"/>
      <c r="G321" s="60" t="n"/>
      <c r="H321" s="59" t="n"/>
      <c r="I321" s="59" t="n"/>
      <c r="J321" s="59" t="n"/>
      <c r="K321" s="59" t="n"/>
      <c r="L321" s="59" t="n"/>
      <c r="M321" s="59" t="n"/>
      <c r="N321" s="59" t="n"/>
      <c r="O321" s="59" t="n"/>
      <c r="P321" s="59" t="n"/>
      <c r="Q321" s="59" t="n"/>
      <c r="R321" s="59" t="n"/>
      <c r="S321" s="59" t="n"/>
      <c r="T321" s="59" t="n"/>
      <c r="U321" s="59" t="n"/>
      <c r="V321" s="59" t="n"/>
      <c r="W321" s="59" t="n"/>
      <c r="X321" s="59" t="n"/>
      <c r="Y321" s="59" t="n"/>
      <c r="Z321" s="59" t="n"/>
      <c r="AA321" s="59" t="n"/>
      <c r="AB321" s="59" t="n"/>
      <c r="AC321" s="59" t="n"/>
      <c r="AD321" s="59" t="n"/>
    </row>
    <row r="322">
      <c r="A322" s="59" t="n"/>
      <c r="B322" s="59" t="n"/>
      <c r="C322" s="59" t="n"/>
      <c r="D322" s="59" t="n"/>
      <c r="E322" s="59" t="n"/>
      <c r="F322" s="59" t="n"/>
      <c r="G322" s="60" t="n"/>
      <c r="H322" s="59" t="n"/>
      <c r="I322" s="59" t="n"/>
      <c r="J322" s="59" t="n"/>
      <c r="K322" s="59" t="n"/>
      <c r="L322" s="59" t="n"/>
      <c r="M322" s="59" t="n"/>
      <c r="N322" s="59" t="n"/>
      <c r="O322" s="59" t="n"/>
      <c r="P322" s="59" t="n"/>
      <c r="Q322" s="59" t="n"/>
      <c r="R322" s="59" t="n"/>
      <c r="S322" s="59" t="n"/>
      <c r="T322" s="59" t="n"/>
      <c r="U322" s="59" t="n"/>
      <c r="V322" s="59" t="n"/>
      <c r="W322" s="59" t="n"/>
      <c r="X322" s="59" t="n"/>
      <c r="Y322" s="59" t="n"/>
      <c r="Z322" s="59" t="n"/>
      <c r="AA322" s="59" t="n"/>
      <c r="AB322" s="59" t="n"/>
      <c r="AC322" s="59" t="n"/>
      <c r="AD322" s="59" t="n"/>
    </row>
    <row r="323">
      <c r="A323" s="59" t="n"/>
      <c r="B323" s="59" t="n"/>
      <c r="C323" s="59" t="n"/>
      <c r="D323" s="59" t="n"/>
      <c r="E323" s="59" t="n"/>
      <c r="F323" s="59" t="n"/>
      <c r="G323" s="60" t="n"/>
      <c r="H323" s="59" t="n"/>
      <c r="I323" s="59" t="n"/>
      <c r="J323" s="59" t="n"/>
      <c r="K323" s="59" t="n"/>
      <c r="L323" s="59" t="n"/>
      <c r="M323" s="59" t="n"/>
      <c r="N323" s="59" t="n"/>
      <c r="O323" s="59" t="n"/>
      <c r="P323" s="59" t="n"/>
      <c r="Q323" s="59" t="n"/>
      <c r="R323" s="59" t="n"/>
      <c r="S323" s="59" t="n"/>
      <c r="T323" s="59" t="n"/>
      <c r="U323" s="59" t="n"/>
      <c r="V323" s="59" t="n"/>
      <c r="W323" s="59" t="n"/>
      <c r="X323" s="59" t="n"/>
      <c r="Y323" s="59" t="n"/>
      <c r="Z323" s="59" t="n"/>
      <c r="AA323" s="59" t="n"/>
      <c r="AB323" s="59" t="n"/>
      <c r="AC323" s="59" t="n"/>
      <c r="AD323" s="59" t="n"/>
    </row>
    <row r="324">
      <c r="A324" s="59" t="n"/>
      <c r="B324" s="59" t="n"/>
      <c r="C324" s="59" t="n"/>
      <c r="D324" s="59" t="n"/>
      <c r="E324" s="59" t="n"/>
      <c r="F324" s="59" t="n"/>
      <c r="G324" s="60" t="n"/>
      <c r="H324" s="59" t="n"/>
      <c r="I324" s="59" t="n"/>
      <c r="J324" s="59" t="n"/>
      <c r="K324" s="59" t="n"/>
      <c r="L324" s="59" t="n"/>
      <c r="M324" s="59" t="n"/>
      <c r="N324" s="59" t="n"/>
      <c r="O324" s="59" t="n"/>
      <c r="P324" s="59" t="n"/>
      <c r="Q324" s="59" t="n"/>
      <c r="R324" s="59" t="n"/>
      <c r="S324" s="59" t="n"/>
      <c r="T324" s="59" t="n"/>
      <c r="U324" s="59" t="n"/>
      <c r="V324" s="59" t="n"/>
      <c r="W324" s="59" t="n"/>
      <c r="X324" s="59" t="n"/>
      <c r="Y324" s="59" t="n"/>
      <c r="Z324" s="59" t="n"/>
      <c r="AA324" s="59" t="n"/>
      <c r="AB324" s="59" t="n"/>
      <c r="AC324" s="59" t="n"/>
      <c r="AD324" s="59" t="n"/>
    </row>
    <row r="325">
      <c r="A325" s="59" t="n"/>
      <c r="B325" s="59" t="n"/>
      <c r="C325" s="59" t="n"/>
      <c r="D325" s="59" t="n"/>
      <c r="E325" s="59" t="n"/>
      <c r="F325" s="59" t="n"/>
      <c r="G325" s="60" t="n"/>
      <c r="H325" s="59" t="n"/>
      <c r="I325" s="59" t="n"/>
      <c r="J325" s="59" t="n"/>
      <c r="K325" s="59" t="n"/>
      <c r="L325" s="59" t="n"/>
      <c r="M325" s="59" t="n"/>
      <c r="N325" s="59" t="n"/>
      <c r="O325" s="59" t="n"/>
      <c r="P325" s="59" t="n"/>
      <c r="Q325" s="59" t="n"/>
      <c r="R325" s="59" t="n"/>
      <c r="S325" s="59" t="n"/>
      <c r="T325" s="59" t="n"/>
      <c r="U325" s="59" t="n"/>
      <c r="V325" s="59" t="n"/>
      <c r="W325" s="59" t="n"/>
      <c r="X325" s="59" t="n"/>
      <c r="Y325" s="59" t="n"/>
      <c r="Z325" s="59" t="n"/>
      <c r="AA325" s="59" t="n"/>
      <c r="AB325" s="59" t="n"/>
      <c r="AC325" s="59" t="n"/>
      <c r="AD325" s="59" t="n"/>
    </row>
    <row r="326">
      <c r="A326" s="59" t="n"/>
      <c r="B326" s="59" t="n"/>
      <c r="C326" s="59" t="n"/>
      <c r="D326" s="59" t="n"/>
      <c r="E326" s="59" t="n"/>
      <c r="F326" s="59" t="n"/>
      <c r="G326" s="60" t="n"/>
      <c r="H326" s="59" t="n"/>
      <c r="I326" s="59" t="n"/>
      <c r="J326" s="59" t="n"/>
      <c r="K326" s="59" t="n"/>
      <c r="L326" s="59" t="n"/>
      <c r="M326" s="59" t="n"/>
      <c r="N326" s="59" t="n"/>
      <c r="O326" s="59" t="n"/>
      <c r="P326" s="59" t="n"/>
      <c r="Q326" s="59" t="n"/>
      <c r="R326" s="59" t="n"/>
      <c r="S326" s="59" t="n"/>
      <c r="T326" s="59" t="n"/>
      <c r="U326" s="59" t="n"/>
      <c r="V326" s="59" t="n"/>
      <c r="W326" s="59" t="n"/>
      <c r="X326" s="59" t="n"/>
      <c r="Y326" s="59" t="n"/>
      <c r="Z326" s="59" t="n"/>
      <c r="AA326" s="59" t="n"/>
      <c r="AB326" s="59" t="n"/>
      <c r="AC326" s="59" t="n"/>
      <c r="AD326" s="59" t="n"/>
    </row>
    <row r="327">
      <c r="A327" s="59" t="n"/>
      <c r="B327" s="59" t="n"/>
      <c r="C327" s="59" t="n"/>
      <c r="D327" s="59" t="n"/>
      <c r="E327" s="59" t="n"/>
      <c r="F327" s="59" t="n"/>
      <c r="G327" s="60" t="n"/>
      <c r="H327" s="59" t="n"/>
      <c r="I327" s="59" t="n"/>
      <c r="J327" s="59" t="n"/>
      <c r="K327" s="59" t="n"/>
      <c r="L327" s="59" t="n"/>
      <c r="M327" s="59" t="n"/>
      <c r="N327" s="59" t="n"/>
      <c r="O327" s="59" t="n"/>
      <c r="P327" s="59" t="n"/>
      <c r="Q327" s="59" t="n"/>
      <c r="R327" s="59" t="n"/>
      <c r="S327" s="59" t="n"/>
      <c r="T327" s="59" t="n"/>
      <c r="U327" s="59" t="n"/>
      <c r="V327" s="59" t="n"/>
      <c r="W327" s="59" t="n"/>
      <c r="X327" s="59" t="n"/>
      <c r="Y327" s="59" t="n"/>
      <c r="Z327" s="59" t="n"/>
      <c r="AA327" s="59" t="n"/>
      <c r="AB327" s="59" t="n"/>
      <c r="AC327" s="59" t="n"/>
      <c r="AD327" s="59" t="n"/>
    </row>
    <row r="328">
      <c r="A328" s="59" t="n"/>
      <c r="B328" s="59" t="n"/>
      <c r="C328" s="59" t="n"/>
      <c r="D328" s="59" t="n"/>
      <c r="E328" s="59" t="n"/>
      <c r="F328" s="59" t="n"/>
      <c r="G328" s="60" t="n"/>
      <c r="H328" s="59" t="n"/>
      <c r="I328" s="59" t="n"/>
      <c r="J328" s="59" t="n"/>
      <c r="K328" s="59" t="n"/>
      <c r="L328" s="59" t="n"/>
      <c r="M328" s="59" t="n"/>
      <c r="N328" s="59" t="n"/>
      <c r="O328" s="59" t="n"/>
      <c r="P328" s="59" t="n"/>
      <c r="Q328" s="59" t="n"/>
      <c r="R328" s="59" t="n"/>
      <c r="S328" s="59" t="n"/>
      <c r="T328" s="59" t="n"/>
      <c r="U328" s="59" t="n"/>
      <c r="V328" s="59" t="n"/>
      <c r="W328" s="59" t="n"/>
      <c r="X328" s="59" t="n"/>
      <c r="Y328" s="59" t="n"/>
      <c r="Z328" s="59" t="n"/>
      <c r="AA328" s="59" t="n"/>
      <c r="AB328" s="59" t="n"/>
      <c r="AC328" s="59" t="n"/>
      <c r="AD328" s="59" t="n"/>
    </row>
    <row r="329">
      <c r="A329" s="59" t="n"/>
      <c r="B329" s="59" t="n"/>
      <c r="C329" s="59" t="n"/>
      <c r="D329" s="59" t="n"/>
      <c r="E329" s="59" t="n"/>
      <c r="F329" s="59" t="n"/>
      <c r="G329" s="60" t="n"/>
      <c r="H329" s="59" t="n"/>
      <c r="I329" s="59" t="n"/>
      <c r="J329" s="59" t="n"/>
      <c r="K329" s="59" t="n"/>
      <c r="L329" s="59" t="n"/>
      <c r="M329" s="59" t="n"/>
      <c r="N329" s="59" t="n"/>
      <c r="O329" s="59" t="n"/>
      <c r="P329" s="59" t="n"/>
      <c r="Q329" s="59" t="n"/>
      <c r="R329" s="59" t="n"/>
      <c r="S329" s="59" t="n"/>
      <c r="T329" s="59" t="n"/>
      <c r="U329" s="59" t="n"/>
      <c r="V329" s="59" t="n"/>
      <c r="W329" s="59" t="n"/>
      <c r="X329" s="59" t="n"/>
      <c r="Y329" s="59" t="n"/>
      <c r="Z329" s="59" t="n"/>
      <c r="AA329" s="59" t="n"/>
      <c r="AB329" s="59" t="n"/>
      <c r="AC329" s="59" t="n"/>
      <c r="AD329" s="59" t="n"/>
    </row>
    <row r="330">
      <c r="A330" s="59" t="n"/>
      <c r="B330" s="59" t="n"/>
      <c r="C330" s="59" t="n"/>
      <c r="D330" s="59" t="n"/>
      <c r="E330" s="59" t="n"/>
      <c r="F330" s="59" t="n"/>
      <c r="G330" s="60" t="n"/>
      <c r="H330" s="59" t="n"/>
      <c r="I330" s="59" t="n"/>
      <c r="J330" s="59" t="n"/>
      <c r="K330" s="59" t="n"/>
      <c r="L330" s="59" t="n"/>
      <c r="M330" s="59" t="n"/>
      <c r="N330" s="59" t="n"/>
      <c r="O330" s="59" t="n"/>
      <c r="P330" s="59" t="n"/>
      <c r="Q330" s="59" t="n"/>
      <c r="R330" s="59" t="n"/>
      <c r="S330" s="59" t="n"/>
      <c r="T330" s="59" t="n"/>
      <c r="U330" s="59" t="n"/>
      <c r="V330" s="59" t="n"/>
      <c r="W330" s="59" t="n"/>
      <c r="X330" s="59" t="n"/>
      <c r="Y330" s="59" t="n"/>
      <c r="Z330" s="59" t="n"/>
      <c r="AA330" s="59" t="n"/>
      <c r="AB330" s="59" t="n"/>
      <c r="AC330" s="59" t="n"/>
      <c r="AD330" s="59" t="n"/>
    </row>
    <row r="331">
      <c r="A331" s="59" t="n"/>
      <c r="B331" s="59" t="n"/>
      <c r="C331" s="59" t="n"/>
      <c r="D331" s="59" t="n"/>
      <c r="E331" s="59" t="n"/>
      <c r="F331" s="59" t="n"/>
      <c r="G331" s="60" t="n"/>
      <c r="H331" s="59" t="n"/>
      <c r="I331" s="59" t="n"/>
      <c r="J331" s="59" t="n"/>
      <c r="K331" s="59" t="n"/>
      <c r="L331" s="59" t="n"/>
      <c r="M331" s="59" t="n"/>
      <c r="N331" s="59" t="n"/>
      <c r="O331" s="59" t="n"/>
      <c r="P331" s="59" t="n"/>
      <c r="Q331" s="59" t="n"/>
      <c r="R331" s="59" t="n"/>
      <c r="S331" s="59" t="n"/>
      <c r="T331" s="59" t="n"/>
      <c r="U331" s="59" t="n"/>
      <c r="V331" s="59" t="n"/>
      <c r="W331" s="59" t="n"/>
      <c r="X331" s="59" t="n"/>
      <c r="Y331" s="59" t="n"/>
      <c r="Z331" s="59" t="n"/>
      <c r="AA331" s="59" t="n"/>
      <c r="AB331" s="59" t="n"/>
      <c r="AC331" s="59" t="n"/>
      <c r="AD331" s="59" t="n"/>
    </row>
    <row r="332">
      <c r="A332" s="59" t="n"/>
      <c r="B332" s="59" t="n"/>
      <c r="C332" s="59" t="n"/>
      <c r="D332" s="59" t="n"/>
      <c r="E332" s="59" t="n"/>
      <c r="F332" s="59" t="n"/>
      <c r="G332" s="60" t="n"/>
      <c r="H332" s="59" t="n"/>
      <c r="I332" s="59" t="n"/>
      <c r="J332" s="59" t="n"/>
      <c r="K332" s="59" t="n"/>
      <c r="L332" s="59" t="n"/>
      <c r="M332" s="59" t="n"/>
      <c r="N332" s="59" t="n"/>
      <c r="O332" s="59" t="n"/>
      <c r="P332" s="59" t="n"/>
      <c r="Q332" s="59" t="n"/>
      <c r="R332" s="59" t="n"/>
      <c r="S332" s="59" t="n"/>
      <c r="T332" s="59" t="n"/>
      <c r="U332" s="59" t="n"/>
      <c r="V332" s="59" t="n"/>
      <c r="W332" s="59" t="n"/>
      <c r="X332" s="59" t="n"/>
      <c r="Y332" s="59" t="n"/>
      <c r="Z332" s="59" t="n"/>
      <c r="AA332" s="59" t="n"/>
      <c r="AB332" s="59" t="n"/>
      <c r="AC332" s="59" t="n"/>
      <c r="AD332" s="59" t="n"/>
    </row>
    <row r="333">
      <c r="A333" s="59" t="n"/>
      <c r="B333" s="59" t="n"/>
      <c r="C333" s="59" t="n"/>
      <c r="D333" s="59" t="n"/>
      <c r="E333" s="59" t="n"/>
      <c r="F333" s="59" t="n"/>
      <c r="G333" s="60" t="n"/>
      <c r="H333" s="59" t="n"/>
      <c r="I333" s="59" t="n"/>
      <c r="J333" s="59" t="n"/>
      <c r="K333" s="59" t="n"/>
      <c r="L333" s="59" t="n"/>
      <c r="M333" s="59" t="n"/>
      <c r="N333" s="59" t="n"/>
      <c r="O333" s="59" t="n"/>
      <c r="P333" s="59" t="n"/>
      <c r="Q333" s="59" t="n"/>
      <c r="R333" s="59" t="n"/>
      <c r="S333" s="59" t="n"/>
      <c r="T333" s="59" t="n"/>
      <c r="U333" s="59" t="n"/>
      <c r="V333" s="59" t="n"/>
      <c r="W333" s="59" t="n"/>
      <c r="X333" s="59" t="n"/>
      <c r="Y333" s="59" t="n"/>
      <c r="Z333" s="59" t="n"/>
      <c r="AA333" s="59" t="n"/>
      <c r="AB333" s="59" t="n"/>
      <c r="AC333" s="59" t="n"/>
      <c r="AD333" s="59" t="n"/>
    </row>
    <row r="334">
      <c r="A334" s="59" t="n"/>
      <c r="B334" s="59" t="n"/>
      <c r="C334" s="59" t="n"/>
      <c r="D334" s="59" t="n"/>
      <c r="E334" s="59" t="n"/>
      <c r="F334" s="59" t="n"/>
      <c r="G334" s="60" t="n"/>
      <c r="H334" s="59" t="n"/>
      <c r="I334" s="59" t="n"/>
      <c r="J334" s="59" t="n"/>
      <c r="K334" s="59" t="n"/>
      <c r="L334" s="59" t="n"/>
      <c r="M334" s="59" t="n"/>
      <c r="N334" s="59" t="n"/>
      <c r="O334" s="59" t="n"/>
      <c r="P334" s="59" t="n"/>
      <c r="Q334" s="59" t="n"/>
      <c r="R334" s="59" t="n"/>
      <c r="S334" s="59" t="n"/>
      <c r="T334" s="59" t="n"/>
      <c r="U334" s="59" t="n"/>
      <c r="V334" s="59" t="n"/>
      <c r="W334" s="59" t="n"/>
      <c r="X334" s="59" t="n"/>
      <c r="Y334" s="59" t="n"/>
      <c r="Z334" s="59" t="n"/>
      <c r="AA334" s="59" t="n"/>
      <c r="AB334" s="59" t="n"/>
      <c r="AC334" s="59" t="n"/>
      <c r="AD334" s="59" t="n"/>
    </row>
    <row r="335">
      <c r="A335" s="59" t="n"/>
      <c r="B335" s="59" t="n"/>
      <c r="C335" s="59" t="n"/>
      <c r="D335" s="59" t="n"/>
      <c r="E335" s="59" t="n"/>
      <c r="F335" s="59" t="n"/>
      <c r="G335" s="60" t="n"/>
      <c r="H335" s="59" t="n"/>
      <c r="I335" s="59" t="n"/>
      <c r="J335" s="59" t="n"/>
      <c r="K335" s="59" t="n"/>
      <c r="L335" s="59" t="n"/>
      <c r="M335" s="59" t="n"/>
      <c r="N335" s="59" t="n"/>
      <c r="O335" s="59" t="n"/>
      <c r="P335" s="59" t="n"/>
      <c r="Q335" s="59" t="n"/>
      <c r="R335" s="59" t="n"/>
      <c r="S335" s="59" t="n"/>
      <c r="T335" s="59" t="n"/>
      <c r="U335" s="59" t="n"/>
      <c r="V335" s="59" t="n"/>
      <c r="W335" s="59" t="n"/>
      <c r="X335" s="59" t="n"/>
      <c r="Y335" s="59" t="n"/>
      <c r="Z335" s="59" t="n"/>
      <c r="AA335" s="59" t="n"/>
      <c r="AB335" s="59" t="n"/>
      <c r="AC335" s="59" t="n"/>
      <c r="AD335" s="59" t="n"/>
    </row>
    <row r="336">
      <c r="A336" s="59" t="n"/>
      <c r="B336" s="59" t="n"/>
      <c r="C336" s="59" t="n"/>
      <c r="D336" s="59" t="n"/>
      <c r="E336" s="59" t="n"/>
      <c r="F336" s="59" t="n"/>
      <c r="G336" s="60" t="n"/>
      <c r="H336" s="59" t="n"/>
      <c r="I336" s="59" t="n"/>
      <c r="J336" s="59" t="n"/>
      <c r="K336" s="59" t="n"/>
      <c r="L336" s="59" t="n"/>
      <c r="M336" s="59" t="n"/>
      <c r="N336" s="59" t="n"/>
      <c r="O336" s="59" t="n"/>
      <c r="P336" s="59" t="n"/>
      <c r="Q336" s="59" t="n"/>
      <c r="R336" s="59" t="n"/>
      <c r="S336" s="59" t="n"/>
      <c r="T336" s="59" t="n"/>
      <c r="U336" s="59" t="n"/>
      <c r="V336" s="59" t="n"/>
      <c r="W336" s="59" t="n"/>
      <c r="X336" s="59" t="n"/>
      <c r="Y336" s="59" t="n"/>
      <c r="Z336" s="59" t="n"/>
      <c r="AA336" s="59" t="n"/>
      <c r="AB336" s="59" t="n"/>
      <c r="AC336" s="59" t="n"/>
      <c r="AD336" s="59" t="n"/>
    </row>
    <row r="337">
      <c r="A337" s="59" t="n"/>
      <c r="B337" s="59" t="n"/>
      <c r="C337" s="59" t="n"/>
      <c r="D337" s="59" t="n"/>
      <c r="E337" s="59" t="n"/>
      <c r="F337" s="59" t="n"/>
      <c r="G337" s="60" t="n"/>
      <c r="H337" s="59" t="n"/>
      <c r="I337" s="59" t="n"/>
      <c r="J337" s="59" t="n"/>
      <c r="K337" s="59" t="n"/>
      <c r="L337" s="59" t="n"/>
      <c r="M337" s="59" t="n"/>
      <c r="N337" s="59" t="n"/>
      <c r="O337" s="59" t="n"/>
      <c r="P337" s="59" t="n"/>
      <c r="Q337" s="59" t="n"/>
      <c r="R337" s="59" t="n"/>
      <c r="S337" s="59" t="n"/>
      <c r="T337" s="59" t="n"/>
      <c r="U337" s="59" t="n"/>
      <c r="V337" s="59" t="n"/>
      <c r="W337" s="59" t="n"/>
      <c r="X337" s="59" t="n"/>
      <c r="Y337" s="59" t="n"/>
      <c r="Z337" s="59" t="n"/>
      <c r="AA337" s="59" t="n"/>
      <c r="AB337" s="59" t="n"/>
      <c r="AC337" s="59" t="n"/>
      <c r="AD337" s="59" t="n"/>
    </row>
    <row r="338">
      <c r="A338" s="59" t="n"/>
      <c r="B338" s="59" t="n"/>
      <c r="C338" s="59" t="n"/>
      <c r="D338" s="59" t="n"/>
      <c r="E338" s="59" t="n"/>
      <c r="F338" s="59" t="n"/>
      <c r="G338" s="60" t="n"/>
      <c r="H338" s="59" t="n"/>
      <c r="I338" s="59" t="n"/>
      <c r="J338" s="59" t="n"/>
      <c r="K338" s="59" t="n"/>
      <c r="L338" s="59" t="n"/>
      <c r="M338" s="59" t="n"/>
      <c r="N338" s="59" t="n"/>
      <c r="O338" s="59" t="n"/>
      <c r="P338" s="59" t="n"/>
      <c r="Q338" s="59" t="n"/>
      <c r="R338" s="59" t="n"/>
      <c r="S338" s="59" t="n"/>
      <c r="T338" s="59" t="n"/>
      <c r="U338" s="59" t="n"/>
      <c r="V338" s="59" t="n"/>
      <c r="W338" s="59" t="n"/>
      <c r="X338" s="59" t="n"/>
      <c r="Y338" s="59" t="n"/>
      <c r="Z338" s="59" t="n"/>
      <c r="AA338" s="59" t="n"/>
      <c r="AB338" s="59" t="n"/>
      <c r="AC338" s="59" t="n"/>
      <c r="AD338" s="59" t="n"/>
    </row>
    <row r="339">
      <c r="A339" s="59" t="n"/>
      <c r="B339" s="59" t="n"/>
      <c r="C339" s="59" t="n"/>
      <c r="D339" s="59" t="n"/>
      <c r="E339" s="59" t="n"/>
      <c r="F339" s="59" t="n"/>
      <c r="G339" s="60" t="n"/>
      <c r="H339" s="59" t="n"/>
      <c r="I339" s="59" t="n"/>
      <c r="J339" s="59" t="n"/>
      <c r="K339" s="59" t="n"/>
      <c r="L339" s="59" t="n"/>
      <c r="M339" s="59" t="n"/>
      <c r="N339" s="59" t="n"/>
      <c r="O339" s="59" t="n"/>
      <c r="P339" s="59" t="n"/>
      <c r="Q339" s="59" t="n"/>
      <c r="R339" s="59" t="n"/>
      <c r="S339" s="59" t="n"/>
      <c r="T339" s="59" t="n"/>
      <c r="U339" s="59" t="n"/>
      <c r="V339" s="59" t="n"/>
      <c r="W339" s="59" t="n"/>
      <c r="X339" s="59" t="n"/>
      <c r="Y339" s="59" t="n"/>
      <c r="Z339" s="59" t="n"/>
      <c r="AA339" s="59" t="n"/>
      <c r="AB339" s="59" t="n"/>
      <c r="AC339" s="59" t="n"/>
      <c r="AD339" s="59" t="n"/>
    </row>
    <row r="340">
      <c r="A340" s="59" t="n"/>
      <c r="B340" s="59" t="n"/>
      <c r="C340" s="59" t="n"/>
      <c r="D340" s="59" t="n"/>
      <c r="E340" s="59" t="n"/>
      <c r="F340" s="59" t="n"/>
      <c r="G340" s="60" t="n"/>
      <c r="H340" s="59" t="n"/>
      <c r="I340" s="59" t="n"/>
      <c r="J340" s="59" t="n"/>
      <c r="K340" s="59" t="n"/>
      <c r="L340" s="59" t="n"/>
      <c r="M340" s="59" t="n"/>
      <c r="N340" s="59" t="n"/>
      <c r="O340" s="59" t="n"/>
      <c r="P340" s="59" t="n"/>
      <c r="Q340" s="59" t="n"/>
      <c r="R340" s="59" t="n"/>
      <c r="S340" s="59" t="n"/>
      <c r="T340" s="59" t="n"/>
      <c r="U340" s="59" t="n"/>
      <c r="V340" s="59" t="n"/>
      <c r="W340" s="59" t="n"/>
      <c r="X340" s="59" t="n"/>
      <c r="Y340" s="59" t="n"/>
      <c r="Z340" s="59" t="n"/>
      <c r="AA340" s="59" t="n"/>
      <c r="AB340" s="59" t="n"/>
      <c r="AC340" s="59" t="n"/>
      <c r="AD340" s="59" t="n"/>
    </row>
    <row r="341">
      <c r="A341" s="59" t="n"/>
      <c r="B341" s="59" t="n"/>
      <c r="C341" s="59" t="n"/>
      <c r="D341" s="59" t="n"/>
      <c r="E341" s="59" t="n"/>
      <c r="F341" s="59" t="n"/>
      <c r="G341" s="60" t="n"/>
      <c r="H341" s="59" t="n"/>
      <c r="I341" s="59" t="n"/>
      <c r="J341" s="59" t="n"/>
      <c r="K341" s="59" t="n"/>
      <c r="L341" s="59" t="n"/>
      <c r="M341" s="59" t="n"/>
      <c r="N341" s="59" t="n"/>
      <c r="O341" s="59" t="n"/>
      <c r="P341" s="59" t="n"/>
      <c r="Q341" s="59" t="n"/>
      <c r="R341" s="59" t="n"/>
      <c r="S341" s="59" t="n"/>
      <c r="T341" s="59" t="n"/>
      <c r="U341" s="59" t="n"/>
      <c r="V341" s="59" t="n"/>
      <c r="W341" s="59" t="n"/>
      <c r="X341" s="59" t="n"/>
      <c r="Y341" s="59" t="n"/>
      <c r="Z341" s="59" t="n"/>
      <c r="AA341" s="59" t="n"/>
      <c r="AB341" s="59" t="n"/>
      <c r="AC341" s="59" t="n"/>
      <c r="AD341" s="59" t="n"/>
    </row>
    <row r="342">
      <c r="A342" s="59" t="n"/>
      <c r="B342" s="59" t="n"/>
      <c r="C342" s="59" t="n"/>
      <c r="D342" s="59" t="n"/>
      <c r="E342" s="59" t="n"/>
      <c r="F342" s="59" t="n"/>
      <c r="G342" s="60" t="n"/>
      <c r="H342" s="59" t="n"/>
      <c r="I342" s="59" t="n"/>
      <c r="J342" s="59" t="n"/>
      <c r="K342" s="59" t="n"/>
      <c r="L342" s="59" t="n"/>
      <c r="M342" s="59" t="n"/>
      <c r="N342" s="59" t="n"/>
      <c r="O342" s="59" t="n"/>
      <c r="P342" s="59" t="n"/>
      <c r="Q342" s="59" t="n"/>
      <c r="R342" s="59" t="n"/>
      <c r="S342" s="59" t="n"/>
      <c r="T342" s="59" t="n"/>
      <c r="U342" s="59" t="n"/>
      <c r="V342" s="59" t="n"/>
      <c r="W342" s="59" t="n"/>
      <c r="X342" s="59" t="n"/>
      <c r="Y342" s="59" t="n"/>
      <c r="Z342" s="59" t="n"/>
      <c r="AA342" s="59" t="n"/>
      <c r="AB342" s="59" t="n"/>
      <c r="AC342" s="59" t="n"/>
      <c r="AD342" s="59" t="n"/>
    </row>
    <row r="343">
      <c r="A343" s="59" t="n"/>
      <c r="B343" s="59" t="n"/>
      <c r="C343" s="59" t="n"/>
      <c r="D343" s="59" t="n"/>
      <c r="E343" s="59" t="n"/>
      <c r="F343" s="59" t="n"/>
      <c r="G343" s="60" t="n"/>
      <c r="H343" s="59" t="n"/>
      <c r="I343" s="59" t="n"/>
      <c r="J343" s="59" t="n"/>
      <c r="K343" s="59" t="n"/>
      <c r="L343" s="59" t="n"/>
      <c r="M343" s="59" t="n"/>
      <c r="N343" s="59" t="n"/>
      <c r="O343" s="59" t="n"/>
      <c r="P343" s="59" t="n"/>
      <c r="Q343" s="59" t="n"/>
      <c r="R343" s="59" t="n"/>
      <c r="S343" s="59" t="n"/>
      <c r="T343" s="59" t="n"/>
      <c r="U343" s="59" t="n"/>
      <c r="V343" s="59" t="n"/>
      <c r="W343" s="59" t="n"/>
      <c r="X343" s="59" t="n"/>
      <c r="Y343" s="59" t="n"/>
      <c r="Z343" s="59" t="n"/>
      <c r="AA343" s="59" t="n"/>
      <c r="AB343" s="59" t="n"/>
      <c r="AC343" s="59" t="n"/>
      <c r="AD343" s="59" t="n"/>
    </row>
    <row r="344">
      <c r="A344" s="59" t="n"/>
      <c r="B344" s="59" t="n"/>
      <c r="C344" s="59" t="n"/>
      <c r="D344" s="59" t="n"/>
      <c r="E344" s="59" t="n"/>
      <c r="F344" s="59" t="n"/>
      <c r="G344" s="60" t="n"/>
      <c r="H344" s="59" t="n"/>
      <c r="I344" s="59" t="n"/>
      <c r="J344" s="59" t="n"/>
      <c r="K344" s="59" t="n"/>
      <c r="L344" s="59" t="n"/>
      <c r="M344" s="59" t="n"/>
      <c r="N344" s="59" t="n"/>
      <c r="O344" s="59" t="n"/>
      <c r="P344" s="59" t="n"/>
      <c r="Q344" s="59" t="n"/>
      <c r="R344" s="59" t="n"/>
      <c r="S344" s="59" t="n"/>
      <c r="T344" s="59" t="n"/>
      <c r="U344" s="59" t="n"/>
      <c r="V344" s="59" t="n"/>
      <c r="W344" s="59" t="n"/>
      <c r="X344" s="59" t="n"/>
      <c r="Y344" s="59" t="n"/>
      <c r="Z344" s="59" t="n"/>
      <c r="AA344" s="59" t="n"/>
      <c r="AB344" s="59" t="n"/>
      <c r="AC344" s="59" t="n"/>
      <c r="AD344" s="59" t="n"/>
    </row>
    <row r="345">
      <c r="A345" s="59" t="n"/>
      <c r="B345" s="59" t="n"/>
      <c r="C345" s="59" t="n"/>
      <c r="D345" s="59" t="n"/>
      <c r="E345" s="59" t="n"/>
      <c r="F345" s="59" t="n"/>
      <c r="G345" s="60" t="n"/>
      <c r="H345" s="59" t="n"/>
      <c r="I345" s="59" t="n"/>
      <c r="J345" s="59" t="n"/>
      <c r="K345" s="59" t="n"/>
      <c r="L345" s="59" t="n"/>
      <c r="M345" s="59" t="n"/>
      <c r="N345" s="59" t="n"/>
      <c r="O345" s="59" t="n"/>
      <c r="P345" s="59" t="n"/>
      <c r="Q345" s="59" t="n"/>
      <c r="R345" s="59" t="n"/>
      <c r="S345" s="59" t="n"/>
      <c r="T345" s="59" t="n"/>
      <c r="U345" s="59" t="n"/>
      <c r="V345" s="59" t="n"/>
      <c r="W345" s="59" t="n"/>
      <c r="X345" s="59" t="n"/>
      <c r="Y345" s="59" t="n"/>
      <c r="Z345" s="59" t="n"/>
      <c r="AA345" s="59" t="n"/>
      <c r="AB345" s="59" t="n"/>
      <c r="AC345" s="59" t="n"/>
      <c r="AD345" s="59" t="n"/>
    </row>
    <row r="346">
      <c r="A346" s="59" t="n"/>
      <c r="B346" s="59" t="n"/>
      <c r="C346" s="59" t="n"/>
      <c r="D346" s="59" t="n"/>
      <c r="E346" s="59" t="n"/>
      <c r="F346" s="59" t="n"/>
      <c r="G346" s="60" t="n"/>
      <c r="H346" s="59" t="n"/>
      <c r="I346" s="59" t="n"/>
      <c r="J346" s="59" t="n"/>
      <c r="K346" s="59" t="n"/>
      <c r="L346" s="59" t="n"/>
      <c r="M346" s="59" t="n"/>
      <c r="N346" s="59" t="n"/>
      <c r="O346" s="59" t="n"/>
      <c r="P346" s="59" t="n"/>
      <c r="Q346" s="59" t="n"/>
      <c r="R346" s="59" t="n"/>
      <c r="S346" s="59" t="n"/>
      <c r="T346" s="59" t="n"/>
      <c r="U346" s="59" t="n"/>
      <c r="V346" s="59" t="n"/>
      <c r="W346" s="59" t="n"/>
      <c r="X346" s="59" t="n"/>
      <c r="Y346" s="59" t="n"/>
      <c r="Z346" s="59" t="n"/>
      <c r="AA346" s="59" t="n"/>
      <c r="AB346" s="59" t="n"/>
      <c r="AC346" s="59" t="n"/>
      <c r="AD346" s="59" t="n"/>
    </row>
    <row r="347">
      <c r="A347" s="59" t="n"/>
      <c r="B347" s="59" t="n"/>
      <c r="C347" s="59" t="n"/>
      <c r="D347" s="59" t="n"/>
      <c r="E347" s="59" t="n"/>
      <c r="F347" s="59" t="n"/>
      <c r="G347" s="60" t="n"/>
      <c r="H347" s="59" t="n"/>
      <c r="I347" s="59" t="n"/>
      <c r="J347" s="59" t="n"/>
      <c r="K347" s="59" t="n"/>
      <c r="L347" s="59" t="n"/>
      <c r="M347" s="59" t="n"/>
      <c r="N347" s="59" t="n"/>
      <c r="O347" s="59" t="n"/>
      <c r="P347" s="59" t="n"/>
      <c r="Q347" s="59" t="n"/>
      <c r="R347" s="59" t="n"/>
      <c r="S347" s="59" t="n"/>
      <c r="T347" s="59" t="n"/>
      <c r="U347" s="59" t="n"/>
      <c r="V347" s="59" t="n"/>
      <c r="W347" s="59" t="n"/>
      <c r="X347" s="59" t="n"/>
      <c r="Y347" s="59" t="n"/>
      <c r="Z347" s="59" t="n"/>
      <c r="AA347" s="59" t="n"/>
      <c r="AB347" s="59" t="n"/>
      <c r="AC347" s="59" t="n"/>
      <c r="AD347" s="59" t="n"/>
    </row>
    <row r="348">
      <c r="A348" s="59" t="n"/>
      <c r="B348" s="59" t="n"/>
      <c r="C348" s="59" t="n"/>
      <c r="D348" s="59" t="n"/>
      <c r="E348" s="59" t="n"/>
      <c r="F348" s="59" t="n"/>
      <c r="G348" s="60" t="n"/>
      <c r="H348" s="59" t="n"/>
      <c r="I348" s="59" t="n"/>
      <c r="J348" s="59" t="n"/>
      <c r="K348" s="59" t="n"/>
      <c r="L348" s="59" t="n"/>
      <c r="M348" s="59" t="n"/>
      <c r="N348" s="59" t="n"/>
      <c r="O348" s="59" t="n"/>
      <c r="P348" s="59" t="n"/>
      <c r="Q348" s="59" t="n"/>
      <c r="R348" s="59" t="n"/>
      <c r="S348" s="59" t="n"/>
      <c r="T348" s="59" t="n"/>
      <c r="U348" s="59" t="n"/>
      <c r="V348" s="59" t="n"/>
      <c r="W348" s="59" t="n"/>
      <c r="X348" s="59" t="n"/>
      <c r="Y348" s="59" t="n"/>
      <c r="Z348" s="59" t="n"/>
      <c r="AA348" s="59" t="n"/>
      <c r="AB348" s="59" t="n"/>
      <c r="AC348" s="59" t="n"/>
      <c r="AD348" s="59" t="n"/>
    </row>
    <row r="349">
      <c r="A349" s="59" t="n"/>
      <c r="B349" s="59" t="n"/>
      <c r="C349" s="59" t="n"/>
      <c r="D349" s="59" t="n"/>
      <c r="E349" s="59" t="n"/>
      <c r="F349" s="59" t="n"/>
      <c r="G349" s="60" t="n"/>
      <c r="H349" s="59" t="n"/>
      <c r="I349" s="59" t="n"/>
      <c r="J349" s="59" t="n"/>
      <c r="K349" s="59" t="n"/>
      <c r="L349" s="59" t="n"/>
      <c r="M349" s="59" t="n"/>
      <c r="N349" s="59" t="n"/>
      <c r="O349" s="59" t="n"/>
      <c r="P349" s="59" t="n"/>
      <c r="Q349" s="59" t="n"/>
      <c r="R349" s="59" t="n"/>
      <c r="S349" s="59" t="n"/>
      <c r="T349" s="59" t="n"/>
      <c r="U349" s="59" t="n"/>
      <c r="V349" s="59" t="n"/>
      <c r="W349" s="59" t="n"/>
      <c r="X349" s="59" t="n"/>
      <c r="Y349" s="59" t="n"/>
      <c r="Z349" s="59" t="n"/>
      <c r="AA349" s="59" t="n"/>
      <c r="AB349" s="59" t="n"/>
      <c r="AC349" s="59" t="n"/>
      <c r="AD349" s="59" t="n"/>
    </row>
    <row r="350">
      <c r="A350" s="59" t="n"/>
      <c r="B350" s="59" t="n"/>
      <c r="C350" s="59" t="n"/>
      <c r="D350" s="59" t="n"/>
      <c r="E350" s="59" t="n"/>
      <c r="F350" s="59" t="n"/>
      <c r="G350" s="60" t="n"/>
      <c r="H350" s="59" t="n"/>
      <c r="I350" s="59" t="n"/>
      <c r="J350" s="59" t="n"/>
      <c r="K350" s="59" t="n"/>
      <c r="L350" s="59" t="n"/>
      <c r="M350" s="59" t="n"/>
      <c r="N350" s="59" t="n"/>
      <c r="O350" s="59" t="n"/>
      <c r="P350" s="59" t="n"/>
      <c r="Q350" s="59" t="n"/>
      <c r="R350" s="59" t="n"/>
      <c r="S350" s="59" t="n"/>
      <c r="T350" s="59" t="n"/>
      <c r="U350" s="59" t="n"/>
      <c r="V350" s="59" t="n"/>
      <c r="W350" s="59" t="n"/>
      <c r="X350" s="59" t="n"/>
      <c r="Y350" s="59" t="n"/>
      <c r="Z350" s="59" t="n"/>
      <c r="AA350" s="59" t="n"/>
      <c r="AB350" s="59" t="n"/>
      <c r="AC350" s="59" t="n"/>
      <c r="AD350" s="59" t="n"/>
    </row>
    <row r="351">
      <c r="A351" s="59" t="n"/>
      <c r="B351" s="59" t="n"/>
      <c r="C351" s="59" t="n"/>
      <c r="D351" s="59" t="n"/>
      <c r="E351" s="59" t="n"/>
      <c r="F351" s="59" t="n"/>
      <c r="G351" s="60" t="n"/>
      <c r="H351" s="59" t="n"/>
      <c r="I351" s="59" t="n"/>
      <c r="J351" s="59" t="n"/>
      <c r="K351" s="59" t="n"/>
      <c r="L351" s="59" t="n"/>
      <c r="M351" s="59" t="n"/>
      <c r="N351" s="59" t="n"/>
      <c r="O351" s="59" t="n"/>
      <c r="P351" s="59" t="n"/>
      <c r="Q351" s="59" t="n"/>
      <c r="R351" s="59" t="n"/>
      <c r="S351" s="59" t="n"/>
      <c r="T351" s="59" t="n"/>
      <c r="U351" s="59" t="n"/>
      <c r="V351" s="59" t="n"/>
      <c r="W351" s="59" t="n"/>
      <c r="X351" s="59" t="n"/>
      <c r="Y351" s="59" t="n"/>
      <c r="Z351" s="59" t="n"/>
      <c r="AA351" s="59" t="n"/>
      <c r="AB351" s="59" t="n"/>
      <c r="AC351" s="59" t="n"/>
      <c r="AD351" s="59" t="n"/>
    </row>
    <row r="352">
      <c r="A352" s="59" t="n"/>
      <c r="B352" s="59" t="n"/>
      <c r="C352" s="59" t="n"/>
      <c r="D352" s="59" t="n"/>
      <c r="E352" s="59" t="n"/>
      <c r="F352" s="59" t="n"/>
      <c r="G352" s="60" t="n"/>
      <c r="H352" s="59" t="n"/>
      <c r="I352" s="59" t="n"/>
      <c r="J352" s="59" t="n"/>
      <c r="K352" s="59" t="n"/>
      <c r="L352" s="59" t="n"/>
      <c r="M352" s="59" t="n"/>
      <c r="N352" s="59" t="n"/>
      <c r="O352" s="59" t="n"/>
      <c r="P352" s="59" t="n"/>
      <c r="Q352" s="59" t="n"/>
      <c r="R352" s="59" t="n"/>
      <c r="S352" s="59" t="n"/>
      <c r="T352" s="59" t="n"/>
      <c r="U352" s="59" t="n"/>
      <c r="V352" s="59" t="n"/>
      <c r="W352" s="59" t="n"/>
      <c r="X352" s="59" t="n"/>
      <c r="Y352" s="59" t="n"/>
      <c r="Z352" s="59" t="n"/>
      <c r="AA352" s="59" t="n"/>
      <c r="AB352" s="59" t="n"/>
      <c r="AC352" s="59" t="n"/>
      <c r="AD352" s="59" t="n"/>
    </row>
    <row r="353">
      <c r="A353" s="59" t="n"/>
      <c r="B353" s="59" t="n"/>
      <c r="C353" s="59" t="n"/>
      <c r="D353" s="59" t="n"/>
      <c r="E353" s="59" t="n"/>
      <c r="F353" s="59" t="n"/>
      <c r="G353" s="60" t="n"/>
      <c r="H353" s="59" t="n"/>
      <c r="I353" s="59" t="n"/>
      <c r="J353" s="59" t="n"/>
      <c r="K353" s="59" t="n"/>
      <c r="L353" s="59" t="n"/>
      <c r="M353" s="59" t="n"/>
      <c r="N353" s="59" t="n"/>
      <c r="O353" s="59" t="n"/>
      <c r="P353" s="59" t="n"/>
      <c r="Q353" s="59" t="n"/>
      <c r="R353" s="59" t="n"/>
      <c r="S353" s="59" t="n"/>
      <c r="T353" s="59" t="n"/>
      <c r="U353" s="59" t="n"/>
      <c r="V353" s="59" t="n"/>
      <c r="W353" s="59" t="n"/>
      <c r="X353" s="59" t="n"/>
      <c r="Y353" s="59" t="n"/>
      <c r="Z353" s="59" t="n"/>
      <c r="AA353" s="59" t="n"/>
      <c r="AB353" s="59" t="n"/>
      <c r="AC353" s="59" t="n"/>
      <c r="AD353" s="59" t="n"/>
    </row>
    <row r="354">
      <c r="A354" s="59" t="n"/>
      <c r="B354" s="59" t="n"/>
      <c r="C354" s="59" t="n"/>
      <c r="D354" s="59" t="n"/>
      <c r="E354" s="59" t="n"/>
      <c r="F354" s="59" t="n"/>
      <c r="G354" s="60" t="n"/>
      <c r="H354" s="59" t="n"/>
      <c r="I354" s="59" t="n"/>
      <c r="J354" s="59" t="n"/>
      <c r="K354" s="59" t="n"/>
      <c r="L354" s="59" t="n"/>
      <c r="M354" s="59" t="n"/>
      <c r="N354" s="59" t="n"/>
      <c r="O354" s="59" t="n"/>
      <c r="P354" s="59" t="n"/>
      <c r="Q354" s="59" t="n"/>
      <c r="R354" s="59" t="n"/>
      <c r="S354" s="59" t="n"/>
      <c r="T354" s="59" t="n"/>
      <c r="U354" s="59" t="n"/>
      <c r="V354" s="59" t="n"/>
      <c r="W354" s="59" t="n"/>
      <c r="X354" s="59" t="n"/>
      <c r="Y354" s="59" t="n"/>
      <c r="Z354" s="59" t="n"/>
      <c r="AA354" s="59" t="n"/>
      <c r="AB354" s="59" t="n"/>
      <c r="AC354" s="59" t="n"/>
      <c r="AD354" s="59" t="n"/>
    </row>
    <row r="355">
      <c r="A355" s="59" t="n"/>
      <c r="B355" s="59" t="n"/>
      <c r="C355" s="59" t="n"/>
      <c r="D355" s="59" t="n"/>
      <c r="E355" s="59" t="n"/>
      <c r="F355" s="59" t="n"/>
      <c r="G355" s="60" t="n"/>
      <c r="H355" s="59" t="n"/>
      <c r="I355" s="59" t="n"/>
      <c r="J355" s="59" t="n"/>
      <c r="K355" s="59" t="n"/>
      <c r="L355" s="59" t="n"/>
      <c r="M355" s="59" t="n"/>
      <c r="N355" s="59" t="n"/>
      <c r="O355" s="59" t="n"/>
      <c r="P355" s="59" t="n"/>
      <c r="Q355" s="59" t="n"/>
      <c r="R355" s="59" t="n"/>
      <c r="S355" s="59" t="n"/>
      <c r="T355" s="59" t="n"/>
      <c r="U355" s="59" t="n"/>
      <c r="V355" s="59" t="n"/>
      <c r="W355" s="59" t="n"/>
      <c r="X355" s="59" t="n"/>
      <c r="Y355" s="59" t="n"/>
      <c r="Z355" s="59" t="n"/>
      <c r="AA355" s="59" t="n"/>
      <c r="AB355" s="59" t="n"/>
      <c r="AC355" s="59" t="n"/>
      <c r="AD355" s="59" t="n"/>
    </row>
    <row r="356">
      <c r="A356" s="59" t="n"/>
      <c r="B356" s="59" t="n"/>
      <c r="C356" s="59" t="n"/>
      <c r="D356" s="59" t="n"/>
      <c r="E356" s="59" t="n"/>
      <c r="F356" s="59" t="n"/>
      <c r="G356" s="60" t="n"/>
      <c r="H356" s="59" t="n"/>
      <c r="I356" s="59" t="n"/>
      <c r="J356" s="59" t="n"/>
      <c r="K356" s="59" t="n"/>
      <c r="L356" s="59" t="n"/>
      <c r="M356" s="59" t="n"/>
      <c r="N356" s="59" t="n"/>
      <c r="O356" s="59" t="n"/>
      <c r="P356" s="59" t="n"/>
      <c r="Q356" s="59" t="n"/>
      <c r="R356" s="59" t="n"/>
      <c r="S356" s="59" t="n"/>
      <c r="T356" s="59" t="n"/>
      <c r="U356" s="59" t="n"/>
      <c r="V356" s="59" t="n"/>
      <c r="W356" s="59" t="n"/>
      <c r="X356" s="59" t="n"/>
      <c r="Y356" s="59" t="n"/>
      <c r="Z356" s="59" t="n"/>
      <c r="AA356" s="59" t="n"/>
      <c r="AB356" s="59" t="n"/>
      <c r="AC356" s="59" t="n"/>
      <c r="AD356" s="59" t="n"/>
    </row>
    <row r="357">
      <c r="A357" s="59" t="n"/>
      <c r="B357" s="59" t="n"/>
      <c r="C357" s="59" t="n"/>
      <c r="D357" s="59" t="n"/>
      <c r="E357" s="59" t="n"/>
      <c r="F357" s="59" t="n"/>
      <c r="G357" s="60" t="n"/>
      <c r="H357" s="59" t="n"/>
      <c r="I357" s="59" t="n"/>
      <c r="J357" s="59" t="n"/>
      <c r="K357" s="59" t="n"/>
      <c r="L357" s="59" t="n"/>
      <c r="M357" s="59" t="n"/>
      <c r="N357" s="59" t="n"/>
      <c r="O357" s="59" t="n"/>
      <c r="P357" s="59" t="n"/>
      <c r="Q357" s="59" t="n"/>
      <c r="R357" s="59" t="n"/>
      <c r="S357" s="59" t="n"/>
      <c r="T357" s="59" t="n"/>
      <c r="U357" s="59" t="n"/>
      <c r="V357" s="59" t="n"/>
      <c r="W357" s="59" t="n"/>
      <c r="X357" s="59" t="n"/>
      <c r="Y357" s="59" t="n"/>
      <c r="Z357" s="59" t="n"/>
      <c r="AA357" s="59" t="n"/>
      <c r="AB357" s="59" t="n"/>
      <c r="AC357" s="59" t="n"/>
      <c r="AD357" s="59" t="n"/>
    </row>
    <row r="358">
      <c r="A358" s="59" t="n"/>
      <c r="B358" s="59" t="n"/>
      <c r="C358" s="59" t="n"/>
      <c r="D358" s="59" t="n"/>
      <c r="E358" s="59" t="n"/>
      <c r="F358" s="59" t="n"/>
      <c r="G358" s="60" t="n"/>
      <c r="H358" s="59" t="n"/>
      <c r="I358" s="59" t="n"/>
      <c r="J358" s="59" t="n"/>
      <c r="K358" s="59" t="n"/>
      <c r="L358" s="59" t="n"/>
      <c r="M358" s="59" t="n"/>
      <c r="N358" s="59" t="n"/>
      <c r="O358" s="59" t="n"/>
      <c r="P358" s="59" t="n"/>
      <c r="Q358" s="59" t="n"/>
      <c r="R358" s="59" t="n"/>
      <c r="S358" s="59" t="n"/>
      <c r="T358" s="59" t="n"/>
      <c r="U358" s="59" t="n"/>
      <c r="V358" s="59" t="n"/>
      <c r="W358" s="59" t="n"/>
      <c r="X358" s="59" t="n"/>
      <c r="Y358" s="59" t="n"/>
      <c r="Z358" s="59" t="n"/>
      <c r="AA358" s="59" t="n"/>
      <c r="AB358" s="59" t="n"/>
      <c r="AC358" s="59" t="n"/>
      <c r="AD358" s="59" t="n"/>
    </row>
    <row r="359">
      <c r="A359" s="59" t="n"/>
      <c r="B359" s="59" t="n"/>
      <c r="C359" s="59" t="n"/>
      <c r="D359" s="59" t="n"/>
      <c r="E359" s="59" t="n"/>
      <c r="F359" s="59" t="n"/>
      <c r="G359" s="60" t="n"/>
      <c r="H359" s="59" t="n"/>
      <c r="I359" s="59" t="n"/>
      <c r="J359" s="59" t="n"/>
      <c r="K359" s="59" t="n"/>
      <c r="L359" s="59" t="n"/>
      <c r="M359" s="59" t="n"/>
      <c r="N359" s="59" t="n"/>
      <c r="O359" s="59" t="n"/>
      <c r="P359" s="59" t="n"/>
      <c r="Q359" s="59" t="n"/>
      <c r="R359" s="59" t="n"/>
      <c r="S359" s="59" t="n"/>
      <c r="T359" s="59" t="n"/>
      <c r="U359" s="59" t="n"/>
      <c r="V359" s="59" t="n"/>
      <c r="W359" s="59" t="n"/>
      <c r="X359" s="59" t="n"/>
      <c r="Y359" s="59" t="n"/>
      <c r="Z359" s="59" t="n"/>
      <c r="AA359" s="59" t="n"/>
      <c r="AB359" s="59" t="n"/>
      <c r="AC359" s="59" t="n"/>
      <c r="AD359" s="59" t="n"/>
    </row>
    <row r="360">
      <c r="A360" s="59" t="n"/>
      <c r="B360" s="59" t="n"/>
      <c r="C360" s="59" t="n"/>
      <c r="D360" s="59" t="n"/>
      <c r="E360" s="59" t="n"/>
      <c r="F360" s="59" t="n"/>
      <c r="G360" s="60" t="n"/>
      <c r="H360" s="59" t="n"/>
      <c r="I360" s="59" t="n"/>
      <c r="J360" s="59" t="n"/>
      <c r="K360" s="59" t="n"/>
      <c r="L360" s="59" t="n"/>
      <c r="M360" s="59" t="n"/>
      <c r="N360" s="59" t="n"/>
      <c r="O360" s="59" t="n"/>
      <c r="P360" s="59" t="n"/>
      <c r="Q360" s="59" t="n"/>
      <c r="R360" s="59" t="n"/>
      <c r="S360" s="59" t="n"/>
      <c r="T360" s="59" t="n"/>
      <c r="U360" s="59" t="n"/>
      <c r="V360" s="59" t="n"/>
      <c r="W360" s="59" t="n"/>
      <c r="X360" s="59" t="n"/>
      <c r="Y360" s="59" t="n"/>
      <c r="Z360" s="59" t="n"/>
      <c r="AA360" s="59" t="n"/>
      <c r="AB360" s="59" t="n"/>
      <c r="AC360" s="59" t="n"/>
      <c r="AD360" s="59" t="n"/>
    </row>
    <row r="361">
      <c r="A361" s="59" t="n"/>
      <c r="B361" s="59" t="n"/>
      <c r="C361" s="59" t="n"/>
      <c r="D361" s="59" t="n"/>
      <c r="E361" s="59" t="n"/>
      <c r="F361" s="59" t="n"/>
      <c r="G361" s="60" t="n"/>
      <c r="H361" s="59" t="n"/>
      <c r="I361" s="59" t="n"/>
      <c r="J361" s="59" t="n"/>
      <c r="K361" s="59" t="n"/>
      <c r="L361" s="59" t="n"/>
      <c r="M361" s="59" t="n"/>
      <c r="N361" s="59" t="n"/>
      <c r="O361" s="59" t="n"/>
      <c r="P361" s="59" t="n"/>
      <c r="Q361" s="59" t="n"/>
      <c r="R361" s="59" t="n"/>
      <c r="S361" s="59" t="n"/>
      <c r="T361" s="59" t="n"/>
      <c r="U361" s="59" t="n"/>
      <c r="V361" s="59" t="n"/>
      <c r="W361" s="59" t="n"/>
      <c r="X361" s="59" t="n"/>
      <c r="Y361" s="59" t="n"/>
      <c r="Z361" s="59" t="n"/>
      <c r="AA361" s="59" t="n"/>
      <c r="AB361" s="59" t="n"/>
      <c r="AC361" s="59" t="n"/>
      <c r="AD361" s="59" t="n"/>
    </row>
    <row r="362">
      <c r="A362" s="59" t="n"/>
      <c r="B362" s="59" t="n"/>
      <c r="C362" s="59" t="n"/>
      <c r="D362" s="59" t="n"/>
      <c r="E362" s="59" t="n"/>
      <c r="F362" s="59" t="n"/>
      <c r="G362" s="60" t="n"/>
      <c r="H362" s="59" t="n"/>
      <c r="I362" s="59" t="n"/>
      <c r="J362" s="59" t="n"/>
      <c r="K362" s="59" t="n"/>
      <c r="L362" s="59" t="n"/>
      <c r="M362" s="59" t="n"/>
      <c r="N362" s="59" t="n"/>
      <c r="O362" s="59" t="n"/>
      <c r="P362" s="59" t="n"/>
      <c r="Q362" s="59" t="n"/>
      <c r="R362" s="59" t="n"/>
      <c r="S362" s="59" t="n"/>
      <c r="T362" s="59" t="n"/>
      <c r="U362" s="59" t="n"/>
      <c r="V362" s="59" t="n"/>
      <c r="W362" s="59" t="n"/>
      <c r="X362" s="59" t="n"/>
      <c r="Y362" s="59" t="n"/>
      <c r="Z362" s="59" t="n"/>
      <c r="AA362" s="59" t="n"/>
      <c r="AB362" s="59" t="n"/>
      <c r="AC362" s="59" t="n"/>
      <c r="AD362" s="59" t="n"/>
    </row>
    <row r="363">
      <c r="A363" s="59" t="n"/>
      <c r="B363" s="59" t="n"/>
      <c r="C363" s="59" t="n"/>
      <c r="D363" s="59" t="n"/>
      <c r="E363" s="59" t="n"/>
      <c r="F363" s="59" t="n"/>
      <c r="G363" s="60" t="n"/>
      <c r="H363" s="59" t="n"/>
      <c r="I363" s="59" t="n"/>
      <c r="J363" s="59" t="n"/>
      <c r="K363" s="59" t="n"/>
      <c r="L363" s="59" t="n"/>
      <c r="M363" s="59" t="n"/>
      <c r="N363" s="59" t="n"/>
      <c r="O363" s="59" t="n"/>
      <c r="P363" s="59" t="n"/>
      <c r="Q363" s="59" t="n"/>
      <c r="R363" s="59" t="n"/>
      <c r="S363" s="59" t="n"/>
      <c r="T363" s="59" t="n"/>
      <c r="U363" s="59" t="n"/>
      <c r="V363" s="59" t="n"/>
      <c r="W363" s="59" t="n"/>
      <c r="X363" s="59" t="n"/>
      <c r="Y363" s="59" t="n"/>
      <c r="Z363" s="59" t="n"/>
      <c r="AA363" s="59" t="n"/>
      <c r="AB363" s="59" t="n"/>
      <c r="AC363" s="59" t="n"/>
      <c r="AD363" s="59" t="n"/>
    </row>
    <row r="364">
      <c r="A364" s="59" t="n"/>
      <c r="B364" s="59" t="n"/>
      <c r="C364" s="59" t="n"/>
      <c r="D364" s="59" t="n"/>
      <c r="E364" s="59" t="n"/>
      <c r="F364" s="59" t="n"/>
      <c r="G364" s="60" t="n"/>
      <c r="H364" s="59" t="n"/>
      <c r="I364" s="59" t="n"/>
      <c r="J364" s="59" t="n"/>
      <c r="K364" s="59" t="n"/>
      <c r="L364" s="59" t="n"/>
      <c r="M364" s="59" t="n"/>
      <c r="N364" s="59" t="n"/>
      <c r="O364" s="59" t="n"/>
      <c r="P364" s="59" t="n"/>
      <c r="Q364" s="59" t="n"/>
      <c r="R364" s="59" t="n"/>
      <c r="S364" s="59" t="n"/>
      <c r="T364" s="59" t="n"/>
      <c r="U364" s="59" t="n"/>
      <c r="V364" s="59" t="n"/>
      <c r="W364" s="59" t="n"/>
      <c r="X364" s="59" t="n"/>
      <c r="Y364" s="59" t="n"/>
      <c r="Z364" s="59" t="n"/>
      <c r="AA364" s="59" t="n"/>
      <c r="AB364" s="59" t="n"/>
      <c r="AC364" s="59" t="n"/>
      <c r="AD364" s="59" t="n"/>
    </row>
    <row r="365">
      <c r="A365" s="59" t="n"/>
      <c r="B365" s="59" t="n"/>
      <c r="C365" s="59" t="n"/>
      <c r="D365" s="59" t="n"/>
      <c r="E365" s="59" t="n"/>
      <c r="F365" s="59" t="n"/>
      <c r="G365" s="60" t="n"/>
      <c r="H365" s="59" t="n"/>
      <c r="I365" s="59" t="n"/>
      <c r="J365" s="59" t="n"/>
      <c r="K365" s="59" t="n"/>
      <c r="L365" s="59" t="n"/>
      <c r="M365" s="59" t="n"/>
      <c r="N365" s="59" t="n"/>
      <c r="O365" s="59" t="n"/>
      <c r="P365" s="59" t="n"/>
      <c r="Q365" s="59" t="n"/>
      <c r="R365" s="59" t="n"/>
      <c r="S365" s="59" t="n"/>
      <c r="T365" s="59" t="n"/>
      <c r="U365" s="59" t="n"/>
      <c r="V365" s="59" t="n"/>
      <c r="W365" s="59" t="n"/>
      <c r="X365" s="59" t="n"/>
      <c r="Y365" s="59" t="n"/>
      <c r="Z365" s="59" t="n"/>
      <c r="AA365" s="59" t="n"/>
      <c r="AB365" s="59" t="n"/>
      <c r="AC365" s="59" t="n"/>
      <c r="AD365" s="59" t="n"/>
    </row>
    <row r="366">
      <c r="A366" s="59" t="n"/>
      <c r="B366" s="59" t="n"/>
      <c r="C366" s="59" t="n"/>
      <c r="D366" s="59" t="n"/>
      <c r="E366" s="59" t="n"/>
      <c r="F366" s="59" t="n"/>
      <c r="G366" s="60" t="n"/>
      <c r="H366" s="59" t="n"/>
      <c r="I366" s="59" t="n"/>
      <c r="J366" s="59" t="n"/>
      <c r="K366" s="59" t="n"/>
      <c r="L366" s="59" t="n"/>
      <c r="M366" s="59" t="n"/>
      <c r="N366" s="59" t="n"/>
      <c r="O366" s="59" t="n"/>
      <c r="P366" s="59" t="n"/>
      <c r="Q366" s="59" t="n"/>
      <c r="R366" s="59" t="n"/>
      <c r="S366" s="59" t="n"/>
      <c r="T366" s="59" t="n"/>
      <c r="U366" s="59" t="n"/>
      <c r="V366" s="59" t="n"/>
      <c r="W366" s="59" t="n"/>
      <c r="X366" s="59" t="n"/>
      <c r="Y366" s="59" t="n"/>
      <c r="Z366" s="59" t="n"/>
      <c r="AA366" s="59" t="n"/>
      <c r="AB366" s="59" t="n"/>
      <c r="AC366" s="59" t="n"/>
      <c r="AD366" s="59" t="n"/>
    </row>
    <row r="367">
      <c r="A367" s="59" t="n"/>
      <c r="B367" s="59" t="n"/>
      <c r="C367" s="59" t="n"/>
      <c r="D367" s="59" t="n"/>
      <c r="E367" s="59" t="n"/>
      <c r="F367" s="59" t="n"/>
      <c r="G367" s="60" t="n"/>
      <c r="H367" s="59" t="n"/>
      <c r="I367" s="59" t="n"/>
      <c r="J367" s="59" t="n"/>
      <c r="K367" s="59" t="n"/>
      <c r="L367" s="59" t="n"/>
      <c r="M367" s="59" t="n"/>
      <c r="N367" s="59" t="n"/>
      <c r="O367" s="59" t="n"/>
      <c r="P367" s="59" t="n"/>
      <c r="Q367" s="59" t="n"/>
      <c r="R367" s="59" t="n"/>
      <c r="S367" s="59" t="n"/>
      <c r="T367" s="59" t="n"/>
      <c r="U367" s="59" t="n"/>
      <c r="V367" s="59" t="n"/>
      <c r="W367" s="59" t="n"/>
      <c r="X367" s="59" t="n"/>
      <c r="Y367" s="59" t="n"/>
      <c r="Z367" s="59" t="n"/>
      <c r="AA367" s="59" t="n"/>
      <c r="AB367" s="59" t="n"/>
      <c r="AC367" s="59" t="n"/>
      <c r="AD367" s="59" t="n"/>
    </row>
    <row r="368">
      <c r="A368" s="59" t="n"/>
      <c r="B368" s="59" t="n"/>
      <c r="C368" s="59" t="n"/>
      <c r="D368" s="59" t="n"/>
      <c r="E368" s="59" t="n"/>
      <c r="F368" s="59" t="n"/>
      <c r="G368" s="60" t="n"/>
      <c r="H368" s="59" t="n"/>
      <c r="I368" s="59" t="n"/>
      <c r="J368" s="59" t="n"/>
      <c r="K368" s="59" t="n"/>
      <c r="L368" s="59" t="n"/>
      <c r="M368" s="59" t="n"/>
      <c r="N368" s="59" t="n"/>
      <c r="O368" s="59" t="n"/>
      <c r="P368" s="59" t="n"/>
      <c r="Q368" s="59" t="n"/>
      <c r="R368" s="59" t="n"/>
      <c r="S368" s="59" t="n"/>
      <c r="T368" s="59" t="n"/>
      <c r="U368" s="59" t="n"/>
      <c r="V368" s="59" t="n"/>
      <c r="W368" s="59" t="n"/>
      <c r="X368" s="59" t="n"/>
      <c r="Y368" s="59" t="n"/>
      <c r="Z368" s="59" t="n"/>
      <c r="AA368" s="59" t="n"/>
      <c r="AB368" s="59" t="n"/>
      <c r="AC368" s="59" t="n"/>
      <c r="AD368" s="59" t="n"/>
    </row>
    <row r="369">
      <c r="A369" s="59" t="n"/>
      <c r="B369" s="59" t="n"/>
      <c r="C369" s="59" t="n"/>
      <c r="D369" s="59" t="n"/>
      <c r="E369" s="59" t="n"/>
      <c r="F369" s="59" t="n"/>
      <c r="G369" s="60" t="n"/>
      <c r="H369" s="59" t="n"/>
      <c r="I369" s="59" t="n"/>
      <c r="J369" s="59" t="n"/>
      <c r="K369" s="59" t="n"/>
      <c r="L369" s="59" t="n"/>
      <c r="M369" s="59" t="n"/>
      <c r="N369" s="59" t="n"/>
      <c r="O369" s="59" t="n"/>
      <c r="P369" s="59" t="n"/>
      <c r="Q369" s="59" t="n"/>
      <c r="R369" s="59" t="n"/>
      <c r="S369" s="59" t="n"/>
      <c r="T369" s="59" t="n"/>
      <c r="U369" s="59" t="n"/>
      <c r="V369" s="59" t="n"/>
      <c r="W369" s="59" t="n"/>
      <c r="X369" s="59" t="n"/>
      <c r="Y369" s="59" t="n"/>
      <c r="Z369" s="59" t="n"/>
      <c r="AA369" s="59" t="n"/>
      <c r="AB369" s="59" t="n"/>
      <c r="AC369" s="59" t="n"/>
      <c r="AD369" s="59" t="n"/>
    </row>
    <row r="370">
      <c r="A370" s="59" t="n"/>
      <c r="B370" s="59" t="n"/>
      <c r="C370" s="59" t="n"/>
      <c r="D370" s="59" t="n"/>
      <c r="E370" s="59" t="n"/>
      <c r="F370" s="59" t="n"/>
      <c r="G370" s="60" t="n"/>
      <c r="H370" s="59" t="n"/>
      <c r="I370" s="59" t="n"/>
      <c r="J370" s="59" t="n"/>
      <c r="K370" s="59" t="n"/>
      <c r="L370" s="59" t="n"/>
      <c r="M370" s="59" t="n"/>
      <c r="N370" s="59" t="n"/>
      <c r="O370" s="59" t="n"/>
      <c r="P370" s="59" t="n"/>
      <c r="Q370" s="59" t="n"/>
      <c r="R370" s="59" t="n"/>
      <c r="S370" s="59" t="n"/>
      <c r="T370" s="59" t="n"/>
      <c r="U370" s="59" t="n"/>
      <c r="V370" s="59" t="n"/>
      <c r="W370" s="59" t="n"/>
      <c r="X370" s="59" t="n"/>
      <c r="Y370" s="59" t="n"/>
      <c r="Z370" s="59" t="n"/>
      <c r="AA370" s="59" t="n"/>
      <c r="AB370" s="59" t="n"/>
      <c r="AC370" s="59" t="n"/>
      <c r="AD370" s="59" t="n"/>
    </row>
    <row r="371">
      <c r="A371" s="59" t="n"/>
      <c r="B371" s="59" t="n"/>
      <c r="C371" s="59" t="n"/>
      <c r="D371" s="59" t="n"/>
      <c r="E371" s="59" t="n"/>
      <c r="F371" s="59" t="n"/>
      <c r="G371" s="60" t="n"/>
      <c r="H371" s="59" t="n"/>
      <c r="I371" s="59" t="n"/>
      <c r="J371" s="59" t="n"/>
      <c r="K371" s="59" t="n"/>
      <c r="L371" s="59" t="n"/>
      <c r="M371" s="59" t="n"/>
      <c r="N371" s="59" t="n"/>
      <c r="O371" s="59" t="n"/>
      <c r="P371" s="59" t="n"/>
      <c r="Q371" s="59" t="n"/>
      <c r="R371" s="59" t="n"/>
      <c r="S371" s="59" t="n"/>
      <c r="T371" s="59" t="n"/>
      <c r="U371" s="59" t="n"/>
      <c r="V371" s="59" t="n"/>
      <c r="W371" s="59" t="n"/>
      <c r="X371" s="59" t="n"/>
      <c r="Y371" s="59" t="n"/>
      <c r="Z371" s="59" t="n"/>
      <c r="AA371" s="59" t="n"/>
      <c r="AB371" s="59" t="n"/>
      <c r="AC371" s="59" t="n"/>
      <c r="AD371" s="59" t="n"/>
    </row>
    <row r="372">
      <c r="A372" s="59" t="n"/>
      <c r="B372" s="59" t="n"/>
      <c r="C372" s="59" t="n"/>
      <c r="D372" s="59" t="n"/>
      <c r="E372" s="59" t="n"/>
      <c r="F372" s="59" t="n"/>
      <c r="G372" s="60" t="n"/>
      <c r="H372" s="59" t="n"/>
      <c r="I372" s="59" t="n"/>
      <c r="J372" s="59" t="n"/>
      <c r="K372" s="59" t="n"/>
      <c r="L372" s="59" t="n"/>
      <c r="M372" s="59" t="n"/>
      <c r="N372" s="59" t="n"/>
      <c r="O372" s="59" t="n"/>
      <c r="P372" s="59" t="n"/>
      <c r="Q372" s="59" t="n"/>
      <c r="R372" s="59" t="n"/>
      <c r="S372" s="59" t="n"/>
      <c r="T372" s="59" t="n"/>
      <c r="U372" s="59" t="n"/>
      <c r="V372" s="59" t="n"/>
      <c r="W372" s="59" t="n"/>
      <c r="X372" s="59" t="n"/>
      <c r="Y372" s="59" t="n"/>
      <c r="Z372" s="59" t="n"/>
      <c r="AA372" s="59" t="n"/>
      <c r="AB372" s="59" t="n"/>
      <c r="AC372" s="59" t="n"/>
      <c r="AD372" s="59" t="n"/>
    </row>
    <row r="373">
      <c r="A373" s="59" t="n"/>
      <c r="B373" s="59" t="n"/>
      <c r="C373" s="59" t="n"/>
      <c r="D373" s="59" t="n"/>
      <c r="E373" s="59" t="n"/>
      <c r="F373" s="59" t="n"/>
      <c r="G373" s="60" t="n"/>
      <c r="H373" s="59" t="n"/>
      <c r="I373" s="59" t="n"/>
      <c r="J373" s="59" t="n"/>
      <c r="K373" s="59" t="n"/>
      <c r="L373" s="59" t="n"/>
      <c r="M373" s="59" t="n"/>
      <c r="N373" s="59" t="n"/>
      <c r="O373" s="59" t="n"/>
      <c r="P373" s="59" t="n"/>
      <c r="Q373" s="59" t="n"/>
      <c r="R373" s="59" t="n"/>
      <c r="S373" s="59" t="n"/>
      <c r="T373" s="59" t="n"/>
      <c r="U373" s="59" t="n"/>
      <c r="V373" s="59" t="n"/>
      <c r="W373" s="59" t="n"/>
      <c r="X373" s="59" t="n"/>
      <c r="Y373" s="59" t="n"/>
      <c r="Z373" s="59" t="n"/>
      <c r="AA373" s="59" t="n"/>
      <c r="AB373" s="59" t="n"/>
      <c r="AC373" s="59" t="n"/>
      <c r="AD373" s="59" t="n"/>
    </row>
    <row r="374">
      <c r="A374" s="59" t="n"/>
      <c r="B374" s="59" t="n"/>
      <c r="C374" s="59" t="n"/>
      <c r="D374" s="59" t="n"/>
      <c r="E374" s="59" t="n"/>
      <c r="F374" s="59" t="n"/>
      <c r="G374" s="60" t="n"/>
      <c r="H374" s="59" t="n"/>
      <c r="I374" s="59" t="n"/>
      <c r="J374" s="59" t="n"/>
      <c r="K374" s="59" t="n"/>
      <c r="L374" s="59" t="n"/>
      <c r="M374" s="59" t="n"/>
      <c r="N374" s="59" t="n"/>
      <c r="O374" s="59" t="n"/>
      <c r="P374" s="59" t="n"/>
      <c r="Q374" s="59" t="n"/>
      <c r="R374" s="59" t="n"/>
      <c r="S374" s="59" t="n"/>
      <c r="T374" s="59" t="n"/>
      <c r="U374" s="59" t="n"/>
      <c r="V374" s="59" t="n"/>
      <c r="W374" s="59" t="n"/>
      <c r="X374" s="59" t="n"/>
      <c r="Y374" s="59" t="n"/>
      <c r="Z374" s="59" t="n"/>
      <c r="AA374" s="59" t="n"/>
      <c r="AB374" s="59" t="n"/>
      <c r="AC374" s="59" t="n"/>
      <c r="AD374" s="59" t="n"/>
    </row>
    <row r="375">
      <c r="A375" s="59" t="n"/>
      <c r="B375" s="59" t="n"/>
      <c r="C375" s="59" t="n"/>
      <c r="D375" s="59" t="n"/>
      <c r="E375" s="59" t="n"/>
      <c r="F375" s="59" t="n"/>
      <c r="G375" s="60" t="n"/>
      <c r="H375" s="59" t="n"/>
      <c r="I375" s="59" t="n"/>
      <c r="J375" s="59" t="n"/>
      <c r="K375" s="59" t="n"/>
      <c r="L375" s="59" t="n"/>
      <c r="M375" s="59" t="n"/>
      <c r="N375" s="59" t="n"/>
      <c r="O375" s="59" t="n"/>
      <c r="P375" s="59" t="n"/>
      <c r="Q375" s="59" t="n"/>
      <c r="R375" s="59" t="n"/>
      <c r="S375" s="59" t="n"/>
      <c r="T375" s="59" t="n"/>
      <c r="U375" s="59" t="n"/>
      <c r="V375" s="59" t="n"/>
      <c r="W375" s="59" t="n"/>
      <c r="X375" s="59" t="n"/>
      <c r="Y375" s="59" t="n"/>
      <c r="Z375" s="59" t="n"/>
      <c r="AA375" s="59" t="n"/>
      <c r="AB375" s="59" t="n"/>
      <c r="AC375" s="59" t="n"/>
      <c r="AD375" s="59" t="n"/>
    </row>
    <row r="376">
      <c r="A376" s="59" t="n"/>
      <c r="B376" s="59" t="n"/>
      <c r="C376" s="59" t="n"/>
      <c r="D376" s="59" t="n"/>
      <c r="E376" s="59" t="n"/>
      <c r="F376" s="59" t="n"/>
      <c r="G376" s="60" t="n"/>
      <c r="H376" s="59" t="n"/>
      <c r="I376" s="59" t="n"/>
      <c r="J376" s="59" t="n"/>
      <c r="K376" s="59" t="n"/>
      <c r="L376" s="59" t="n"/>
      <c r="M376" s="59" t="n"/>
      <c r="N376" s="59" t="n"/>
      <c r="O376" s="59" t="n"/>
      <c r="P376" s="59" t="n"/>
      <c r="Q376" s="59" t="n"/>
      <c r="R376" s="59" t="n"/>
      <c r="S376" s="59" t="n"/>
      <c r="T376" s="59" t="n"/>
      <c r="U376" s="59" t="n"/>
      <c r="V376" s="59" t="n"/>
      <c r="W376" s="59" t="n"/>
      <c r="X376" s="59" t="n"/>
      <c r="Y376" s="59" t="n"/>
      <c r="Z376" s="59" t="n"/>
      <c r="AA376" s="59" t="n"/>
      <c r="AB376" s="59" t="n"/>
      <c r="AC376" s="59" t="n"/>
      <c r="AD376" s="59" t="n"/>
    </row>
    <row r="377">
      <c r="A377" s="59" t="n"/>
      <c r="B377" s="59" t="n"/>
      <c r="C377" s="59" t="n"/>
      <c r="D377" s="59" t="n"/>
      <c r="E377" s="59" t="n"/>
      <c r="F377" s="59" t="n"/>
      <c r="G377" s="60" t="n"/>
      <c r="H377" s="59" t="n"/>
      <c r="I377" s="59" t="n"/>
      <c r="J377" s="59" t="n"/>
      <c r="K377" s="59" t="n"/>
      <c r="L377" s="59" t="n"/>
      <c r="M377" s="59" t="n"/>
      <c r="N377" s="59" t="n"/>
      <c r="O377" s="59" t="n"/>
      <c r="P377" s="59" t="n"/>
      <c r="Q377" s="59" t="n"/>
      <c r="R377" s="59" t="n"/>
      <c r="S377" s="59" t="n"/>
      <c r="T377" s="59" t="n"/>
      <c r="U377" s="59" t="n"/>
      <c r="V377" s="59" t="n"/>
      <c r="W377" s="59" t="n"/>
      <c r="X377" s="59" t="n"/>
      <c r="Y377" s="59" t="n"/>
      <c r="Z377" s="59" t="n"/>
      <c r="AA377" s="59" t="n"/>
      <c r="AB377" s="59" t="n"/>
      <c r="AC377" s="59" t="n"/>
      <c r="AD377" s="59" t="n"/>
    </row>
    <row r="378">
      <c r="A378" s="59" t="n"/>
      <c r="B378" s="59" t="n"/>
      <c r="C378" s="59" t="n"/>
      <c r="D378" s="59" t="n"/>
      <c r="E378" s="59" t="n"/>
      <c r="F378" s="59" t="n"/>
      <c r="G378" s="60" t="n"/>
      <c r="H378" s="59" t="n"/>
      <c r="I378" s="59" t="n"/>
      <c r="J378" s="59" t="n"/>
      <c r="K378" s="59" t="n"/>
      <c r="L378" s="59" t="n"/>
      <c r="M378" s="59" t="n"/>
      <c r="N378" s="59" t="n"/>
      <c r="O378" s="59" t="n"/>
      <c r="P378" s="59" t="n"/>
      <c r="Q378" s="59" t="n"/>
      <c r="R378" s="59" t="n"/>
      <c r="S378" s="59" t="n"/>
      <c r="T378" s="59" t="n"/>
      <c r="U378" s="59" t="n"/>
      <c r="V378" s="59" t="n"/>
      <c r="W378" s="59" t="n"/>
      <c r="X378" s="59" t="n"/>
      <c r="Y378" s="59" t="n"/>
      <c r="Z378" s="59" t="n"/>
      <c r="AA378" s="59" t="n"/>
      <c r="AB378" s="59" t="n"/>
      <c r="AC378" s="59" t="n"/>
      <c r="AD378" s="59" t="n"/>
    </row>
    <row r="379">
      <c r="A379" s="59" t="n"/>
      <c r="B379" s="59" t="n"/>
      <c r="C379" s="59" t="n"/>
      <c r="D379" s="59" t="n"/>
      <c r="E379" s="59" t="n"/>
      <c r="F379" s="59" t="n"/>
      <c r="G379" s="60" t="n"/>
      <c r="H379" s="59" t="n"/>
      <c r="I379" s="59" t="n"/>
      <c r="J379" s="59" t="n"/>
      <c r="K379" s="59" t="n"/>
      <c r="L379" s="59" t="n"/>
      <c r="M379" s="59" t="n"/>
      <c r="N379" s="59" t="n"/>
      <c r="O379" s="59" t="n"/>
      <c r="P379" s="59" t="n"/>
      <c r="Q379" s="59" t="n"/>
      <c r="R379" s="59" t="n"/>
      <c r="S379" s="59" t="n"/>
      <c r="T379" s="59" t="n"/>
      <c r="U379" s="59" t="n"/>
      <c r="V379" s="59" t="n"/>
      <c r="W379" s="59" t="n"/>
      <c r="X379" s="59" t="n"/>
      <c r="Y379" s="59" t="n"/>
      <c r="Z379" s="59" t="n"/>
      <c r="AA379" s="59" t="n"/>
      <c r="AB379" s="59" t="n"/>
      <c r="AC379" s="59" t="n"/>
      <c r="AD379" s="59" t="n"/>
    </row>
    <row r="380">
      <c r="A380" s="59" t="n"/>
      <c r="B380" s="59" t="n"/>
      <c r="C380" s="59" t="n"/>
      <c r="D380" s="59" t="n"/>
      <c r="E380" s="59" t="n"/>
      <c r="F380" s="59" t="n"/>
      <c r="G380" s="60" t="n"/>
      <c r="H380" s="59" t="n"/>
      <c r="I380" s="59" t="n"/>
      <c r="J380" s="59" t="n"/>
      <c r="K380" s="59" t="n"/>
      <c r="L380" s="59" t="n"/>
      <c r="M380" s="59" t="n"/>
      <c r="N380" s="59" t="n"/>
      <c r="O380" s="59" t="n"/>
      <c r="P380" s="59" t="n"/>
      <c r="Q380" s="59" t="n"/>
      <c r="R380" s="59" t="n"/>
      <c r="S380" s="59" t="n"/>
      <c r="T380" s="59" t="n"/>
      <c r="U380" s="59" t="n"/>
      <c r="V380" s="59" t="n"/>
      <c r="W380" s="59" t="n"/>
      <c r="X380" s="59" t="n"/>
      <c r="Y380" s="59" t="n"/>
      <c r="Z380" s="59" t="n"/>
      <c r="AA380" s="59" t="n"/>
      <c r="AB380" s="59" t="n"/>
      <c r="AC380" s="59" t="n"/>
      <c r="AD380" s="59" t="n"/>
    </row>
    <row r="381">
      <c r="A381" s="59" t="n"/>
      <c r="B381" s="59" t="n"/>
      <c r="C381" s="59" t="n"/>
      <c r="D381" s="59" t="n"/>
      <c r="E381" s="59" t="n"/>
      <c r="F381" s="59" t="n"/>
      <c r="G381" s="60" t="n"/>
      <c r="H381" s="59" t="n"/>
      <c r="I381" s="59" t="n"/>
      <c r="J381" s="59" t="n"/>
      <c r="K381" s="59" t="n"/>
      <c r="L381" s="59" t="n"/>
      <c r="M381" s="59" t="n"/>
      <c r="N381" s="59" t="n"/>
      <c r="O381" s="59" t="n"/>
      <c r="P381" s="59" t="n"/>
      <c r="Q381" s="59" t="n"/>
      <c r="R381" s="59" t="n"/>
      <c r="S381" s="59" t="n"/>
      <c r="T381" s="59" t="n"/>
      <c r="U381" s="59" t="n"/>
      <c r="V381" s="59" t="n"/>
      <c r="W381" s="59" t="n"/>
      <c r="X381" s="59" t="n"/>
      <c r="Y381" s="59" t="n"/>
      <c r="Z381" s="59" t="n"/>
      <c r="AA381" s="59" t="n"/>
      <c r="AB381" s="59" t="n"/>
      <c r="AC381" s="59" t="n"/>
      <c r="AD381" s="59" t="n"/>
    </row>
    <row r="382">
      <c r="A382" s="59" t="n"/>
      <c r="B382" s="59" t="n"/>
      <c r="C382" s="59" t="n"/>
      <c r="D382" s="59" t="n"/>
      <c r="E382" s="59" t="n"/>
      <c r="F382" s="59" t="n"/>
      <c r="G382" s="60" t="n"/>
      <c r="H382" s="59" t="n"/>
      <c r="I382" s="59" t="n"/>
      <c r="J382" s="59" t="n"/>
      <c r="K382" s="59" t="n"/>
      <c r="L382" s="59" t="n"/>
      <c r="M382" s="59" t="n"/>
      <c r="N382" s="59" t="n"/>
      <c r="O382" s="59" t="n"/>
      <c r="P382" s="59" t="n"/>
      <c r="Q382" s="59" t="n"/>
      <c r="R382" s="59" t="n"/>
      <c r="S382" s="59" t="n"/>
      <c r="T382" s="59" t="n"/>
      <c r="U382" s="59" t="n"/>
      <c r="V382" s="59" t="n"/>
      <c r="W382" s="59" t="n"/>
      <c r="X382" s="59" t="n"/>
      <c r="Y382" s="59" t="n"/>
      <c r="Z382" s="59" t="n"/>
      <c r="AA382" s="59" t="n"/>
      <c r="AB382" s="59" t="n"/>
      <c r="AC382" s="59" t="n"/>
      <c r="AD382" s="59" t="n"/>
    </row>
    <row r="383">
      <c r="A383" s="59" t="n"/>
      <c r="B383" s="59" t="n"/>
      <c r="C383" s="59" t="n"/>
      <c r="D383" s="59" t="n"/>
      <c r="E383" s="59" t="n"/>
      <c r="F383" s="59" t="n"/>
      <c r="G383" s="60" t="n"/>
      <c r="H383" s="59" t="n"/>
      <c r="I383" s="59" t="n"/>
      <c r="J383" s="59" t="n"/>
      <c r="K383" s="59" t="n"/>
      <c r="L383" s="59" t="n"/>
      <c r="M383" s="59" t="n"/>
      <c r="N383" s="59" t="n"/>
      <c r="O383" s="59" t="n"/>
      <c r="P383" s="59" t="n"/>
      <c r="Q383" s="59" t="n"/>
      <c r="R383" s="59" t="n"/>
      <c r="S383" s="59" t="n"/>
      <c r="T383" s="59" t="n"/>
      <c r="U383" s="59" t="n"/>
      <c r="V383" s="59" t="n"/>
      <c r="W383" s="59" t="n"/>
      <c r="X383" s="59" t="n"/>
      <c r="Y383" s="59" t="n"/>
      <c r="Z383" s="59" t="n"/>
      <c r="AA383" s="59" t="n"/>
      <c r="AB383" s="59" t="n"/>
      <c r="AC383" s="59" t="n"/>
      <c r="AD383" s="59" t="n"/>
    </row>
    <row r="384">
      <c r="A384" s="59" t="n"/>
      <c r="B384" s="59" t="n"/>
      <c r="C384" s="59" t="n"/>
      <c r="D384" s="59" t="n"/>
      <c r="E384" s="59" t="n"/>
      <c r="F384" s="59" t="n"/>
      <c r="G384" s="60" t="n"/>
      <c r="H384" s="59" t="n"/>
      <c r="I384" s="59" t="n"/>
      <c r="J384" s="59" t="n"/>
      <c r="K384" s="59" t="n"/>
      <c r="L384" s="59" t="n"/>
      <c r="M384" s="59" t="n"/>
      <c r="N384" s="59" t="n"/>
      <c r="O384" s="59" t="n"/>
      <c r="P384" s="59" t="n"/>
      <c r="Q384" s="59" t="n"/>
      <c r="R384" s="59" t="n"/>
      <c r="S384" s="59" t="n"/>
      <c r="T384" s="59" t="n"/>
      <c r="U384" s="59" t="n"/>
      <c r="V384" s="59" t="n"/>
      <c r="W384" s="59" t="n"/>
      <c r="X384" s="59" t="n"/>
      <c r="Y384" s="59" t="n"/>
      <c r="Z384" s="59" t="n"/>
      <c r="AA384" s="59" t="n"/>
      <c r="AB384" s="59" t="n"/>
      <c r="AC384" s="59" t="n"/>
      <c r="AD384" s="59" t="n"/>
    </row>
    <row r="385">
      <c r="A385" s="59" t="n"/>
      <c r="B385" s="59" t="n"/>
      <c r="C385" s="59" t="n"/>
      <c r="D385" s="59" t="n"/>
      <c r="E385" s="59" t="n"/>
      <c r="F385" s="59" t="n"/>
      <c r="G385" s="60" t="n"/>
      <c r="H385" s="59" t="n"/>
      <c r="I385" s="59" t="n"/>
      <c r="J385" s="59" t="n"/>
      <c r="K385" s="59" t="n"/>
      <c r="L385" s="59" t="n"/>
      <c r="M385" s="59" t="n"/>
      <c r="N385" s="59" t="n"/>
      <c r="O385" s="59" t="n"/>
      <c r="P385" s="59" t="n"/>
      <c r="Q385" s="59" t="n"/>
      <c r="R385" s="59" t="n"/>
      <c r="S385" s="59" t="n"/>
      <c r="T385" s="59" t="n"/>
      <c r="U385" s="59" t="n"/>
      <c r="V385" s="59" t="n"/>
      <c r="W385" s="59" t="n"/>
      <c r="X385" s="59" t="n"/>
      <c r="Y385" s="59" t="n"/>
      <c r="Z385" s="59" t="n"/>
      <c r="AA385" s="59" t="n"/>
      <c r="AB385" s="59" t="n"/>
      <c r="AC385" s="59" t="n"/>
      <c r="AD385" s="59" t="n"/>
    </row>
    <row r="386">
      <c r="A386" s="59" t="n"/>
      <c r="B386" s="59" t="n"/>
      <c r="C386" s="59" t="n"/>
      <c r="D386" s="59" t="n"/>
      <c r="E386" s="59" t="n"/>
      <c r="F386" s="59" t="n"/>
      <c r="G386" s="60" t="n"/>
      <c r="H386" s="59" t="n"/>
      <c r="I386" s="59" t="n"/>
      <c r="J386" s="59" t="n"/>
      <c r="K386" s="59" t="n"/>
      <c r="L386" s="59" t="n"/>
      <c r="M386" s="59" t="n"/>
      <c r="N386" s="59" t="n"/>
      <c r="O386" s="59" t="n"/>
      <c r="P386" s="59" t="n"/>
      <c r="Q386" s="59" t="n"/>
      <c r="R386" s="59" t="n"/>
      <c r="S386" s="59" t="n"/>
      <c r="T386" s="59" t="n"/>
      <c r="U386" s="59" t="n"/>
      <c r="V386" s="59" t="n"/>
      <c r="W386" s="59" t="n"/>
      <c r="X386" s="59" t="n"/>
      <c r="Y386" s="59" t="n"/>
      <c r="Z386" s="59" t="n"/>
      <c r="AA386" s="59" t="n"/>
      <c r="AB386" s="59" t="n"/>
      <c r="AC386" s="59" t="n"/>
      <c r="AD386" s="59" t="n"/>
    </row>
    <row r="387">
      <c r="A387" s="59" t="n"/>
      <c r="B387" s="59" t="n"/>
      <c r="C387" s="59" t="n"/>
      <c r="D387" s="59" t="n"/>
      <c r="E387" s="59" t="n"/>
      <c r="F387" s="59" t="n"/>
      <c r="G387" s="60" t="n"/>
      <c r="H387" s="59" t="n"/>
      <c r="I387" s="59" t="n"/>
      <c r="J387" s="59" t="n"/>
      <c r="K387" s="59" t="n"/>
      <c r="L387" s="59" t="n"/>
      <c r="M387" s="59" t="n"/>
      <c r="N387" s="59" t="n"/>
      <c r="O387" s="59" t="n"/>
      <c r="P387" s="59" t="n"/>
      <c r="Q387" s="59" t="n"/>
      <c r="R387" s="59" t="n"/>
      <c r="S387" s="59" t="n"/>
      <c r="T387" s="59" t="n"/>
      <c r="U387" s="59" t="n"/>
      <c r="V387" s="59" t="n"/>
      <c r="W387" s="59" t="n"/>
      <c r="X387" s="59" t="n"/>
      <c r="Y387" s="59" t="n"/>
      <c r="Z387" s="59" t="n"/>
      <c r="AA387" s="59" t="n"/>
      <c r="AB387" s="59" t="n"/>
      <c r="AC387" s="59" t="n"/>
      <c r="AD387" s="59" t="n"/>
    </row>
    <row r="388">
      <c r="A388" s="59" t="n"/>
      <c r="B388" s="59" t="n"/>
      <c r="C388" s="59" t="n"/>
      <c r="D388" s="59" t="n"/>
      <c r="E388" s="59" t="n"/>
      <c r="F388" s="59" t="n"/>
      <c r="G388" s="60" t="n"/>
      <c r="H388" s="59" t="n"/>
      <c r="I388" s="59" t="n"/>
      <c r="J388" s="59" t="n"/>
      <c r="K388" s="59" t="n"/>
      <c r="L388" s="59" t="n"/>
      <c r="M388" s="59" t="n"/>
      <c r="N388" s="59" t="n"/>
      <c r="O388" s="59" t="n"/>
      <c r="P388" s="59" t="n"/>
      <c r="Q388" s="59" t="n"/>
      <c r="R388" s="59" t="n"/>
      <c r="S388" s="59" t="n"/>
      <c r="T388" s="59" t="n"/>
      <c r="U388" s="59" t="n"/>
      <c r="V388" s="59" t="n"/>
      <c r="W388" s="59" t="n"/>
      <c r="X388" s="59" t="n"/>
      <c r="Y388" s="59" t="n"/>
      <c r="Z388" s="59" t="n"/>
      <c r="AA388" s="59" t="n"/>
      <c r="AB388" s="59" t="n"/>
      <c r="AC388" s="59" t="n"/>
      <c r="AD388" s="59" t="n"/>
    </row>
    <row r="389">
      <c r="A389" s="59" t="n"/>
      <c r="B389" s="59" t="n"/>
      <c r="C389" s="59" t="n"/>
      <c r="D389" s="59" t="n"/>
      <c r="E389" s="59" t="n"/>
      <c r="F389" s="59" t="n"/>
      <c r="G389" s="60" t="n"/>
      <c r="H389" s="59" t="n"/>
      <c r="I389" s="59" t="n"/>
      <c r="J389" s="59" t="n"/>
      <c r="K389" s="59" t="n"/>
      <c r="L389" s="59" t="n"/>
      <c r="M389" s="59" t="n"/>
      <c r="N389" s="59" t="n"/>
      <c r="O389" s="59" t="n"/>
      <c r="P389" s="59" t="n"/>
      <c r="Q389" s="59" t="n"/>
      <c r="R389" s="59" t="n"/>
      <c r="S389" s="59" t="n"/>
      <c r="T389" s="59" t="n"/>
      <c r="U389" s="59" t="n"/>
      <c r="V389" s="59" t="n"/>
      <c r="W389" s="59" t="n"/>
      <c r="X389" s="59" t="n"/>
      <c r="Y389" s="59" t="n"/>
      <c r="Z389" s="59" t="n"/>
      <c r="AA389" s="59" t="n"/>
      <c r="AB389" s="59" t="n"/>
      <c r="AC389" s="59" t="n"/>
      <c r="AD389" s="59" t="n"/>
    </row>
    <row r="390">
      <c r="A390" s="59" t="n"/>
      <c r="B390" s="59" t="n"/>
      <c r="C390" s="59" t="n"/>
      <c r="D390" s="59" t="n"/>
      <c r="E390" s="59" t="n"/>
      <c r="F390" s="59" t="n"/>
      <c r="G390" s="60" t="n"/>
      <c r="H390" s="59" t="n"/>
      <c r="I390" s="59" t="n"/>
      <c r="J390" s="59" t="n"/>
      <c r="K390" s="59" t="n"/>
      <c r="L390" s="59" t="n"/>
      <c r="M390" s="59" t="n"/>
      <c r="N390" s="59" t="n"/>
      <c r="O390" s="59" t="n"/>
      <c r="P390" s="59" t="n"/>
      <c r="Q390" s="59" t="n"/>
      <c r="R390" s="59" t="n"/>
      <c r="S390" s="59" t="n"/>
      <c r="T390" s="59" t="n"/>
      <c r="U390" s="59" t="n"/>
      <c r="V390" s="59" t="n"/>
      <c r="W390" s="59" t="n"/>
      <c r="X390" s="59" t="n"/>
      <c r="Y390" s="59" t="n"/>
      <c r="Z390" s="59" t="n"/>
      <c r="AA390" s="59" t="n"/>
      <c r="AB390" s="59" t="n"/>
      <c r="AC390" s="59" t="n"/>
      <c r="AD390" s="59" t="n"/>
    </row>
    <row r="391">
      <c r="A391" s="59" t="n"/>
      <c r="B391" s="59" t="n"/>
      <c r="C391" s="59" t="n"/>
      <c r="D391" s="59" t="n"/>
      <c r="E391" s="59" t="n"/>
      <c r="F391" s="59" t="n"/>
      <c r="G391" s="60" t="n"/>
      <c r="H391" s="59" t="n"/>
      <c r="I391" s="59" t="n"/>
      <c r="J391" s="59" t="n"/>
      <c r="K391" s="59" t="n"/>
      <c r="L391" s="59" t="n"/>
      <c r="M391" s="59" t="n"/>
      <c r="N391" s="59" t="n"/>
      <c r="O391" s="59" t="n"/>
      <c r="P391" s="59" t="n"/>
      <c r="Q391" s="59" t="n"/>
      <c r="R391" s="59" t="n"/>
      <c r="S391" s="59" t="n"/>
      <c r="T391" s="59" t="n"/>
      <c r="U391" s="59" t="n"/>
      <c r="V391" s="59" t="n"/>
      <c r="W391" s="59" t="n"/>
      <c r="X391" s="59" t="n"/>
      <c r="Y391" s="59" t="n"/>
      <c r="Z391" s="59" t="n"/>
      <c r="AA391" s="59" t="n"/>
      <c r="AB391" s="59" t="n"/>
      <c r="AC391" s="59" t="n"/>
      <c r="AD391" s="59" t="n"/>
    </row>
    <row r="392">
      <c r="A392" s="59" t="n"/>
      <c r="B392" s="59" t="n"/>
      <c r="C392" s="59" t="n"/>
      <c r="D392" s="59" t="n"/>
      <c r="E392" s="59" t="n"/>
      <c r="F392" s="59" t="n"/>
      <c r="G392" s="60" t="n"/>
      <c r="H392" s="59" t="n"/>
      <c r="I392" s="59" t="n"/>
      <c r="J392" s="59" t="n"/>
      <c r="K392" s="59" t="n"/>
      <c r="L392" s="59" t="n"/>
      <c r="M392" s="59" t="n"/>
      <c r="N392" s="59" t="n"/>
      <c r="O392" s="59" t="n"/>
      <c r="P392" s="59" t="n"/>
      <c r="Q392" s="59" t="n"/>
      <c r="R392" s="59" t="n"/>
      <c r="S392" s="59" t="n"/>
      <c r="T392" s="59" t="n"/>
      <c r="U392" s="59" t="n"/>
      <c r="V392" s="59" t="n"/>
      <c r="W392" s="59" t="n"/>
      <c r="X392" s="59" t="n"/>
      <c r="Y392" s="59" t="n"/>
      <c r="Z392" s="59" t="n"/>
      <c r="AA392" s="59" t="n"/>
      <c r="AB392" s="59" t="n"/>
      <c r="AC392" s="59" t="n"/>
      <c r="AD392" s="59" t="n"/>
    </row>
    <row r="393">
      <c r="A393" s="59" t="n"/>
      <c r="B393" s="59" t="n"/>
      <c r="C393" s="59" t="n"/>
      <c r="D393" s="59" t="n"/>
      <c r="E393" s="59" t="n"/>
      <c r="F393" s="59" t="n"/>
      <c r="G393" s="60" t="n"/>
      <c r="H393" s="59" t="n"/>
      <c r="I393" s="59" t="n"/>
      <c r="J393" s="59" t="n"/>
      <c r="K393" s="59" t="n"/>
      <c r="L393" s="59" t="n"/>
      <c r="M393" s="59" t="n"/>
      <c r="N393" s="59" t="n"/>
      <c r="O393" s="59" t="n"/>
      <c r="P393" s="59" t="n"/>
      <c r="Q393" s="59" t="n"/>
      <c r="R393" s="59" t="n"/>
      <c r="S393" s="59" t="n"/>
      <c r="T393" s="59" t="n"/>
      <c r="U393" s="59" t="n"/>
      <c r="V393" s="59" t="n"/>
      <c r="W393" s="59" t="n"/>
      <c r="X393" s="59" t="n"/>
      <c r="Y393" s="59" t="n"/>
      <c r="Z393" s="59" t="n"/>
      <c r="AA393" s="59" t="n"/>
      <c r="AB393" s="59" t="n"/>
      <c r="AC393" s="59" t="n"/>
      <c r="AD393" s="59" t="n"/>
    </row>
    <row r="394">
      <c r="A394" s="59" t="n"/>
      <c r="B394" s="59" t="n"/>
      <c r="C394" s="59" t="n"/>
      <c r="D394" s="59" t="n"/>
      <c r="E394" s="59" t="n"/>
      <c r="F394" s="59" t="n"/>
      <c r="G394" s="60" t="n"/>
      <c r="H394" s="59" t="n"/>
      <c r="I394" s="59" t="n"/>
      <c r="J394" s="59" t="n"/>
      <c r="K394" s="59" t="n"/>
      <c r="L394" s="59" t="n"/>
      <c r="M394" s="59" t="n"/>
      <c r="N394" s="59" t="n"/>
      <c r="O394" s="59" t="n"/>
      <c r="P394" s="59" t="n"/>
      <c r="Q394" s="59" t="n"/>
      <c r="R394" s="59" t="n"/>
      <c r="S394" s="59" t="n"/>
      <c r="T394" s="59" t="n"/>
      <c r="U394" s="59" t="n"/>
      <c r="V394" s="59" t="n"/>
      <c r="W394" s="59" t="n"/>
      <c r="X394" s="59" t="n"/>
      <c r="Y394" s="59" t="n"/>
      <c r="Z394" s="59" t="n"/>
      <c r="AA394" s="59" t="n"/>
      <c r="AB394" s="59" t="n"/>
      <c r="AC394" s="59" t="n"/>
      <c r="AD394" s="59" t="n"/>
    </row>
    <row r="395">
      <c r="A395" s="59" t="n"/>
      <c r="B395" s="59" t="n"/>
      <c r="C395" s="59" t="n"/>
      <c r="D395" s="59" t="n"/>
      <c r="E395" s="59" t="n"/>
      <c r="F395" s="59" t="n"/>
      <c r="G395" s="60" t="n"/>
      <c r="H395" s="59" t="n"/>
      <c r="I395" s="59" t="n"/>
      <c r="J395" s="59" t="n"/>
      <c r="K395" s="59" t="n"/>
      <c r="L395" s="59" t="n"/>
      <c r="M395" s="59" t="n"/>
      <c r="N395" s="59" t="n"/>
      <c r="O395" s="59" t="n"/>
      <c r="P395" s="59" t="n"/>
      <c r="Q395" s="59" t="n"/>
      <c r="R395" s="59" t="n"/>
      <c r="S395" s="59" t="n"/>
      <c r="T395" s="59" t="n"/>
      <c r="U395" s="59" t="n"/>
      <c r="V395" s="59" t="n"/>
      <c r="W395" s="59" t="n"/>
      <c r="X395" s="59" t="n"/>
      <c r="Y395" s="59" t="n"/>
      <c r="Z395" s="59" t="n"/>
      <c r="AA395" s="59" t="n"/>
      <c r="AB395" s="59" t="n"/>
      <c r="AC395" s="59" t="n"/>
      <c r="AD395" s="59" t="n"/>
    </row>
    <row r="396">
      <c r="A396" s="59" t="n"/>
      <c r="B396" s="59" t="n"/>
      <c r="C396" s="59" t="n"/>
      <c r="D396" s="59" t="n"/>
      <c r="E396" s="59" t="n"/>
      <c r="F396" s="59" t="n"/>
      <c r="G396" s="60" t="n"/>
      <c r="H396" s="59" t="n"/>
      <c r="I396" s="59" t="n"/>
      <c r="J396" s="59" t="n"/>
      <c r="K396" s="59" t="n"/>
      <c r="L396" s="59" t="n"/>
      <c r="M396" s="59" t="n"/>
      <c r="N396" s="59" t="n"/>
      <c r="O396" s="59" t="n"/>
      <c r="P396" s="59" t="n"/>
      <c r="Q396" s="59" t="n"/>
      <c r="R396" s="59" t="n"/>
      <c r="S396" s="59" t="n"/>
      <c r="T396" s="59" t="n"/>
      <c r="U396" s="59" t="n"/>
      <c r="V396" s="59" t="n"/>
      <c r="W396" s="59" t="n"/>
      <c r="X396" s="59" t="n"/>
      <c r="Y396" s="59" t="n"/>
      <c r="Z396" s="59" t="n"/>
      <c r="AA396" s="59" t="n"/>
      <c r="AB396" s="59" t="n"/>
      <c r="AC396" s="59" t="n"/>
      <c r="AD396" s="59" t="n"/>
    </row>
    <row r="397">
      <c r="A397" s="59" t="n"/>
      <c r="B397" s="59" t="n"/>
      <c r="C397" s="59" t="n"/>
      <c r="D397" s="59" t="n"/>
      <c r="E397" s="59" t="n"/>
      <c r="F397" s="59" t="n"/>
      <c r="G397" s="60" t="n"/>
      <c r="H397" s="59" t="n"/>
      <c r="I397" s="59" t="n"/>
      <c r="J397" s="59" t="n"/>
      <c r="K397" s="59" t="n"/>
      <c r="L397" s="59" t="n"/>
      <c r="M397" s="59" t="n"/>
      <c r="N397" s="59" t="n"/>
      <c r="O397" s="59" t="n"/>
      <c r="P397" s="59" t="n"/>
      <c r="Q397" s="59" t="n"/>
      <c r="R397" s="59" t="n"/>
      <c r="S397" s="59" t="n"/>
      <c r="T397" s="59" t="n"/>
      <c r="U397" s="59" t="n"/>
      <c r="V397" s="59" t="n"/>
      <c r="W397" s="59" t="n"/>
      <c r="X397" s="59" t="n"/>
      <c r="Y397" s="59" t="n"/>
      <c r="Z397" s="59" t="n"/>
      <c r="AA397" s="59" t="n"/>
      <c r="AB397" s="59" t="n"/>
      <c r="AC397" s="59" t="n"/>
      <c r="AD397" s="59" t="n"/>
    </row>
    <row r="398">
      <c r="A398" s="59" t="n"/>
      <c r="B398" s="59" t="n"/>
      <c r="C398" s="59" t="n"/>
      <c r="D398" s="59" t="n"/>
      <c r="E398" s="59" t="n"/>
      <c r="F398" s="59" t="n"/>
      <c r="G398" s="60" t="n"/>
      <c r="H398" s="59" t="n"/>
      <c r="I398" s="59" t="n"/>
      <c r="J398" s="59" t="n"/>
      <c r="K398" s="59" t="n"/>
      <c r="L398" s="59" t="n"/>
      <c r="M398" s="59" t="n"/>
      <c r="N398" s="59" t="n"/>
      <c r="O398" s="59" t="n"/>
      <c r="P398" s="59" t="n"/>
      <c r="Q398" s="59" t="n"/>
      <c r="R398" s="59" t="n"/>
      <c r="S398" s="59" t="n"/>
      <c r="T398" s="59" t="n"/>
      <c r="U398" s="59" t="n"/>
      <c r="V398" s="59" t="n"/>
      <c r="W398" s="59" t="n"/>
      <c r="X398" s="59" t="n"/>
      <c r="Y398" s="59" t="n"/>
      <c r="Z398" s="59" t="n"/>
      <c r="AA398" s="59" t="n"/>
      <c r="AB398" s="59" t="n"/>
      <c r="AC398" s="59" t="n"/>
      <c r="AD398" s="59" t="n"/>
    </row>
    <row r="399">
      <c r="A399" s="59" t="n"/>
      <c r="B399" s="59" t="n"/>
      <c r="C399" s="59" t="n"/>
      <c r="D399" s="59" t="n"/>
      <c r="E399" s="59" t="n"/>
      <c r="F399" s="59" t="n"/>
      <c r="G399" s="60" t="n"/>
      <c r="H399" s="59" t="n"/>
      <c r="I399" s="59" t="n"/>
      <c r="J399" s="59" t="n"/>
      <c r="K399" s="59" t="n"/>
      <c r="L399" s="59" t="n"/>
      <c r="M399" s="59" t="n"/>
      <c r="N399" s="59" t="n"/>
      <c r="O399" s="59" t="n"/>
      <c r="P399" s="59" t="n"/>
      <c r="Q399" s="59" t="n"/>
      <c r="R399" s="59" t="n"/>
      <c r="S399" s="59" t="n"/>
      <c r="T399" s="59" t="n"/>
      <c r="U399" s="59" t="n"/>
      <c r="V399" s="59" t="n"/>
      <c r="W399" s="59" t="n"/>
      <c r="X399" s="59" t="n"/>
      <c r="Y399" s="59" t="n"/>
      <c r="Z399" s="59" t="n"/>
      <c r="AA399" s="59" t="n"/>
      <c r="AB399" s="59" t="n"/>
      <c r="AC399" s="59" t="n"/>
      <c r="AD399" s="59" t="n"/>
    </row>
    <row r="400">
      <c r="A400" s="59" t="n"/>
      <c r="B400" s="59" t="n"/>
      <c r="C400" s="59" t="n"/>
      <c r="D400" s="59" t="n"/>
      <c r="E400" s="59" t="n"/>
      <c r="F400" s="59" t="n"/>
      <c r="G400" s="60" t="n"/>
      <c r="H400" s="59" t="n"/>
      <c r="I400" s="59" t="n"/>
      <c r="J400" s="59" t="n"/>
      <c r="K400" s="59" t="n"/>
      <c r="L400" s="59" t="n"/>
      <c r="M400" s="59" t="n"/>
      <c r="N400" s="59" t="n"/>
      <c r="O400" s="59" t="n"/>
      <c r="P400" s="59" t="n"/>
      <c r="Q400" s="59" t="n"/>
      <c r="R400" s="59" t="n"/>
      <c r="S400" s="59" t="n"/>
      <c r="T400" s="59" t="n"/>
      <c r="U400" s="59" t="n"/>
      <c r="V400" s="59" t="n"/>
      <c r="W400" s="59" t="n"/>
      <c r="X400" s="59" t="n"/>
      <c r="Y400" s="59" t="n"/>
      <c r="Z400" s="59" t="n"/>
      <c r="AA400" s="59" t="n"/>
      <c r="AB400" s="59" t="n"/>
      <c r="AC400" s="59" t="n"/>
      <c r="AD400" s="59" t="n"/>
    </row>
    <row r="401">
      <c r="A401" s="59" t="n"/>
      <c r="B401" s="59" t="n"/>
      <c r="C401" s="59" t="n"/>
      <c r="D401" s="59" t="n"/>
      <c r="E401" s="59" t="n"/>
      <c r="F401" s="59" t="n"/>
      <c r="G401" s="60" t="n"/>
      <c r="H401" s="59" t="n"/>
      <c r="I401" s="59" t="n"/>
      <c r="J401" s="59" t="n"/>
      <c r="K401" s="59" t="n"/>
      <c r="L401" s="59" t="n"/>
      <c r="M401" s="59" t="n"/>
      <c r="N401" s="59" t="n"/>
      <c r="O401" s="59" t="n"/>
      <c r="P401" s="59" t="n"/>
      <c r="Q401" s="59" t="n"/>
      <c r="R401" s="59" t="n"/>
      <c r="S401" s="59" t="n"/>
      <c r="T401" s="59" t="n"/>
      <c r="U401" s="59" t="n"/>
      <c r="V401" s="59" t="n"/>
      <c r="W401" s="59" t="n"/>
      <c r="X401" s="59" t="n"/>
      <c r="Y401" s="59" t="n"/>
      <c r="Z401" s="59" t="n"/>
      <c r="AA401" s="59" t="n"/>
      <c r="AB401" s="59" t="n"/>
      <c r="AC401" s="59" t="n"/>
      <c r="AD401" s="59" t="n"/>
    </row>
    <row r="402">
      <c r="A402" s="59" t="n"/>
      <c r="B402" s="59" t="n"/>
      <c r="C402" s="59" t="n"/>
      <c r="D402" s="59" t="n"/>
      <c r="E402" s="59" t="n"/>
      <c r="F402" s="59" t="n"/>
      <c r="G402" s="60" t="n"/>
      <c r="H402" s="59" t="n"/>
      <c r="I402" s="59" t="n"/>
      <c r="J402" s="59" t="n"/>
      <c r="K402" s="59" t="n"/>
      <c r="L402" s="59" t="n"/>
      <c r="M402" s="59" t="n"/>
      <c r="N402" s="59" t="n"/>
      <c r="O402" s="59" t="n"/>
      <c r="P402" s="59" t="n"/>
      <c r="Q402" s="59" t="n"/>
      <c r="R402" s="59" t="n"/>
      <c r="S402" s="59" t="n"/>
      <c r="T402" s="59" t="n"/>
      <c r="U402" s="59" t="n"/>
      <c r="V402" s="59" t="n"/>
      <c r="W402" s="59" t="n"/>
      <c r="X402" s="59" t="n"/>
      <c r="Y402" s="59" t="n"/>
      <c r="Z402" s="59" t="n"/>
      <c r="AA402" s="59" t="n"/>
      <c r="AB402" s="59" t="n"/>
      <c r="AC402" s="59" t="n"/>
      <c r="AD402" s="59" t="n"/>
    </row>
    <row r="403">
      <c r="A403" s="59" t="n"/>
      <c r="B403" s="59" t="n"/>
      <c r="C403" s="59" t="n"/>
      <c r="D403" s="59" t="n"/>
      <c r="E403" s="59" t="n"/>
      <c r="F403" s="59" t="n"/>
      <c r="G403" s="60" t="n"/>
      <c r="H403" s="59" t="n"/>
      <c r="I403" s="59" t="n"/>
      <c r="J403" s="59" t="n"/>
      <c r="K403" s="59" t="n"/>
      <c r="L403" s="59" t="n"/>
      <c r="M403" s="59" t="n"/>
      <c r="N403" s="59" t="n"/>
      <c r="O403" s="59" t="n"/>
      <c r="P403" s="59" t="n"/>
      <c r="Q403" s="59" t="n"/>
      <c r="R403" s="59" t="n"/>
      <c r="S403" s="59" t="n"/>
      <c r="T403" s="59" t="n"/>
      <c r="U403" s="59" t="n"/>
      <c r="V403" s="59" t="n"/>
      <c r="W403" s="59" t="n"/>
      <c r="X403" s="59" t="n"/>
      <c r="Y403" s="59" t="n"/>
      <c r="Z403" s="59" t="n"/>
      <c r="AA403" s="59" t="n"/>
      <c r="AB403" s="59" t="n"/>
      <c r="AC403" s="59" t="n"/>
      <c r="AD403" s="59" t="n"/>
    </row>
    <row r="404">
      <c r="A404" s="59" t="n"/>
      <c r="B404" s="59" t="n"/>
      <c r="C404" s="59" t="n"/>
      <c r="D404" s="59" t="n"/>
      <c r="E404" s="59" t="n"/>
      <c r="F404" s="59" t="n"/>
      <c r="G404" s="60" t="n"/>
      <c r="H404" s="59" t="n"/>
      <c r="I404" s="59" t="n"/>
      <c r="J404" s="59" t="n"/>
      <c r="K404" s="59" t="n"/>
      <c r="L404" s="59" t="n"/>
      <c r="M404" s="59" t="n"/>
      <c r="N404" s="59" t="n"/>
      <c r="O404" s="59" t="n"/>
      <c r="P404" s="59" t="n"/>
      <c r="Q404" s="59" t="n"/>
      <c r="R404" s="59" t="n"/>
      <c r="S404" s="59" t="n"/>
      <c r="T404" s="59" t="n"/>
      <c r="U404" s="59" t="n"/>
      <c r="V404" s="59" t="n"/>
      <c r="W404" s="59" t="n"/>
      <c r="X404" s="59" t="n"/>
      <c r="Y404" s="59" t="n"/>
      <c r="Z404" s="59" t="n"/>
      <c r="AA404" s="59" t="n"/>
      <c r="AB404" s="59" t="n"/>
      <c r="AC404" s="59" t="n"/>
      <c r="AD404" s="59" t="n"/>
    </row>
    <row r="405">
      <c r="A405" s="59" t="n"/>
      <c r="B405" s="59" t="n"/>
      <c r="C405" s="59" t="n"/>
      <c r="D405" s="59" t="n"/>
      <c r="E405" s="59" t="n"/>
      <c r="F405" s="59" t="n"/>
      <c r="G405" s="60" t="n"/>
      <c r="H405" s="59" t="n"/>
      <c r="I405" s="59" t="n"/>
      <c r="J405" s="59" t="n"/>
      <c r="K405" s="59" t="n"/>
      <c r="L405" s="59" t="n"/>
      <c r="M405" s="59" t="n"/>
      <c r="N405" s="59" t="n"/>
      <c r="O405" s="59" t="n"/>
      <c r="P405" s="59" t="n"/>
      <c r="Q405" s="59" t="n"/>
      <c r="R405" s="59" t="n"/>
      <c r="S405" s="59" t="n"/>
      <c r="T405" s="59" t="n"/>
      <c r="U405" s="59" t="n"/>
      <c r="V405" s="59" t="n"/>
      <c r="W405" s="59" t="n"/>
      <c r="X405" s="59" t="n"/>
      <c r="Y405" s="59" t="n"/>
      <c r="Z405" s="59" t="n"/>
      <c r="AA405" s="59" t="n"/>
      <c r="AB405" s="59" t="n"/>
      <c r="AC405" s="59" t="n"/>
      <c r="AD405" s="59" t="n"/>
    </row>
    <row r="406">
      <c r="A406" s="59" t="n"/>
      <c r="B406" s="59" t="n"/>
      <c r="C406" s="59" t="n"/>
      <c r="D406" s="59" t="n"/>
      <c r="E406" s="59" t="n"/>
      <c r="F406" s="59" t="n"/>
      <c r="G406" s="60" t="n"/>
      <c r="H406" s="59" t="n"/>
      <c r="I406" s="59" t="n"/>
      <c r="J406" s="59" t="n"/>
      <c r="K406" s="59" t="n"/>
      <c r="L406" s="59" t="n"/>
      <c r="M406" s="59" t="n"/>
      <c r="N406" s="59" t="n"/>
      <c r="O406" s="59" t="n"/>
      <c r="P406" s="59" t="n"/>
      <c r="Q406" s="59" t="n"/>
      <c r="R406" s="59" t="n"/>
      <c r="S406" s="59" t="n"/>
      <c r="T406" s="59" t="n"/>
      <c r="U406" s="59" t="n"/>
      <c r="V406" s="59" t="n"/>
      <c r="W406" s="59" t="n"/>
      <c r="X406" s="59" t="n"/>
      <c r="Y406" s="59" t="n"/>
      <c r="Z406" s="59" t="n"/>
      <c r="AA406" s="59" t="n"/>
      <c r="AB406" s="59" t="n"/>
      <c r="AC406" s="59" t="n"/>
      <c r="AD406" s="59" t="n"/>
    </row>
    <row r="407">
      <c r="A407" s="59" t="n"/>
      <c r="B407" s="59" t="n"/>
      <c r="C407" s="59" t="n"/>
      <c r="D407" s="59" t="n"/>
      <c r="E407" s="59" t="n"/>
      <c r="F407" s="59" t="n"/>
      <c r="G407" s="60" t="n"/>
      <c r="H407" s="59" t="n"/>
      <c r="I407" s="59" t="n"/>
      <c r="J407" s="59" t="n"/>
      <c r="K407" s="59" t="n"/>
      <c r="L407" s="59" t="n"/>
      <c r="M407" s="59" t="n"/>
      <c r="N407" s="59" t="n"/>
      <c r="O407" s="59" t="n"/>
      <c r="P407" s="59" t="n"/>
      <c r="Q407" s="59" t="n"/>
      <c r="R407" s="59" t="n"/>
      <c r="S407" s="59" t="n"/>
      <c r="T407" s="59" t="n"/>
      <c r="U407" s="59" t="n"/>
      <c r="V407" s="59" t="n"/>
      <c r="W407" s="59" t="n"/>
      <c r="X407" s="59" t="n"/>
      <c r="Y407" s="59" t="n"/>
      <c r="Z407" s="59" t="n"/>
      <c r="AA407" s="59" t="n"/>
      <c r="AB407" s="59" t="n"/>
      <c r="AC407" s="59" t="n"/>
      <c r="AD407" s="59" t="n"/>
    </row>
    <row r="408">
      <c r="A408" s="59" t="n"/>
      <c r="B408" s="59" t="n"/>
      <c r="C408" s="59" t="n"/>
      <c r="D408" s="59" t="n"/>
      <c r="E408" s="59" t="n"/>
      <c r="F408" s="59" t="n"/>
      <c r="G408" s="60" t="n"/>
      <c r="H408" s="59" t="n"/>
      <c r="I408" s="59" t="n"/>
      <c r="J408" s="59" t="n"/>
      <c r="K408" s="59" t="n"/>
      <c r="L408" s="59" t="n"/>
      <c r="M408" s="59" t="n"/>
      <c r="N408" s="59" t="n"/>
      <c r="O408" s="59" t="n"/>
      <c r="P408" s="59" t="n"/>
      <c r="Q408" s="59" t="n"/>
      <c r="R408" s="59" t="n"/>
      <c r="S408" s="59" t="n"/>
      <c r="T408" s="59" t="n"/>
      <c r="U408" s="59" t="n"/>
      <c r="V408" s="59" t="n"/>
      <c r="W408" s="59" t="n"/>
      <c r="X408" s="59" t="n"/>
      <c r="Y408" s="59" t="n"/>
      <c r="Z408" s="59" t="n"/>
      <c r="AA408" s="59" t="n"/>
      <c r="AB408" s="59" t="n"/>
      <c r="AC408" s="59" t="n"/>
      <c r="AD408" s="59" t="n"/>
    </row>
    <row r="409">
      <c r="A409" s="59" t="n"/>
      <c r="B409" s="59" t="n"/>
      <c r="C409" s="59" t="n"/>
      <c r="D409" s="59" t="n"/>
      <c r="E409" s="59" t="n"/>
      <c r="F409" s="59" t="n"/>
      <c r="G409" s="60" t="n"/>
      <c r="H409" s="59" t="n"/>
      <c r="I409" s="59" t="n"/>
      <c r="J409" s="59" t="n"/>
      <c r="K409" s="59" t="n"/>
      <c r="L409" s="59" t="n"/>
      <c r="M409" s="59" t="n"/>
      <c r="N409" s="59" t="n"/>
      <c r="O409" s="59" t="n"/>
      <c r="P409" s="59" t="n"/>
      <c r="Q409" s="59" t="n"/>
      <c r="R409" s="59" t="n"/>
      <c r="S409" s="59" t="n"/>
      <c r="T409" s="59" t="n"/>
      <c r="U409" s="59" t="n"/>
      <c r="V409" s="59" t="n"/>
      <c r="W409" s="59" t="n"/>
      <c r="X409" s="59" t="n"/>
      <c r="Y409" s="59" t="n"/>
      <c r="Z409" s="59" t="n"/>
      <c r="AA409" s="59" t="n"/>
      <c r="AB409" s="59" t="n"/>
      <c r="AC409" s="59" t="n"/>
      <c r="AD409" s="59" t="n"/>
    </row>
    <row r="410">
      <c r="A410" s="59" t="n"/>
      <c r="B410" s="59" t="n"/>
      <c r="C410" s="59" t="n"/>
      <c r="D410" s="59" t="n"/>
      <c r="E410" s="59" t="n"/>
      <c r="F410" s="59" t="n"/>
      <c r="G410" s="60" t="n"/>
      <c r="H410" s="59" t="n"/>
      <c r="I410" s="59" t="n"/>
      <c r="J410" s="59" t="n"/>
      <c r="K410" s="59" t="n"/>
      <c r="L410" s="59" t="n"/>
      <c r="M410" s="59" t="n"/>
      <c r="N410" s="59" t="n"/>
      <c r="O410" s="59" t="n"/>
      <c r="P410" s="59" t="n"/>
      <c r="Q410" s="59" t="n"/>
      <c r="R410" s="59" t="n"/>
      <c r="S410" s="59" t="n"/>
      <c r="T410" s="59" t="n"/>
      <c r="U410" s="59" t="n"/>
      <c r="V410" s="59" t="n"/>
      <c r="W410" s="59" t="n"/>
      <c r="X410" s="59" t="n"/>
      <c r="Y410" s="59" t="n"/>
      <c r="Z410" s="59" t="n"/>
      <c r="AA410" s="59" t="n"/>
      <c r="AB410" s="59" t="n"/>
      <c r="AC410" s="59" t="n"/>
      <c r="AD410" s="59" t="n"/>
    </row>
    <row r="411">
      <c r="A411" s="59" t="n"/>
      <c r="B411" s="59" t="n"/>
      <c r="C411" s="59" t="n"/>
      <c r="D411" s="59" t="n"/>
      <c r="E411" s="59" t="n"/>
      <c r="F411" s="59" t="n"/>
      <c r="G411" s="60" t="n"/>
      <c r="H411" s="59" t="n"/>
      <c r="I411" s="59" t="n"/>
      <c r="J411" s="59" t="n"/>
      <c r="K411" s="59" t="n"/>
      <c r="L411" s="59" t="n"/>
      <c r="M411" s="59" t="n"/>
      <c r="N411" s="59" t="n"/>
      <c r="O411" s="59" t="n"/>
      <c r="P411" s="59" t="n"/>
      <c r="Q411" s="59" t="n"/>
      <c r="R411" s="59" t="n"/>
      <c r="S411" s="59" t="n"/>
      <c r="T411" s="59" t="n"/>
      <c r="U411" s="59" t="n"/>
      <c r="V411" s="59" t="n"/>
      <c r="W411" s="59" t="n"/>
      <c r="X411" s="59" t="n"/>
      <c r="Y411" s="59" t="n"/>
      <c r="Z411" s="59" t="n"/>
      <c r="AA411" s="59" t="n"/>
      <c r="AB411" s="59" t="n"/>
      <c r="AC411" s="59" t="n"/>
      <c r="AD411" s="59" t="n"/>
    </row>
    <row r="412">
      <c r="A412" s="59" t="n"/>
      <c r="B412" s="59" t="n"/>
      <c r="C412" s="59" t="n"/>
      <c r="D412" s="59" t="n"/>
      <c r="E412" s="59" t="n"/>
      <c r="F412" s="59" t="n"/>
      <c r="G412" s="60" t="n"/>
      <c r="H412" s="59" t="n"/>
      <c r="I412" s="59" t="n"/>
      <c r="J412" s="59" t="n"/>
      <c r="K412" s="59" t="n"/>
      <c r="L412" s="59" t="n"/>
      <c r="M412" s="59" t="n"/>
      <c r="N412" s="59" t="n"/>
      <c r="O412" s="59" t="n"/>
      <c r="P412" s="59" t="n"/>
      <c r="Q412" s="59" t="n"/>
      <c r="R412" s="59" t="n"/>
      <c r="S412" s="59" t="n"/>
      <c r="T412" s="59" t="n"/>
      <c r="U412" s="59" t="n"/>
      <c r="V412" s="59" t="n"/>
      <c r="W412" s="59" t="n"/>
      <c r="X412" s="59" t="n"/>
      <c r="Y412" s="59" t="n"/>
      <c r="Z412" s="59" t="n"/>
      <c r="AA412" s="59" t="n"/>
      <c r="AB412" s="59" t="n"/>
      <c r="AC412" s="59" t="n"/>
      <c r="AD412" s="59" t="n"/>
    </row>
    <row r="413">
      <c r="A413" s="59" t="n"/>
      <c r="B413" s="59" t="n"/>
      <c r="C413" s="59" t="n"/>
      <c r="D413" s="59" t="n"/>
      <c r="E413" s="59" t="n"/>
      <c r="F413" s="59" t="n"/>
      <c r="G413" s="60" t="n"/>
      <c r="H413" s="59" t="n"/>
      <c r="I413" s="59" t="n"/>
      <c r="J413" s="59" t="n"/>
      <c r="K413" s="59" t="n"/>
      <c r="L413" s="59" t="n"/>
      <c r="M413" s="59" t="n"/>
      <c r="N413" s="59" t="n"/>
      <c r="O413" s="59" t="n"/>
      <c r="P413" s="59" t="n"/>
      <c r="Q413" s="59" t="n"/>
      <c r="R413" s="59" t="n"/>
      <c r="S413" s="59" t="n"/>
      <c r="T413" s="59" t="n"/>
      <c r="U413" s="59" t="n"/>
      <c r="V413" s="59" t="n"/>
      <c r="W413" s="59" t="n"/>
      <c r="X413" s="59" t="n"/>
      <c r="Y413" s="59" t="n"/>
      <c r="Z413" s="59" t="n"/>
      <c r="AA413" s="59" t="n"/>
      <c r="AB413" s="59" t="n"/>
      <c r="AC413" s="59" t="n"/>
      <c r="AD413" s="59" t="n"/>
    </row>
    <row r="414">
      <c r="A414" s="59" t="n"/>
      <c r="B414" s="59" t="n"/>
      <c r="C414" s="59" t="n"/>
      <c r="D414" s="59" t="n"/>
      <c r="E414" s="59" t="n"/>
      <c r="F414" s="59" t="n"/>
      <c r="G414" s="60" t="n"/>
      <c r="H414" s="59" t="n"/>
      <c r="I414" s="59" t="n"/>
      <c r="J414" s="59" t="n"/>
      <c r="K414" s="59" t="n"/>
      <c r="L414" s="59" t="n"/>
      <c r="M414" s="59" t="n"/>
      <c r="N414" s="59" t="n"/>
      <c r="O414" s="59" t="n"/>
      <c r="P414" s="59" t="n"/>
      <c r="Q414" s="59" t="n"/>
      <c r="R414" s="59" t="n"/>
      <c r="S414" s="59" t="n"/>
      <c r="T414" s="59" t="n"/>
      <c r="U414" s="59" t="n"/>
      <c r="V414" s="59" t="n"/>
      <c r="W414" s="59" t="n"/>
      <c r="X414" s="59" t="n"/>
      <c r="Y414" s="59" t="n"/>
      <c r="Z414" s="59" t="n"/>
      <c r="AA414" s="59" t="n"/>
      <c r="AB414" s="59" t="n"/>
      <c r="AC414" s="59" t="n"/>
      <c r="AD414" s="59" t="n"/>
    </row>
    <row r="415">
      <c r="A415" s="59" t="n"/>
      <c r="B415" s="59" t="n"/>
      <c r="C415" s="59" t="n"/>
      <c r="D415" s="59" t="n"/>
      <c r="E415" s="59" t="n"/>
      <c r="F415" s="59" t="n"/>
      <c r="G415" s="60" t="n"/>
      <c r="H415" s="59" t="n"/>
      <c r="I415" s="59" t="n"/>
      <c r="J415" s="59" t="n"/>
      <c r="K415" s="59" t="n"/>
      <c r="L415" s="59" t="n"/>
      <c r="M415" s="59" t="n"/>
      <c r="N415" s="59" t="n"/>
      <c r="O415" s="59" t="n"/>
      <c r="P415" s="59" t="n"/>
      <c r="Q415" s="59" t="n"/>
      <c r="R415" s="59" t="n"/>
      <c r="S415" s="59" t="n"/>
      <c r="T415" s="59" t="n"/>
      <c r="U415" s="59" t="n"/>
      <c r="V415" s="59" t="n"/>
      <c r="W415" s="59" t="n"/>
      <c r="X415" s="59" t="n"/>
      <c r="Y415" s="59" t="n"/>
      <c r="Z415" s="59" t="n"/>
      <c r="AA415" s="59" t="n"/>
      <c r="AB415" s="59" t="n"/>
      <c r="AC415" s="59" t="n"/>
      <c r="AD415" s="59" t="n"/>
    </row>
    <row r="416">
      <c r="A416" s="59" t="n"/>
      <c r="B416" s="59" t="n"/>
      <c r="C416" s="59" t="n"/>
      <c r="D416" s="59" t="n"/>
      <c r="E416" s="59" t="n"/>
      <c r="F416" s="59" t="n"/>
      <c r="G416" s="60" t="n"/>
      <c r="H416" s="59" t="n"/>
      <c r="I416" s="59" t="n"/>
      <c r="J416" s="59" t="n"/>
      <c r="K416" s="59" t="n"/>
      <c r="L416" s="59" t="n"/>
      <c r="M416" s="59" t="n"/>
      <c r="N416" s="59" t="n"/>
      <c r="O416" s="59" t="n"/>
      <c r="P416" s="59" t="n"/>
      <c r="Q416" s="59" t="n"/>
      <c r="R416" s="59" t="n"/>
      <c r="S416" s="59" t="n"/>
      <c r="T416" s="59" t="n"/>
      <c r="U416" s="59" t="n"/>
      <c r="V416" s="59" t="n"/>
      <c r="W416" s="59" t="n"/>
      <c r="X416" s="59" t="n"/>
      <c r="Y416" s="59" t="n"/>
      <c r="Z416" s="59" t="n"/>
      <c r="AA416" s="59" t="n"/>
      <c r="AB416" s="59" t="n"/>
      <c r="AC416" s="59" t="n"/>
      <c r="AD416" s="59" t="n"/>
    </row>
    <row r="417">
      <c r="A417" s="59" t="n"/>
      <c r="B417" s="59" t="n"/>
      <c r="C417" s="59" t="n"/>
      <c r="D417" s="59" t="n"/>
      <c r="E417" s="59" t="n"/>
      <c r="F417" s="59" t="n"/>
      <c r="G417" s="60" t="n"/>
      <c r="H417" s="59" t="n"/>
      <c r="I417" s="59" t="n"/>
      <c r="J417" s="59" t="n"/>
      <c r="K417" s="59" t="n"/>
      <c r="L417" s="59" t="n"/>
      <c r="M417" s="59" t="n"/>
      <c r="N417" s="59" t="n"/>
      <c r="O417" s="59" t="n"/>
      <c r="P417" s="59" t="n"/>
      <c r="Q417" s="59" t="n"/>
      <c r="R417" s="59" t="n"/>
      <c r="S417" s="59" t="n"/>
      <c r="T417" s="59" t="n"/>
      <c r="U417" s="59" t="n"/>
      <c r="V417" s="59" t="n"/>
      <c r="W417" s="59" t="n"/>
      <c r="X417" s="59" t="n"/>
      <c r="Y417" s="59" t="n"/>
      <c r="Z417" s="59" t="n"/>
      <c r="AA417" s="59" t="n"/>
      <c r="AB417" s="59" t="n"/>
      <c r="AC417" s="59" t="n"/>
      <c r="AD417" s="59" t="n"/>
    </row>
    <row r="418">
      <c r="A418" s="59" t="n"/>
      <c r="B418" s="59" t="n"/>
      <c r="C418" s="59" t="n"/>
      <c r="D418" s="59" t="n"/>
      <c r="E418" s="59" t="n"/>
      <c r="F418" s="59" t="n"/>
      <c r="G418" s="60" t="n"/>
      <c r="H418" s="59" t="n"/>
      <c r="I418" s="59" t="n"/>
      <c r="J418" s="59" t="n"/>
      <c r="K418" s="59" t="n"/>
      <c r="L418" s="59" t="n"/>
      <c r="M418" s="59" t="n"/>
      <c r="N418" s="59" t="n"/>
      <c r="O418" s="59" t="n"/>
      <c r="P418" s="59" t="n"/>
      <c r="Q418" s="59" t="n"/>
      <c r="R418" s="59" t="n"/>
      <c r="S418" s="59" t="n"/>
      <c r="T418" s="59" t="n"/>
      <c r="U418" s="59" t="n"/>
      <c r="V418" s="59" t="n"/>
      <c r="W418" s="59" t="n"/>
      <c r="X418" s="59" t="n"/>
      <c r="Y418" s="59" t="n"/>
      <c r="Z418" s="59" t="n"/>
      <c r="AA418" s="59" t="n"/>
      <c r="AB418" s="59" t="n"/>
      <c r="AC418" s="59" t="n"/>
      <c r="AD418" s="59" t="n"/>
    </row>
    <row r="419">
      <c r="A419" s="59" t="n"/>
      <c r="B419" s="59" t="n"/>
      <c r="C419" s="59" t="n"/>
      <c r="D419" s="59" t="n"/>
      <c r="E419" s="59" t="n"/>
      <c r="F419" s="59" t="n"/>
      <c r="G419" s="60" t="n"/>
      <c r="H419" s="59" t="n"/>
      <c r="I419" s="59" t="n"/>
      <c r="J419" s="59" t="n"/>
      <c r="K419" s="59" t="n"/>
      <c r="L419" s="59" t="n"/>
      <c r="M419" s="59" t="n"/>
      <c r="N419" s="59" t="n"/>
      <c r="O419" s="59" t="n"/>
      <c r="P419" s="59" t="n"/>
      <c r="Q419" s="59" t="n"/>
      <c r="R419" s="59" t="n"/>
      <c r="S419" s="59" t="n"/>
      <c r="T419" s="59" t="n"/>
      <c r="U419" s="59" t="n"/>
      <c r="V419" s="59" t="n"/>
      <c r="W419" s="59" t="n"/>
      <c r="X419" s="59" t="n"/>
      <c r="Y419" s="59" t="n"/>
      <c r="Z419" s="59" t="n"/>
      <c r="AA419" s="59" t="n"/>
      <c r="AB419" s="59" t="n"/>
      <c r="AC419" s="59" t="n"/>
      <c r="AD419" s="59" t="n"/>
    </row>
    <row r="420">
      <c r="A420" s="59" t="n"/>
      <c r="B420" s="59" t="n"/>
      <c r="C420" s="59" t="n"/>
      <c r="D420" s="59" t="n"/>
      <c r="E420" s="59" t="n"/>
      <c r="F420" s="59" t="n"/>
      <c r="G420" s="60" t="n"/>
      <c r="H420" s="59" t="n"/>
      <c r="I420" s="59" t="n"/>
      <c r="J420" s="59" t="n"/>
      <c r="K420" s="59" t="n"/>
      <c r="L420" s="59" t="n"/>
      <c r="M420" s="59" t="n"/>
      <c r="N420" s="59" t="n"/>
      <c r="O420" s="59" t="n"/>
      <c r="P420" s="59" t="n"/>
      <c r="Q420" s="59" t="n"/>
      <c r="R420" s="59" t="n"/>
      <c r="S420" s="59" t="n"/>
      <c r="T420" s="59" t="n"/>
      <c r="U420" s="59" t="n"/>
      <c r="V420" s="59" t="n"/>
      <c r="W420" s="59" t="n"/>
      <c r="X420" s="59" t="n"/>
      <c r="Y420" s="59" t="n"/>
      <c r="Z420" s="59" t="n"/>
      <c r="AA420" s="59" t="n"/>
      <c r="AB420" s="59" t="n"/>
      <c r="AC420" s="59" t="n"/>
      <c r="AD420" s="59" t="n"/>
    </row>
    <row r="421">
      <c r="A421" s="59" t="n"/>
      <c r="B421" s="59" t="n"/>
      <c r="C421" s="59" t="n"/>
      <c r="D421" s="59" t="n"/>
      <c r="E421" s="59" t="n"/>
      <c r="F421" s="59" t="n"/>
      <c r="G421" s="60" t="n"/>
      <c r="H421" s="59" t="n"/>
      <c r="I421" s="59" t="n"/>
      <c r="J421" s="59" t="n"/>
      <c r="K421" s="59" t="n"/>
      <c r="L421" s="59" t="n"/>
      <c r="M421" s="59" t="n"/>
      <c r="N421" s="59" t="n"/>
      <c r="O421" s="59" t="n"/>
      <c r="P421" s="59" t="n"/>
      <c r="Q421" s="59" t="n"/>
      <c r="R421" s="59" t="n"/>
      <c r="S421" s="59" t="n"/>
      <c r="T421" s="59" t="n"/>
      <c r="U421" s="59" t="n"/>
      <c r="V421" s="59" t="n"/>
      <c r="W421" s="59" t="n"/>
      <c r="X421" s="59" t="n"/>
      <c r="Y421" s="59" t="n"/>
      <c r="Z421" s="59" t="n"/>
      <c r="AA421" s="59" t="n"/>
      <c r="AB421" s="59" t="n"/>
      <c r="AC421" s="59" t="n"/>
      <c r="AD421" s="59" t="n"/>
    </row>
    <row r="422">
      <c r="A422" s="59" t="n"/>
      <c r="B422" s="59" t="n"/>
      <c r="C422" s="59" t="n"/>
      <c r="D422" s="59" t="n"/>
      <c r="E422" s="59" t="n"/>
      <c r="F422" s="59" t="n"/>
      <c r="G422" s="60" t="n"/>
      <c r="H422" s="59" t="n"/>
      <c r="I422" s="59" t="n"/>
      <c r="J422" s="59" t="n"/>
      <c r="K422" s="59" t="n"/>
      <c r="L422" s="59" t="n"/>
      <c r="M422" s="59" t="n"/>
      <c r="N422" s="59" t="n"/>
      <c r="O422" s="59" t="n"/>
      <c r="P422" s="59" t="n"/>
      <c r="Q422" s="59" t="n"/>
      <c r="R422" s="59" t="n"/>
      <c r="S422" s="59" t="n"/>
      <c r="T422" s="59" t="n"/>
      <c r="U422" s="59" t="n"/>
      <c r="V422" s="59" t="n"/>
      <c r="W422" s="59" t="n"/>
      <c r="X422" s="59" t="n"/>
      <c r="Y422" s="59" t="n"/>
      <c r="Z422" s="59" t="n"/>
      <c r="AA422" s="59" t="n"/>
      <c r="AB422" s="59" t="n"/>
      <c r="AC422" s="59" t="n"/>
      <c r="AD422" s="59" t="n"/>
    </row>
    <row r="423">
      <c r="A423" s="59" t="n"/>
      <c r="B423" s="59" t="n"/>
      <c r="C423" s="59" t="n"/>
      <c r="D423" s="59" t="n"/>
      <c r="E423" s="59" t="n"/>
      <c r="F423" s="59" t="n"/>
      <c r="G423" s="60" t="n"/>
      <c r="H423" s="59" t="n"/>
      <c r="I423" s="59" t="n"/>
      <c r="J423" s="59" t="n"/>
      <c r="K423" s="59" t="n"/>
      <c r="L423" s="59" t="n"/>
      <c r="M423" s="59" t="n"/>
      <c r="N423" s="59" t="n"/>
      <c r="O423" s="59" t="n"/>
      <c r="P423" s="59" t="n"/>
      <c r="Q423" s="59" t="n"/>
      <c r="R423" s="59" t="n"/>
      <c r="S423" s="59" t="n"/>
      <c r="T423" s="59" t="n"/>
      <c r="U423" s="59" t="n"/>
      <c r="V423" s="59" t="n"/>
      <c r="W423" s="59" t="n"/>
      <c r="X423" s="59" t="n"/>
      <c r="Y423" s="59" t="n"/>
      <c r="Z423" s="59" t="n"/>
      <c r="AA423" s="59" t="n"/>
      <c r="AB423" s="59" t="n"/>
      <c r="AC423" s="59" t="n"/>
      <c r="AD423" s="59" t="n"/>
    </row>
    <row r="424">
      <c r="A424" s="59" t="n"/>
      <c r="B424" s="59" t="n"/>
      <c r="C424" s="59" t="n"/>
      <c r="D424" s="59" t="n"/>
      <c r="E424" s="59" t="n"/>
      <c r="F424" s="59" t="n"/>
      <c r="G424" s="60" t="n"/>
      <c r="H424" s="59" t="n"/>
      <c r="I424" s="59" t="n"/>
      <c r="J424" s="59" t="n"/>
      <c r="K424" s="59" t="n"/>
      <c r="L424" s="59" t="n"/>
      <c r="M424" s="59" t="n"/>
      <c r="N424" s="59" t="n"/>
      <c r="O424" s="59" t="n"/>
      <c r="P424" s="59" t="n"/>
      <c r="Q424" s="59" t="n"/>
      <c r="R424" s="59" t="n"/>
      <c r="S424" s="59" t="n"/>
      <c r="T424" s="59" t="n"/>
      <c r="U424" s="59" t="n"/>
      <c r="V424" s="59" t="n"/>
      <c r="W424" s="59" t="n"/>
      <c r="X424" s="59" t="n"/>
      <c r="Y424" s="59" t="n"/>
      <c r="Z424" s="59" t="n"/>
      <c r="AA424" s="59" t="n"/>
      <c r="AB424" s="59" t="n"/>
      <c r="AC424" s="59" t="n"/>
      <c r="AD424" s="59" t="n"/>
    </row>
    <row r="425">
      <c r="A425" s="59" t="n"/>
      <c r="B425" s="59" t="n"/>
      <c r="C425" s="59" t="n"/>
      <c r="D425" s="59" t="n"/>
      <c r="E425" s="59" t="n"/>
      <c r="F425" s="59" t="n"/>
      <c r="G425" s="60" t="n"/>
      <c r="H425" s="59" t="n"/>
      <c r="I425" s="59" t="n"/>
      <c r="J425" s="59" t="n"/>
      <c r="K425" s="59" t="n"/>
      <c r="L425" s="59" t="n"/>
      <c r="M425" s="59" t="n"/>
      <c r="N425" s="59" t="n"/>
      <c r="O425" s="59" t="n"/>
      <c r="P425" s="59" t="n"/>
      <c r="Q425" s="59" t="n"/>
      <c r="R425" s="59" t="n"/>
      <c r="S425" s="59" t="n"/>
      <c r="T425" s="59" t="n"/>
      <c r="U425" s="59" t="n"/>
      <c r="V425" s="59" t="n"/>
      <c r="W425" s="59" t="n"/>
      <c r="X425" s="59" t="n"/>
      <c r="Y425" s="59" t="n"/>
      <c r="Z425" s="59" t="n"/>
      <c r="AA425" s="59" t="n"/>
      <c r="AB425" s="59" t="n"/>
      <c r="AC425" s="59" t="n"/>
      <c r="AD425" s="59" t="n"/>
    </row>
    <row r="426">
      <c r="A426" s="59" t="n"/>
      <c r="B426" s="59" t="n"/>
      <c r="C426" s="59" t="n"/>
      <c r="D426" s="59" t="n"/>
      <c r="E426" s="59" t="n"/>
      <c r="F426" s="59" t="n"/>
      <c r="G426" s="60" t="n"/>
      <c r="H426" s="59" t="n"/>
      <c r="I426" s="59" t="n"/>
      <c r="J426" s="59" t="n"/>
      <c r="K426" s="59" t="n"/>
      <c r="L426" s="59" t="n"/>
      <c r="M426" s="59" t="n"/>
      <c r="N426" s="59" t="n"/>
      <c r="O426" s="59" t="n"/>
      <c r="P426" s="59" t="n"/>
      <c r="Q426" s="59" t="n"/>
      <c r="R426" s="59" t="n"/>
      <c r="S426" s="59" t="n"/>
      <c r="T426" s="59" t="n"/>
      <c r="U426" s="59" t="n"/>
      <c r="V426" s="59" t="n"/>
      <c r="W426" s="59" t="n"/>
      <c r="X426" s="59" t="n"/>
      <c r="Y426" s="59" t="n"/>
      <c r="Z426" s="59" t="n"/>
      <c r="AA426" s="59" t="n"/>
      <c r="AB426" s="59" t="n"/>
      <c r="AC426" s="59" t="n"/>
      <c r="AD426" s="59" t="n"/>
    </row>
    <row r="427">
      <c r="A427" s="59" t="n"/>
      <c r="B427" s="59" t="n"/>
      <c r="C427" s="59" t="n"/>
      <c r="D427" s="59" t="n"/>
      <c r="E427" s="59" t="n"/>
      <c r="F427" s="59" t="n"/>
      <c r="G427" s="60" t="n"/>
      <c r="H427" s="59" t="n"/>
      <c r="I427" s="59" t="n"/>
      <c r="J427" s="59" t="n"/>
      <c r="K427" s="59" t="n"/>
      <c r="L427" s="59" t="n"/>
      <c r="M427" s="59" t="n"/>
      <c r="N427" s="59" t="n"/>
      <c r="O427" s="59" t="n"/>
      <c r="P427" s="59" t="n"/>
      <c r="Q427" s="59" t="n"/>
      <c r="R427" s="59" t="n"/>
      <c r="S427" s="59" t="n"/>
      <c r="T427" s="59" t="n"/>
      <c r="U427" s="59" t="n"/>
      <c r="V427" s="59" t="n"/>
      <c r="W427" s="59" t="n"/>
      <c r="X427" s="59" t="n"/>
      <c r="Y427" s="59" t="n"/>
      <c r="Z427" s="59" t="n"/>
      <c r="AA427" s="59" t="n"/>
      <c r="AB427" s="59" t="n"/>
      <c r="AC427" s="59" t="n"/>
      <c r="AD427" s="59" t="n"/>
    </row>
    <row r="428">
      <c r="A428" s="59" t="n"/>
      <c r="B428" s="59" t="n"/>
      <c r="C428" s="59" t="n"/>
      <c r="D428" s="59" t="n"/>
      <c r="E428" s="59" t="n"/>
      <c r="F428" s="59" t="n"/>
      <c r="G428" s="60" t="n"/>
      <c r="H428" s="59" t="n"/>
      <c r="I428" s="59" t="n"/>
      <c r="J428" s="59" t="n"/>
      <c r="K428" s="59" t="n"/>
      <c r="L428" s="59" t="n"/>
      <c r="M428" s="59" t="n"/>
      <c r="N428" s="59" t="n"/>
      <c r="O428" s="59" t="n"/>
      <c r="P428" s="59" t="n"/>
      <c r="Q428" s="59" t="n"/>
      <c r="R428" s="59" t="n"/>
      <c r="S428" s="59" t="n"/>
      <c r="T428" s="59" t="n"/>
      <c r="U428" s="59" t="n"/>
      <c r="V428" s="59" t="n"/>
      <c r="W428" s="59" t="n"/>
      <c r="X428" s="59" t="n"/>
      <c r="Y428" s="59" t="n"/>
      <c r="Z428" s="59" t="n"/>
      <c r="AA428" s="59" t="n"/>
      <c r="AB428" s="59" t="n"/>
      <c r="AC428" s="59" t="n"/>
      <c r="AD428" s="59" t="n"/>
    </row>
    <row r="429">
      <c r="A429" s="59" t="n"/>
      <c r="B429" s="59" t="n"/>
      <c r="C429" s="59" t="n"/>
      <c r="D429" s="59" t="n"/>
      <c r="E429" s="59" t="n"/>
      <c r="F429" s="59" t="n"/>
      <c r="G429" s="60" t="n"/>
      <c r="H429" s="59" t="n"/>
      <c r="I429" s="59" t="n"/>
      <c r="J429" s="59" t="n"/>
      <c r="K429" s="59" t="n"/>
      <c r="L429" s="59" t="n"/>
      <c r="M429" s="59" t="n"/>
      <c r="N429" s="59" t="n"/>
      <c r="O429" s="59" t="n"/>
      <c r="P429" s="59" t="n"/>
      <c r="Q429" s="59" t="n"/>
      <c r="R429" s="59" t="n"/>
      <c r="S429" s="59" t="n"/>
      <c r="T429" s="59" t="n"/>
      <c r="U429" s="59" t="n"/>
      <c r="V429" s="59" t="n"/>
      <c r="W429" s="59" t="n"/>
      <c r="X429" s="59" t="n"/>
      <c r="Y429" s="59" t="n"/>
      <c r="Z429" s="59" t="n"/>
      <c r="AA429" s="59" t="n"/>
      <c r="AB429" s="59" t="n"/>
      <c r="AC429" s="59" t="n"/>
      <c r="AD429" s="59" t="n"/>
    </row>
    <row r="430">
      <c r="A430" s="59" t="n"/>
      <c r="B430" s="59" t="n"/>
      <c r="C430" s="59" t="n"/>
      <c r="D430" s="59" t="n"/>
      <c r="E430" s="59" t="n"/>
      <c r="F430" s="59" t="n"/>
      <c r="G430" s="60" t="n"/>
      <c r="H430" s="59" t="n"/>
      <c r="I430" s="59" t="n"/>
      <c r="J430" s="59" t="n"/>
      <c r="K430" s="59" t="n"/>
      <c r="L430" s="59" t="n"/>
      <c r="M430" s="59" t="n"/>
      <c r="N430" s="59" t="n"/>
      <c r="O430" s="59" t="n"/>
      <c r="P430" s="59" t="n"/>
      <c r="Q430" s="59" t="n"/>
      <c r="R430" s="59" t="n"/>
      <c r="S430" s="59" t="n"/>
      <c r="T430" s="59" t="n"/>
      <c r="U430" s="59" t="n"/>
      <c r="V430" s="59" t="n"/>
      <c r="W430" s="59" t="n"/>
      <c r="X430" s="59" t="n"/>
      <c r="Y430" s="59" t="n"/>
      <c r="Z430" s="59" t="n"/>
      <c r="AA430" s="59" t="n"/>
      <c r="AB430" s="59" t="n"/>
      <c r="AC430" s="59" t="n"/>
      <c r="AD430" s="59" t="n"/>
    </row>
    <row r="431">
      <c r="A431" s="59" t="n"/>
      <c r="B431" s="59" t="n"/>
      <c r="C431" s="59" t="n"/>
      <c r="D431" s="59" t="n"/>
      <c r="E431" s="59" t="n"/>
      <c r="F431" s="59" t="n"/>
      <c r="G431" s="60" t="n"/>
      <c r="H431" s="59" t="n"/>
      <c r="I431" s="59" t="n"/>
      <c r="J431" s="59" t="n"/>
      <c r="K431" s="59" t="n"/>
      <c r="L431" s="59" t="n"/>
      <c r="M431" s="59" t="n"/>
      <c r="N431" s="59" t="n"/>
      <c r="O431" s="59" t="n"/>
      <c r="P431" s="59" t="n"/>
      <c r="Q431" s="59" t="n"/>
      <c r="R431" s="59" t="n"/>
      <c r="S431" s="59" t="n"/>
      <c r="T431" s="59" t="n"/>
      <c r="U431" s="59" t="n"/>
      <c r="V431" s="59" t="n"/>
      <c r="W431" s="59" t="n"/>
      <c r="X431" s="59" t="n"/>
      <c r="Y431" s="59" t="n"/>
      <c r="Z431" s="59" t="n"/>
      <c r="AA431" s="59" t="n"/>
      <c r="AB431" s="59" t="n"/>
      <c r="AC431" s="59" t="n"/>
      <c r="AD431" s="59" t="n"/>
    </row>
    <row r="432">
      <c r="A432" s="59" t="n"/>
      <c r="B432" s="59" t="n"/>
      <c r="C432" s="59" t="n"/>
      <c r="D432" s="59" t="n"/>
      <c r="E432" s="59" t="n"/>
      <c r="F432" s="59" t="n"/>
      <c r="G432" s="60" t="n"/>
      <c r="H432" s="59" t="n"/>
      <c r="I432" s="59" t="n"/>
      <c r="J432" s="59" t="n"/>
      <c r="K432" s="59" t="n"/>
      <c r="L432" s="59" t="n"/>
      <c r="M432" s="59" t="n"/>
      <c r="N432" s="59" t="n"/>
      <c r="O432" s="59" t="n"/>
      <c r="P432" s="59" t="n"/>
      <c r="Q432" s="59" t="n"/>
      <c r="R432" s="59" t="n"/>
      <c r="S432" s="59" t="n"/>
      <c r="T432" s="59" t="n"/>
      <c r="U432" s="59" t="n"/>
      <c r="V432" s="59" t="n"/>
      <c r="W432" s="59" t="n"/>
      <c r="X432" s="59" t="n"/>
      <c r="Y432" s="59" t="n"/>
      <c r="Z432" s="59" t="n"/>
      <c r="AA432" s="59" t="n"/>
      <c r="AB432" s="59" t="n"/>
      <c r="AC432" s="59" t="n"/>
      <c r="AD432" s="59" t="n"/>
    </row>
    <row r="433">
      <c r="A433" s="59" t="n"/>
      <c r="B433" s="59" t="n"/>
      <c r="C433" s="59" t="n"/>
      <c r="D433" s="59" t="n"/>
      <c r="E433" s="59" t="n"/>
      <c r="F433" s="59" t="n"/>
      <c r="G433" s="60" t="n"/>
      <c r="H433" s="59" t="n"/>
      <c r="I433" s="59" t="n"/>
      <c r="J433" s="59" t="n"/>
      <c r="K433" s="59" t="n"/>
      <c r="L433" s="59" t="n"/>
      <c r="M433" s="59" t="n"/>
      <c r="N433" s="59" t="n"/>
      <c r="O433" s="59" t="n"/>
      <c r="P433" s="59" t="n"/>
      <c r="Q433" s="59" t="n"/>
      <c r="R433" s="59" t="n"/>
      <c r="S433" s="59" t="n"/>
      <c r="T433" s="59" t="n"/>
      <c r="U433" s="59" t="n"/>
      <c r="V433" s="59" t="n"/>
      <c r="W433" s="59" t="n"/>
      <c r="X433" s="59" t="n"/>
      <c r="Y433" s="59" t="n"/>
      <c r="Z433" s="59" t="n"/>
      <c r="AA433" s="59" t="n"/>
      <c r="AB433" s="59" t="n"/>
      <c r="AC433" s="59" t="n"/>
      <c r="AD433" s="59" t="n"/>
    </row>
    <row r="434">
      <c r="A434" s="59" t="n"/>
      <c r="B434" s="59" t="n"/>
      <c r="C434" s="59" t="n"/>
      <c r="D434" s="59" t="n"/>
      <c r="E434" s="59" t="n"/>
      <c r="F434" s="59" t="n"/>
      <c r="G434" s="60" t="n"/>
      <c r="H434" s="59" t="n"/>
      <c r="I434" s="59" t="n"/>
      <c r="J434" s="59" t="n"/>
      <c r="K434" s="59" t="n"/>
      <c r="L434" s="59" t="n"/>
      <c r="M434" s="59" t="n"/>
      <c r="N434" s="59" t="n"/>
      <c r="O434" s="59" t="n"/>
      <c r="P434" s="59" t="n"/>
      <c r="Q434" s="59" t="n"/>
      <c r="R434" s="59" t="n"/>
      <c r="S434" s="59" t="n"/>
      <c r="T434" s="59" t="n"/>
      <c r="U434" s="59" t="n"/>
      <c r="V434" s="59" t="n"/>
      <c r="W434" s="59" t="n"/>
      <c r="X434" s="59" t="n"/>
      <c r="Y434" s="59" t="n"/>
      <c r="Z434" s="59" t="n"/>
      <c r="AA434" s="59" t="n"/>
      <c r="AB434" s="59" t="n"/>
      <c r="AC434" s="59" t="n"/>
      <c r="AD434" s="59" t="n"/>
    </row>
    <row r="435">
      <c r="A435" s="59" t="n"/>
      <c r="B435" s="59" t="n"/>
      <c r="C435" s="59" t="n"/>
      <c r="D435" s="59" t="n"/>
      <c r="E435" s="59" t="n"/>
      <c r="F435" s="59" t="n"/>
      <c r="G435" s="60" t="n"/>
      <c r="H435" s="59" t="n"/>
      <c r="I435" s="59" t="n"/>
      <c r="J435" s="59" t="n"/>
      <c r="K435" s="59" t="n"/>
      <c r="L435" s="59" t="n"/>
      <c r="M435" s="59" t="n"/>
      <c r="N435" s="59" t="n"/>
      <c r="O435" s="59" t="n"/>
      <c r="P435" s="59" t="n"/>
      <c r="Q435" s="59" t="n"/>
      <c r="R435" s="59" t="n"/>
      <c r="S435" s="59" t="n"/>
      <c r="T435" s="59" t="n"/>
      <c r="U435" s="59" t="n"/>
      <c r="V435" s="59" t="n"/>
      <c r="W435" s="59" t="n"/>
      <c r="X435" s="59" t="n"/>
      <c r="Y435" s="59" t="n"/>
      <c r="Z435" s="59" t="n"/>
      <c r="AA435" s="59" t="n"/>
      <c r="AB435" s="59" t="n"/>
      <c r="AC435" s="59" t="n"/>
      <c r="AD435" s="59" t="n"/>
    </row>
    <row r="436">
      <c r="A436" s="59" t="n"/>
      <c r="B436" s="59" t="n"/>
      <c r="C436" s="59" t="n"/>
      <c r="D436" s="59" t="n"/>
      <c r="E436" s="59" t="n"/>
      <c r="F436" s="59" t="n"/>
      <c r="G436" s="60" t="n"/>
      <c r="H436" s="59" t="n"/>
      <c r="I436" s="59" t="n"/>
      <c r="J436" s="59" t="n"/>
      <c r="K436" s="59" t="n"/>
      <c r="L436" s="59" t="n"/>
      <c r="M436" s="59" t="n"/>
      <c r="N436" s="59" t="n"/>
      <c r="O436" s="59" t="n"/>
      <c r="P436" s="59" t="n"/>
      <c r="Q436" s="59" t="n"/>
      <c r="R436" s="59" t="n"/>
      <c r="S436" s="59" t="n"/>
      <c r="T436" s="59" t="n"/>
      <c r="U436" s="59" t="n"/>
      <c r="V436" s="59" t="n"/>
      <c r="W436" s="59" t="n"/>
      <c r="X436" s="59" t="n"/>
      <c r="Y436" s="59" t="n"/>
      <c r="Z436" s="59" t="n"/>
      <c r="AA436" s="59" t="n"/>
      <c r="AB436" s="59" t="n"/>
      <c r="AC436" s="59" t="n"/>
      <c r="AD436" s="59" t="n"/>
    </row>
    <row r="437">
      <c r="A437" s="59" t="n"/>
      <c r="B437" s="59" t="n"/>
      <c r="C437" s="59" t="n"/>
      <c r="D437" s="59" t="n"/>
      <c r="E437" s="59" t="n"/>
      <c r="F437" s="59" t="n"/>
      <c r="G437" s="60" t="n"/>
      <c r="H437" s="59" t="n"/>
      <c r="I437" s="59" t="n"/>
      <c r="J437" s="59" t="n"/>
      <c r="K437" s="59" t="n"/>
      <c r="L437" s="59" t="n"/>
      <c r="M437" s="59" t="n"/>
      <c r="N437" s="59" t="n"/>
      <c r="O437" s="59" t="n"/>
      <c r="P437" s="59" t="n"/>
      <c r="Q437" s="59" t="n"/>
      <c r="R437" s="59" t="n"/>
      <c r="S437" s="59" t="n"/>
      <c r="T437" s="59" t="n"/>
      <c r="U437" s="59" t="n"/>
      <c r="V437" s="59" t="n"/>
      <c r="W437" s="59" t="n"/>
      <c r="X437" s="59" t="n"/>
      <c r="Y437" s="59" t="n"/>
      <c r="Z437" s="59" t="n"/>
      <c r="AA437" s="59" t="n"/>
      <c r="AB437" s="59" t="n"/>
      <c r="AC437" s="59" t="n"/>
      <c r="AD437" s="59" t="n"/>
    </row>
    <row r="438">
      <c r="A438" s="59" t="n"/>
      <c r="B438" s="59" t="n"/>
      <c r="C438" s="59" t="n"/>
      <c r="D438" s="59" t="n"/>
      <c r="E438" s="59" t="n"/>
      <c r="F438" s="59" t="n"/>
      <c r="G438" s="60" t="n"/>
      <c r="H438" s="59" t="n"/>
      <c r="I438" s="59" t="n"/>
      <c r="J438" s="59" t="n"/>
      <c r="K438" s="59" t="n"/>
      <c r="L438" s="59" t="n"/>
      <c r="M438" s="59" t="n"/>
      <c r="N438" s="59" t="n"/>
      <c r="O438" s="59" t="n"/>
      <c r="P438" s="59" t="n"/>
      <c r="Q438" s="59" t="n"/>
      <c r="R438" s="59" t="n"/>
      <c r="S438" s="59" t="n"/>
      <c r="T438" s="59" t="n"/>
      <c r="U438" s="59" t="n"/>
      <c r="V438" s="59" t="n"/>
      <c r="W438" s="59" t="n"/>
      <c r="X438" s="59" t="n"/>
      <c r="Y438" s="59" t="n"/>
      <c r="Z438" s="59" t="n"/>
      <c r="AA438" s="59" t="n"/>
      <c r="AB438" s="59" t="n"/>
      <c r="AC438" s="59" t="n"/>
      <c r="AD438" s="59" t="n"/>
    </row>
    <row r="439">
      <c r="A439" s="59" t="n"/>
      <c r="B439" s="59" t="n"/>
      <c r="C439" s="59" t="n"/>
      <c r="D439" s="59" t="n"/>
      <c r="E439" s="59" t="n"/>
      <c r="F439" s="59" t="n"/>
      <c r="G439" s="60" t="n"/>
      <c r="H439" s="59" t="n"/>
      <c r="I439" s="59" t="n"/>
      <c r="J439" s="59" t="n"/>
      <c r="K439" s="59" t="n"/>
      <c r="L439" s="59" t="n"/>
      <c r="M439" s="59" t="n"/>
      <c r="N439" s="59" t="n"/>
      <c r="O439" s="59" t="n"/>
      <c r="P439" s="59" t="n"/>
      <c r="Q439" s="59" t="n"/>
      <c r="R439" s="59" t="n"/>
      <c r="S439" s="59" t="n"/>
      <c r="T439" s="59" t="n"/>
      <c r="U439" s="59" t="n"/>
      <c r="V439" s="59" t="n"/>
      <c r="W439" s="59" t="n"/>
      <c r="X439" s="59" t="n"/>
      <c r="Y439" s="59" t="n"/>
      <c r="Z439" s="59" t="n"/>
      <c r="AA439" s="59" t="n"/>
      <c r="AB439" s="59" t="n"/>
      <c r="AC439" s="59" t="n"/>
      <c r="AD439" s="59" t="n"/>
    </row>
    <row r="440">
      <c r="A440" s="59" t="n"/>
      <c r="B440" s="59" t="n"/>
      <c r="C440" s="59" t="n"/>
      <c r="D440" s="59" t="n"/>
      <c r="E440" s="59" t="n"/>
      <c r="F440" s="59" t="n"/>
      <c r="G440" s="60" t="n"/>
      <c r="H440" s="59" t="n"/>
      <c r="I440" s="59" t="n"/>
      <c r="J440" s="59" t="n"/>
      <c r="K440" s="59" t="n"/>
      <c r="L440" s="59" t="n"/>
      <c r="M440" s="59" t="n"/>
      <c r="N440" s="59" t="n"/>
      <c r="O440" s="59" t="n"/>
      <c r="P440" s="59" t="n"/>
      <c r="Q440" s="59" t="n"/>
      <c r="R440" s="59" t="n"/>
      <c r="S440" s="59" t="n"/>
      <c r="T440" s="59" t="n"/>
      <c r="U440" s="59" t="n"/>
      <c r="V440" s="59" t="n"/>
      <c r="W440" s="59" t="n"/>
      <c r="X440" s="59" t="n"/>
      <c r="Y440" s="59" t="n"/>
      <c r="Z440" s="59" t="n"/>
      <c r="AA440" s="59" t="n"/>
      <c r="AB440" s="59" t="n"/>
      <c r="AC440" s="59" t="n"/>
      <c r="AD440" s="59" t="n"/>
    </row>
    <row r="441">
      <c r="A441" s="59" t="n"/>
      <c r="B441" s="59" t="n"/>
      <c r="C441" s="59" t="n"/>
      <c r="D441" s="59" t="n"/>
      <c r="E441" s="59" t="n"/>
      <c r="F441" s="59" t="n"/>
      <c r="G441" s="60" t="n"/>
      <c r="H441" s="59" t="n"/>
      <c r="I441" s="59" t="n"/>
      <c r="J441" s="59" t="n"/>
      <c r="K441" s="59" t="n"/>
      <c r="L441" s="59" t="n"/>
      <c r="M441" s="59" t="n"/>
      <c r="N441" s="59" t="n"/>
      <c r="O441" s="59" t="n"/>
      <c r="P441" s="59" t="n"/>
      <c r="Q441" s="59" t="n"/>
      <c r="R441" s="59" t="n"/>
      <c r="S441" s="59" t="n"/>
      <c r="T441" s="59" t="n"/>
      <c r="U441" s="59" t="n"/>
      <c r="V441" s="59" t="n"/>
      <c r="W441" s="59" t="n"/>
      <c r="X441" s="59" t="n"/>
      <c r="Y441" s="59" t="n"/>
      <c r="Z441" s="59" t="n"/>
      <c r="AA441" s="59" t="n"/>
      <c r="AB441" s="59" t="n"/>
      <c r="AC441" s="59" t="n"/>
      <c r="AD441" s="59" t="n"/>
    </row>
    <row r="442">
      <c r="A442" s="59" t="n"/>
      <c r="B442" s="59" t="n"/>
      <c r="C442" s="59" t="n"/>
      <c r="D442" s="59" t="n"/>
      <c r="E442" s="59" t="n"/>
      <c r="F442" s="59" t="n"/>
      <c r="G442" s="60" t="n"/>
      <c r="H442" s="59" t="n"/>
      <c r="I442" s="59" t="n"/>
      <c r="J442" s="59" t="n"/>
      <c r="K442" s="59" t="n"/>
      <c r="L442" s="59" t="n"/>
      <c r="M442" s="59" t="n"/>
      <c r="N442" s="59" t="n"/>
      <c r="O442" s="59" t="n"/>
      <c r="P442" s="59" t="n"/>
      <c r="Q442" s="59" t="n"/>
      <c r="R442" s="59" t="n"/>
      <c r="S442" s="59" t="n"/>
      <c r="T442" s="59" t="n"/>
      <c r="U442" s="59" t="n"/>
      <c r="V442" s="59" t="n"/>
      <c r="W442" s="59" t="n"/>
      <c r="X442" s="59" t="n"/>
      <c r="Y442" s="59" t="n"/>
      <c r="Z442" s="59" t="n"/>
      <c r="AA442" s="59" t="n"/>
      <c r="AB442" s="59" t="n"/>
      <c r="AC442" s="59" t="n"/>
      <c r="AD442" s="59" t="n"/>
    </row>
    <row r="443">
      <c r="A443" s="59" t="n"/>
      <c r="B443" s="59" t="n"/>
      <c r="C443" s="59" t="n"/>
      <c r="D443" s="59" t="n"/>
      <c r="E443" s="59" t="n"/>
      <c r="F443" s="59" t="n"/>
      <c r="G443" s="60" t="n"/>
      <c r="H443" s="59" t="n"/>
      <c r="I443" s="59" t="n"/>
      <c r="J443" s="59" t="n"/>
      <c r="K443" s="59" t="n"/>
      <c r="L443" s="59" t="n"/>
      <c r="M443" s="59" t="n"/>
      <c r="N443" s="59" t="n"/>
      <c r="O443" s="59" t="n"/>
      <c r="P443" s="59" t="n"/>
      <c r="Q443" s="59" t="n"/>
      <c r="R443" s="59" t="n"/>
      <c r="S443" s="59" t="n"/>
      <c r="T443" s="59" t="n"/>
      <c r="U443" s="59" t="n"/>
      <c r="V443" s="59" t="n"/>
      <c r="W443" s="59" t="n"/>
      <c r="X443" s="59" t="n"/>
      <c r="Y443" s="59" t="n"/>
      <c r="Z443" s="59" t="n"/>
      <c r="AA443" s="59" t="n"/>
      <c r="AB443" s="59" t="n"/>
      <c r="AC443" s="59" t="n"/>
      <c r="AD443" s="59" t="n"/>
    </row>
    <row r="444">
      <c r="A444" s="59" t="n"/>
      <c r="B444" s="59" t="n"/>
      <c r="C444" s="59" t="n"/>
      <c r="D444" s="59" t="n"/>
      <c r="E444" s="59" t="n"/>
      <c r="F444" s="59" t="n"/>
      <c r="G444" s="60" t="n"/>
      <c r="H444" s="59" t="n"/>
      <c r="I444" s="59" t="n"/>
      <c r="J444" s="59" t="n"/>
      <c r="K444" s="59" t="n"/>
      <c r="L444" s="59" t="n"/>
      <c r="M444" s="59" t="n"/>
      <c r="N444" s="59" t="n"/>
      <c r="O444" s="59" t="n"/>
      <c r="P444" s="59" t="n"/>
      <c r="Q444" s="59" t="n"/>
      <c r="R444" s="59" t="n"/>
      <c r="S444" s="59" t="n"/>
      <c r="T444" s="59" t="n"/>
      <c r="U444" s="59" t="n"/>
      <c r="V444" s="59" t="n"/>
      <c r="W444" s="59" t="n"/>
      <c r="X444" s="59" t="n"/>
      <c r="Y444" s="59" t="n"/>
      <c r="Z444" s="59" t="n"/>
      <c r="AA444" s="59" t="n"/>
      <c r="AB444" s="59" t="n"/>
      <c r="AC444" s="59" t="n"/>
      <c r="AD444" s="59" t="n"/>
    </row>
    <row r="445">
      <c r="A445" s="59" t="n"/>
      <c r="B445" s="59" t="n"/>
      <c r="C445" s="59" t="n"/>
      <c r="D445" s="59" t="n"/>
      <c r="E445" s="59" t="n"/>
      <c r="F445" s="59" t="n"/>
      <c r="G445" s="60" t="n"/>
      <c r="H445" s="59" t="n"/>
      <c r="I445" s="59" t="n"/>
      <c r="J445" s="59" t="n"/>
      <c r="K445" s="59" t="n"/>
      <c r="L445" s="59" t="n"/>
      <c r="M445" s="59" t="n"/>
      <c r="N445" s="59" t="n"/>
      <c r="O445" s="59" t="n"/>
      <c r="P445" s="59" t="n"/>
      <c r="Q445" s="59" t="n"/>
      <c r="R445" s="59" t="n"/>
      <c r="S445" s="59" t="n"/>
      <c r="T445" s="59" t="n"/>
      <c r="U445" s="59" t="n"/>
      <c r="V445" s="59" t="n"/>
      <c r="W445" s="59" t="n"/>
      <c r="X445" s="59" t="n"/>
      <c r="Y445" s="59" t="n"/>
      <c r="Z445" s="59" t="n"/>
      <c r="AA445" s="59" t="n"/>
      <c r="AB445" s="59" t="n"/>
      <c r="AC445" s="59" t="n"/>
      <c r="AD445" s="59" t="n"/>
    </row>
    <row r="446">
      <c r="A446" s="59" t="n"/>
      <c r="B446" s="59" t="n"/>
      <c r="C446" s="59" t="n"/>
      <c r="D446" s="59" t="n"/>
      <c r="E446" s="59" t="n"/>
      <c r="F446" s="59" t="n"/>
      <c r="G446" s="60" t="n"/>
      <c r="H446" s="59" t="n"/>
      <c r="I446" s="59" t="n"/>
      <c r="J446" s="59" t="n"/>
      <c r="K446" s="59" t="n"/>
      <c r="L446" s="59" t="n"/>
      <c r="M446" s="59" t="n"/>
      <c r="N446" s="59" t="n"/>
      <c r="O446" s="59" t="n"/>
      <c r="P446" s="59" t="n"/>
      <c r="Q446" s="59" t="n"/>
      <c r="R446" s="59" t="n"/>
      <c r="S446" s="59" t="n"/>
      <c r="T446" s="59" t="n"/>
      <c r="U446" s="59" t="n"/>
      <c r="V446" s="59" t="n"/>
      <c r="W446" s="59" t="n"/>
      <c r="X446" s="59" t="n"/>
      <c r="Y446" s="59" t="n"/>
      <c r="Z446" s="59" t="n"/>
      <c r="AA446" s="59" t="n"/>
      <c r="AB446" s="59" t="n"/>
      <c r="AC446" s="59" t="n"/>
      <c r="AD446" s="59" t="n"/>
    </row>
    <row r="447">
      <c r="A447" s="59" t="n"/>
      <c r="B447" s="59" t="n"/>
      <c r="C447" s="59" t="n"/>
      <c r="D447" s="59" t="n"/>
      <c r="E447" s="59" t="n"/>
      <c r="F447" s="59" t="n"/>
      <c r="G447" s="60" t="n"/>
      <c r="H447" s="59" t="n"/>
      <c r="I447" s="59" t="n"/>
      <c r="J447" s="59" t="n"/>
      <c r="K447" s="59" t="n"/>
      <c r="L447" s="59" t="n"/>
      <c r="M447" s="59" t="n"/>
      <c r="N447" s="59" t="n"/>
      <c r="O447" s="59" t="n"/>
      <c r="P447" s="59" t="n"/>
      <c r="Q447" s="59" t="n"/>
      <c r="R447" s="59" t="n"/>
      <c r="S447" s="59" t="n"/>
      <c r="T447" s="59" t="n"/>
      <c r="U447" s="59" t="n"/>
      <c r="V447" s="59" t="n"/>
      <c r="W447" s="59" t="n"/>
      <c r="X447" s="59" t="n"/>
      <c r="Y447" s="59" t="n"/>
      <c r="Z447" s="59" t="n"/>
      <c r="AA447" s="59" t="n"/>
      <c r="AB447" s="59" t="n"/>
      <c r="AC447" s="59" t="n"/>
      <c r="AD447" s="59" t="n"/>
    </row>
    <row r="448">
      <c r="A448" s="59" t="n"/>
      <c r="B448" s="59" t="n"/>
      <c r="C448" s="59" t="n"/>
      <c r="D448" s="59" t="n"/>
      <c r="E448" s="59" t="n"/>
      <c r="F448" s="59" t="n"/>
      <c r="G448" s="60" t="n"/>
      <c r="H448" s="59" t="n"/>
      <c r="I448" s="59" t="n"/>
      <c r="J448" s="59" t="n"/>
      <c r="K448" s="59" t="n"/>
      <c r="L448" s="59" t="n"/>
      <c r="M448" s="59" t="n"/>
      <c r="N448" s="59" t="n"/>
      <c r="O448" s="59" t="n"/>
      <c r="P448" s="59" t="n"/>
      <c r="Q448" s="59" t="n"/>
      <c r="R448" s="59" t="n"/>
      <c r="S448" s="59" t="n"/>
      <c r="T448" s="59" t="n"/>
      <c r="U448" s="59" t="n"/>
      <c r="V448" s="59" t="n"/>
      <c r="W448" s="59" t="n"/>
      <c r="X448" s="59" t="n"/>
      <c r="Y448" s="59" t="n"/>
      <c r="Z448" s="59" t="n"/>
      <c r="AA448" s="59" t="n"/>
      <c r="AB448" s="59" t="n"/>
      <c r="AC448" s="59" t="n"/>
      <c r="AD448" s="59" t="n"/>
    </row>
    <row r="449">
      <c r="A449" s="59" t="n"/>
      <c r="B449" s="59" t="n"/>
      <c r="C449" s="59" t="n"/>
      <c r="D449" s="59" t="n"/>
      <c r="E449" s="59" t="n"/>
      <c r="F449" s="59" t="n"/>
      <c r="G449" s="60" t="n"/>
      <c r="H449" s="59" t="n"/>
      <c r="I449" s="59" t="n"/>
      <c r="J449" s="59" t="n"/>
      <c r="K449" s="59" t="n"/>
      <c r="L449" s="59" t="n"/>
      <c r="M449" s="59" t="n"/>
      <c r="N449" s="59" t="n"/>
      <c r="O449" s="59" t="n"/>
      <c r="P449" s="59" t="n"/>
      <c r="Q449" s="59" t="n"/>
      <c r="R449" s="59" t="n"/>
      <c r="S449" s="59" t="n"/>
      <c r="T449" s="59" t="n"/>
      <c r="U449" s="59" t="n"/>
      <c r="V449" s="59" t="n"/>
      <c r="W449" s="59" t="n"/>
      <c r="X449" s="59" t="n"/>
      <c r="Y449" s="59" t="n"/>
      <c r="Z449" s="59" t="n"/>
      <c r="AA449" s="59" t="n"/>
      <c r="AB449" s="59" t="n"/>
      <c r="AC449" s="59" t="n"/>
      <c r="AD449" s="59" t="n"/>
    </row>
    <row r="450">
      <c r="A450" s="59" t="n"/>
      <c r="B450" s="59" t="n"/>
      <c r="C450" s="59" t="n"/>
      <c r="D450" s="59" t="n"/>
      <c r="E450" s="59" t="n"/>
      <c r="F450" s="59" t="n"/>
      <c r="G450" s="60" t="n"/>
      <c r="H450" s="59" t="n"/>
      <c r="I450" s="59" t="n"/>
      <c r="J450" s="59" t="n"/>
      <c r="K450" s="59" t="n"/>
      <c r="L450" s="59" t="n"/>
      <c r="M450" s="59" t="n"/>
      <c r="N450" s="59" t="n"/>
      <c r="O450" s="59" t="n"/>
      <c r="P450" s="59" t="n"/>
      <c r="Q450" s="59" t="n"/>
      <c r="R450" s="59" t="n"/>
      <c r="S450" s="59" t="n"/>
      <c r="T450" s="59" t="n"/>
      <c r="U450" s="59" t="n"/>
      <c r="V450" s="59" t="n"/>
      <c r="W450" s="59" t="n"/>
      <c r="X450" s="59" t="n"/>
      <c r="Y450" s="59" t="n"/>
      <c r="Z450" s="59" t="n"/>
      <c r="AA450" s="59" t="n"/>
      <c r="AB450" s="59" t="n"/>
      <c r="AC450" s="59" t="n"/>
      <c r="AD450" s="59" t="n"/>
    </row>
    <row r="451">
      <c r="A451" s="59" t="n"/>
      <c r="B451" s="59" t="n"/>
      <c r="C451" s="59" t="n"/>
      <c r="D451" s="59" t="n"/>
      <c r="E451" s="59" t="n"/>
      <c r="F451" s="59" t="n"/>
      <c r="G451" s="60" t="n"/>
      <c r="H451" s="59" t="n"/>
      <c r="I451" s="59" t="n"/>
      <c r="J451" s="59" t="n"/>
      <c r="K451" s="59" t="n"/>
      <c r="L451" s="59" t="n"/>
      <c r="M451" s="59" t="n"/>
      <c r="N451" s="59" t="n"/>
      <c r="O451" s="59" t="n"/>
      <c r="P451" s="59" t="n"/>
      <c r="Q451" s="59" t="n"/>
      <c r="R451" s="59" t="n"/>
      <c r="S451" s="59" t="n"/>
      <c r="T451" s="59" t="n"/>
      <c r="U451" s="59" t="n"/>
      <c r="V451" s="59" t="n"/>
      <c r="W451" s="59" t="n"/>
      <c r="X451" s="59" t="n"/>
      <c r="Y451" s="59" t="n"/>
      <c r="Z451" s="59" t="n"/>
      <c r="AA451" s="59" t="n"/>
      <c r="AB451" s="59" t="n"/>
      <c r="AC451" s="59" t="n"/>
      <c r="AD451" s="59" t="n"/>
    </row>
    <row r="452">
      <c r="A452" s="59" t="n"/>
      <c r="B452" s="59" t="n"/>
      <c r="C452" s="59" t="n"/>
      <c r="D452" s="59" t="n"/>
      <c r="E452" s="59" t="n"/>
      <c r="F452" s="59" t="n"/>
      <c r="G452" s="60" t="n"/>
      <c r="H452" s="59" t="n"/>
      <c r="I452" s="59" t="n"/>
      <c r="J452" s="59" t="n"/>
      <c r="K452" s="59" t="n"/>
      <c r="L452" s="59" t="n"/>
      <c r="M452" s="59" t="n"/>
      <c r="N452" s="59" t="n"/>
      <c r="O452" s="59" t="n"/>
      <c r="P452" s="59" t="n"/>
      <c r="Q452" s="59" t="n"/>
      <c r="R452" s="59" t="n"/>
      <c r="S452" s="59" t="n"/>
      <c r="T452" s="59" t="n"/>
      <c r="U452" s="59" t="n"/>
      <c r="V452" s="59" t="n"/>
      <c r="W452" s="59" t="n"/>
      <c r="X452" s="59" t="n"/>
      <c r="Y452" s="59" t="n"/>
      <c r="Z452" s="59" t="n"/>
      <c r="AA452" s="59" t="n"/>
      <c r="AB452" s="59" t="n"/>
      <c r="AC452" s="59" t="n"/>
      <c r="AD452" s="59" t="n"/>
    </row>
    <row r="453">
      <c r="A453" s="59" t="n"/>
      <c r="B453" s="59" t="n"/>
      <c r="C453" s="59" t="n"/>
      <c r="D453" s="59" t="n"/>
      <c r="E453" s="59" t="n"/>
      <c r="F453" s="59" t="n"/>
      <c r="G453" s="60" t="n"/>
      <c r="H453" s="59" t="n"/>
      <c r="I453" s="59" t="n"/>
      <c r="J453" s="59" t="n"/>
      <c r="K453" s="59" t="n"/>
      <c r="L453" s="59" t="n"/>
      <c r="M453" s="59" t="n"/>
      <c r="N453" s="59" t="n"/>
      <c r="O453" s="59" t="n"/>
      <c r="P453" s="59" t="n"/>
      <c r="Q453" s="59" t="n"/>
      <c r="R453" s="59" t="n"/>
      <c r="S453" s="59" t="n"/>
      <c r="T453" s="59" t="n"/>
      <c r="U453" s="59" t="n"/>
      <c r="V453" s="59" t="n"/>
      <c r="W453" s="59" t="n"/>
      <c r="X453" s="59" t="n"/>
      <c r="Y453" s="59" t="n"/>
      <c r="Z453" s="59" t="n"/>
      <c r="AA453" s="59" t="n"/>
      <c r="AB453" s="59" t="n"/>
      <c r="AC453" s="59" t="n"/>
      <c r="AD453" s="59" t="n"/>
    </row>
    <row r="454">
      <c r="A454" s="59" t="n"/>
      <c r="B454" s="59" t="n"/>
      <c r="C454" s="59" t="n"/>
      <c r="D454" s="59" t="n"/>
      <c r="E454" s="59" t="n"/>
      <c r="F454" s="59" t="n"/>
      <c r="G454" s="60" t="n"/>
      <c r="H454" s="59" t="n"/>
      <c r="I454" s="59" t="n"/>
      <c r="J454" s="59" t="n"/>
      <c r="K454" s="59" t="n"/>
      <c r="L454" s="59" t="n"/>
      <c r="M454" s="59" t="n"/>
      <c r="N454" s="59" t="n"/>
      <c r="O454" s="59" t="n"/>
      <c r="P454" s="59" t="n"/>
      <c r="Q454" s="59" t="n"/>
      <c r="R454" s="59" t="n"/>
      <c r="S454" s="59" t="n"/>
      <c r="T454" s="59" t="n"/>
      <c r="U454" s="59" t="n"/>
      <c r="V454" s="59" t="n"/>
      <c r="W454" s="59" t="n"/>
      <c r="X454" s="59" t="n"/>
      <c r="Y454" s="59" t="n"/>
      <c r="Z454" s="59" t="n"/>
      <c r="AA454" s="59" t="n"/>
      <c r="AB454" s="59" t="n"/>
      <c r="AC454" s="59" t="n"/>
      <c r="AD454" s="59" t="n"/>
    </row>
    <row r="455">
      <c r="A455" s="59" t="n"/>
      <c r="B455" s="59" t="n"/>
      <c r="C455" s="59" t="n"/>
      <c r="D455" s="59" t="n"/>
      <c r="E455" s="59" t="n"/>
      <c r="F455" s="59" t="n"/>
      <c r="G455" s="60" t="n"/>
      <c r="H455" s="59" t="n"/>
      <c r="I455" s="59" t="n"/>
      <c r="J455" s="59" t="n"/>
      <c r="K455" s="59" t="n"/>
      <c r="L455" s="59" t="n"/>
      <c r="M455" s="59" t="n"/>
      <c r="N455" s="59" t="n"/>
      <c r="O455" s="59" t="n"/>
      <c r="P455" s="59" t="n"/>
      <c r="Q455" s="59" t="n"/>
      <c r="R455" s="59" t="n"/>
      <c r="S455" s="59" t="n"/>
      <c r="T455" s="59" t="n"/>
      <c r="U455" s="59" t="n"/>
      <c r="V455" s="59" t="n"/>
      <c r="W455" s="59" t="n"/>
      <c r="X455" s="59" t="n"/>
      <c r="Y455" s="59" t="n"/>
      <c r="Z455" s="59" t="n"/>
      <c r="AA455" s="59" t="n"/>
      <c r="AB455" s="59" t="n"/>
      <c r="AC455" s="59" t="n"/>
      <c r="AD455" s="59" t="n"/>
    </row>
    <row r="456">
      <c r="A456" s="59" t="n"/>
      <c r="B456" s="59" t="n"/>
      <c r="C456" s="59" t="n"/>
      <c r="D456" s="59" t="n"/>
      <c r="E456" s="59" t="n"/>
      <c r="F456" s="59" t="n"/>
      <c r="G456" s="60" t="n"/>
      <c r="H456" s="59" t="n"/>
      <c r="I456" s="59" t="n"/>
      <c r="J456" s="59" t="n"/>
      <c r="K456" s="59" t="n"/>
      <c r="L456" s="59" t="n"/>
      <c r="M456" s="59" t="n"/>
      <c r="N456" s="59" t="n"/>
      <c r="O456" s="59" t="n"/>
      <c r="P456" s="59" t="n"/>
      <c r="Q456" s="59" t="n"/>
      <c r="R456" s="59" t="n"/>
      <c r="S456" s="59" t="n"/>
      <c r="T456" s="59" t="n"/>
      <c r="U456" s="59" t="n"/>
      <c r="V456" s="59" t="n"/>
      <c r="W456" s="59" t="n"/>
      <c r="X456" s="59" t="n"/>
      <c r="Y456" s="59" t="n"/>
      <c r="Z456" s="59" t="n"/>
      <c r="AA456" s="59" t="n"/>
      <c r="AB456" s="59" t="n"/>
      <c r="AC456" s="59" t="n"/>
      <c r="AD456" s="59" t="n"/>
    </row>
    <row r="457">
      <c r="A457" s="59" t="n"/>
      <c r="B457" s="59" t="n"/>
      <c r="C457" s="59" t="n"/>
      <c r="D457" s="59" t="n"/>
      <c r="E457" s="59" t="n"/>
      <c r="F457" s="59" t="n"/>
      <c r="G457" s="60" t="n"/>
      <c r="H457" s="59" t="n"/>
      <c r="I457" s="59" t="n"/>
      <c r="J457" s="59" t="n"/>
      <c r="K457" s="59" t="n"/>
      <c r="L457" s="59" t="n"/>
      <c r="M457" s="59" t="n"/>
      <c r="N457" s="59" t="n"/>
      <c r="O457" s="59" t="n"/>
      <c r="P457" s="59" t="n"/>
      <c r="Q457" s="59" t="n"/>
      <c r="R457" s="59" t="n"/>
      <c r="S457" s="59" t="n"/>
      <c r="T457" s="59" t="n"/>
      <c r="U457" s="59" t="n"/>
      <c r="V457" s="59" t="n"/>
      <c r="W457" s="59" t="n"/>
      <c r="X457" s="59" t="n"/>
      <c r="Y457" s="59" t="n"/>
      <c r="Z457" s="59" t="n"/>
      <c r="AA457" s="59" t="n"/>
      <c r="AB457" s="59" t="n"/>
      <c r="AC457" s="59" t="n"/>
      <c r="AD457" s="59" t="n"/>
    </row>
    <row r="458">
      <c r="A458" s="59" t="n"/>
      <c r="B458" s="59" t="n"/>
      <c r="C458" s="59" t="n"/>
      <c r="D458" s="59" t="n"/>
      <c r="E458" s="59" t="n"/>
      <c r="F458" s="59" t="n"/>
      <c r="G458" s="60" t="n"/>
      <c r="H458" s="59" t="n"/>
      <c r="I458" s="59" t="n"/>
      <c r="J458" s="59" t="n"/>
      <c r="K458" s="59" t="n"/>
      <c r="L458" s="59" t="n"/>
      <c r="M458" s="59" t="n"/>
      <c r="N458" s="59" t="n"/>
      <c r="O458" s="59" t="n"/>
      <c r="P458" s="59" t="n"/>
      <c r="Q458" s="59" t="n"/>
      <c r="R458" s="59" t="n"/>
      <c r="S458" s="59" t="n"/>
      <c r="T458" s="59" t="n"/>
      <c r="U458" s="59" t="n"/>
      <c r="V458" s="59" t="n"/>
      <c r="W458" s="59" t="n"/>
      <c r="X458" s="59" t="n"/>
      <c r="Y458" s="59" t="n"/>
      <c r="Z458" s="59" t="n"/>
      <c r="AA458" s="59" t="n"/>
      <c r="AB458" s="59" t="n"/>
      <c r="AC458" s="59" t="n"/>
      <c r="AD458" s="59" t="n"/>
    </row>
    <row r="459">
      <c r="A459" s="59" t="n"/>
      <c r="B459" s="59" t="n"/>
      <c r="C459" s="59" t="n"/>
      <c r="D459" s="59" t="n"/>
      <c r="E459" s="59" t="n"/>
      <c r="F459" s="59" t="n"/>
      <c r="G459" s="60" t="n"/>
      <c r="H459" s="59" t="n"/>
      <c r="I459" s="59" t="n"/>
      <c r="J459" s="59" t="n"/>
      <c r="K459" s="59" t="n"/>
      <c r="L459" s="59" t="n"/>
      <c r="M459" s="59" t="n"/>
      <c r="N459" s="59" t="n"/>
      <c r="O459" s="59" t="n"/>
      <c r="P459" s="59" t="n"/>
      <c r="Q459" s="59" t="n"/>
      <c r="R459" s="59" t="n"/>
      <c r="S459" s="59" t="n"/>
      <c r="T459" s="59" t="n"/>
      <c r="U459" s="59" t="n"/>
      <c r="V459" s="59" t="n"/>
      <c r="W459" s="59" t="n"/>
      <c r="X459" s="59" t="n"/>
      <c r="Y459" s="59" t="n"/>
      <c r="Z459" s="59" t="n"/>
      <c r="AA459" s="59" t="n"/>
      <c r="AB459" s="59" t="n"/>
      <c r="AC459" s="59" t="n"/>
      <c r="AD459" s="59" t="n"/>
    </row>
    <row r="460">
      <c r="A460" s="59" t="n"/>
      <c r="B460" s="59" t="n"/>
      <c r="C460" s="59" t="n"/>
      <c r="D460" s="59" t="n"/>
      <c r="E460" s="59" t="n"/>
      <c r="F460" s="59" t="n"/>
      <c r="G460" s="60" t="n"/>
      <c r="H460" s="59" t="n"/>
      <c r="I460" s="59" t="n"/>
      <c r="J460" s="59" t="n"/>
      <c r="K460" s="59" t="n"/>
      <c r="L460" s="59" t="n"/>
      <c r="M460" s="59" t="n"/>
      <c r="N460" s="59" t="n"/>
      <c r="O460" s="59" t="n"/>
      <c r="P460" s="59" t="n"/>
      <c r="Q460" s="59" t="n"/>
      <c r="R460" s="59" t="n"/>
      <c r="S460" s="59" t="n"/>
      <c r="T460" s="59" t="n"/>
      <c r="U460" s="59" t="n"/>
      <c r="V460" s="59" t="n"/>
      <c r="W460" s="59" t="n"/>
      <c r="X460" s="59" t="n"/>
      <c r="Y460" s="59" t="n"/>
      <c r="Z460" s="59" t="n"/>
      <c r="AA460" s="59" t="n"/>
      <c r="AB460" s="59" t="n"/>
      <c r="AC460" s="59" t="n"/>
      <c r="AD460" s="59" t="n"/>
    </row>
    <row r="461">
      <c r="A461" s="59" t="n"/>
      <c r="B461" s="59" t="n"/>
      <c r="C461" s="59" t="n"/>
      <c r="D461" s="59" t="n"/>
      <c r="E461" s="59" t="n"/>
      <c r="F461" s="59" t="n"/>
      <c r="G461" s="60" t="n"/>
      <c r="H461" s="59" t="n"/>
      <c r="I461" s="59" t="n"/>
      <c r="J461" s="59" t="n"/>
      <c r="K461" s="59" t="n"/>
      <c r="L461" s="59" t="n"/>
      <c r="M461" s="59" t="n"/>
      <c r="N461" s="59" t="n"/>
      <c r="O461" s="59" t="n"/>
      <c r="P461" s="59" t="n"/>
      <c r="Q461" s="59" t="n"/>
      <c r="R461" s="59" t="n"/>
      <c r="S461" s="59" t="n"/>
      <c r="T461" s="59" t="n"/>
      <c r="U461" s="59" t="n"/>
      <c r="V461" s="59" t="n"/>
      <c r="W461" s="59" t="n"/>
      <c r="X461" s="59" t="n"/>
      <c r="Y461" s="59" t="n"/>
      <c r="Z461" s="59" t="n"/>
      <c r="AA461" s="59" t="n"/>
      <c r="AB461" s="59" t="n"/>
      <c r="AC461" s="59" t="n"/>
      <c r="AD461" s="59" t="n"/>
    </row>
    <row r="462">
      <c r="A462" s="59" t="n"/>
      <c r="B462" s="59" t="n"/>
      <c r="C462" s="59" t="n"/>
      <c r="D462" s="59" t="n"/>
      <c r="E462" s="59" t="n"/>
      <c r="F462" s="59" t="n"/>
      <c r="G462" s="60" t="n"/>
      <c r="H462" s="59" t="n"/>
      <c r="I462" s="59" t="n"/>
      <c r="J462" s="59" t="n"/>
      <c r="K462" s="59" t="n"/>
      <c r="L462" s="59" t="n"/>
      <c r="M462" s="59" t="n"/>
      <c r="N462" s="59" t="n"/>
      <c r="O462" s="59" t="n"/>
      <c r="P462" s="59" t="n"/>
      <c r="Q462" s="59" t="n"/>
      <c r="R462" s="59" t="n"/>
      <c r="S462" s="59" t="n"/>
      <c r="T462" s="59" t="n"/>
      <c r="U462" s="59" t="n"/>
      <c r="V462" s="59" t="n"/>
      <c r="W462" s="59" t="n"/>
      <c r="X462" s="59" t="n"/>
      <c r="Y462" s="59" t="n"/>
      <c r="Z462" s="59" t="n"/>
      <c r="AA462" s="59" t="n"/>
      <c r="AB462" s="59" t="n"/>
      <c r="AC462" s="59" t="n"/>
      <c r="AD462" s="59" t="n"/>
    </row>
    <row r="463">
      <c r="A463" s="59" t="n"/>
      <c r="B463" s="59" t="n"/>
      <c r="C463" s="59" t="n"/>
      <c r="D463" s="59" t="n"/>
      <c r="E463" s="59" t="n"/>
      <c r="F463" s="59" t="n"/>
      <c r="G463" s="60" t="n"/>
      <c r="H463" s="59" t="n"/>
      <c r="I463" s="59" t="n"/>
      <c r="J463" s="59" t="n"/>
      <c r="K463" s="59" t="n"/>
      <c r="L463" s="59" t="n"/>
      <c r="M463" s="59" t="n"/>
      <c r="N463" s="59" t="n"/>
      <c r="O463" s="59" t="n"/>
      <c r="P463" s="59" t="n"/>
      <c r="Q463" s="59" t="n"/>
      <c r="R463" s="59" t="n"/>
      <c r="S463" s="59" t="n"/>
      <c r="T463" s="59" t="n"/>
      <c r="U463" s="59" t="n"/>
      <c r="V463" s="59" t="n"/>
      <c r="W463" s="59" t="n"/>
      <c r="X463" s="59" t="n"/>
      <c r="Y463" s="59" t="n"/>
      <c r="Z463" s="59" t="n"/>
      <c r="AA463" s="59" t="n"/>
      <c r="AB463" s="59" t="n"/>
      <c r="AC463" s="59" t="n"/>
      <c r="AD463" s="59" t="n"/>
    </row>
    <row r="464">
      <c r="A464" s="59" t="n"/>
      <c r="B464" s="59" t="n"/>
      <c r="C464" s="59" t="n"/>
      <c r="D464" s="59" t="n"/>
      <c r="E464" s="59" t="n"/>
      <c r="F464" s="59" t="n"/>
      <c r="G464" s="60" t="n"/>
      <c r="H464" s="59" t="n"/>
      <c r="I464" s="59" t="n"/>
      <c r="J464" s="59" t="n"/>
      <c r="K464" s="59" t="n"/>
      <c r="L464" s="59" t="n"/>
      <c r="M464" s="59" t="n"/>
      <c r="N464" s="59" t="n"/>
      <c r="O464" s="59" t="n"/>
      <c r="P464" s="59" t="n"/>
      <c r="Q464" s="59" t="n"/>
      <c r="R464" s="59" t="n"/>
      <c r="S464" s="59" t="n"/>
      <c r="T464" s="59" t="n"/>
      <c r="U464" s="59" t="n"/>
      <c r="V464" s="59" t="n"/>
      <c r="W464" s="59" t="n"/>
      <c r="X464" s="59" t="n"/>
      <c r="Y464" s="59" t="n"/>
      <c r="Z464" s="59" t="n"/>
      <c r="AA464" s="59" t="n"/>
      <c r="AB464" s="59" t="n"/>
      <c r="AC464" s="59" t="n"/>
      <c r="AD464" s="59" t="n"/>
    </row>
    <row r="465">
      <c r="A465" s="59" t="n"/>
      <c r="B465" s="59" t="n"/>
      <c r="C465" s="59" t="n"/>
      <c r="D465" s="59" t="n"/>
      <c r="E465" s="59" t="n"/>
      <c r="F465" s="59" t="n"/>
      <c r="G465" s="60" t="n"/>
      <c r="H465" s="59" t="n"/>
      <c r="I465" s="59" t="n"/>
      <c r="J465" s="59" t="n"/>
      <c r="K465" s="59" t="n"/>
      <c r="L465" s="59" t="n"/>
      <c r="M465" s="59" t="n"/>
      <c r="N465" s="59" t="n"/>
      <c r="O465" s="59" t="n"/>
      <c r="P465" s="59" t="n"/>
      <c r="Q465" s="59" t="n"/>
      <c r="R465" s="59" t="n"/>
      <c r="S465" s="59" t="n"/>
      <c r="T465" s="59" t="n"/>
      <c r="U465" s="59" t="n"/>
      <c r="V465" s="59" t="n"/>
      <c r="W465" s="59" t="n"/>
      <c r="X465" s="59" t="n"/>
      <c r="Y465" s="59" t="n"/>
      <c r="Z465" s="59" t="n"/>
      <c r="AA465" s="59" t="n"/>
      <c r="AB465" s="59" t="n"/>
      <c r="AC465" s="59" t="n"/>
      <c r="AD465" s="59" t="n"/>
    </row>
    <row r="466">
      <c r="A466" s="59" t="n"/>
      <c r="B466" s="59" t="n"/>
      <c r="C466" s="59" t="n"/>
      <c r="D466" s="59" t="n"/>
      <c r="E466" s="59" t="n"/>
      <c r="F466" s="59" t="n"/>
      <c r="G466" s="60" t="n"/>
      <c r="H466" s="59" t="n"/>
      <c r="I466" s="59" t="n"/>
      <c r="J466" s="59" t="n"/>
      <c r="K466" s="59" t="n"/>
      <c r="L466" s="59" t="n"/>
      <c r="M466" s="59" t="n"/>
      <c r="N466" s="59" t="n"/>
      <c r="O466" s="59" t="n"/>
      <c r="P466" s="59" t="n"/>
      <c r="Q466" s="59" t="n"/>
      <c r="R466" s="59" t="n"/>
      <c r="S466" s="59" t="n"/>
      <c r="T466" s="59" t="n"/>
      <c r="U466" s="59" t="n"/>
      <c r="V466" s="59" t="n"/>
      <c r="W466" s="59" t="n"/>
      <c r="X466" s="59" t="n"/>
      <c r="Y466" s="59" t="n"/>
      <c r="Z466" s="59" t="n"/>
      <c r="AA466" s="59" t="n"/>
      <c r="AB466" s="59" t="n"/>
      <c r="AC466" s="59" t="n"/>
      <c r="AD466" s="59" t="n"/>
    </row>
    <row r="467">
      <c r="A467" s="59" t="n"/>
      <c r="B467" s="59" t="n"/>
      <c r="C467" s="59" t="n"/>
      <c r="D467" s="59" t="n"/>
      <c r="E467" s="59" t="n"/>
      <c r="F467" s="59" t="n"/>
      <c r="G467" s="60" t="n"/>
      <c r="H467" s="59" t="n"/>
      <c r="I467" s="59" t="n"/>
      <c r="J467" s="59" t="n"/>
      <c r="K467" s="59" t="n"/>
      <c r="L467" s="59" t="n"/>
      <c r="M467" s="59" t="n"/>
      <c r="N467" s="59" t="n"/>
      <c r="O467" s="59" t="n"/>
      <c r="P467" s="59" t="n"/>
      <c r="Q467" s="59" t="n"/>
      <c r="R467" s="59" t="n"/>
      <c r="S467" s="59" t="n"/>
      <c r="T467" s="59" t="n"/>
      <c r="U467" s="59" t="n"/>
      <c r="V467" s="59" t="n"/>
      <c r="W467" s="59" t="n"/>
      <c r="X467" s="59" t="n"/>
      <c r="Y467" s="59" t="n"/>
      <c r="Z467" s="59" t="n"/>
      <c r="AA467" s="59" t="n"/>
      <c r="AB467" s="59" t="n"/>
      <c r="AC467" s="59" t="n"/>
      <c r="AD467" s="59" t="n"/>
    </row>
    <row r="468">
      <c r="A468" s="59" t="n"/>
      <c r="B468" s="59" t="n"/>
      <c r="C468" s="59" t="n"/>
      <c r="D468" s="59" t="n"/>
      <c r="E468" s="59" t="n"/>
      <c r="F468" s="59" t="n"/>
      <c r="G468" s="60" t="n"/>
      <c r="H468" s="59" t="n"/>
      <c r="I468" s="59" t="n"/>
      <c r="J468" s="59" t="n"/>
      <c r="K468" s="59" t="n"/>
      <c r="L468" s="59" t="n"/>
      <c r="M468" s="59" t="n"/>
      <c r="N468" s="59" t="n"/>
      <c r="O468" s="59" t="n"/>
      <c r="P468" s="59" t="n"/>
      <c r="Q468" s="59" t="n"/>
      <c r="R468" s="59" t="n"/>
      <c r="S468" s="59" t="n"/>
      <c r="T468" s="59" t="n"/>
      <c r="U468" s="59" t="n"/>
      <c r="V468" s="59" t="n"/>
      <c r="W468" s="59" t="n"/>
      <c r="X468" s="59" t="n"/>
      <c r="Y468" s="59" t="n"/>
      <c r="Z468" s="59" t="n"/>
      <c r="AA468" s="59" t="n"/>
      <c r="AB468" s="59" t="n"/>
      <c r="AC468" s="59" t="n"/>
      <c r="AD468" s="59" t="n"/>
    </row>
    <row r="469">
      <c r="A469" s="59" t="n"/>
      <c r="B469" s="59" t="n"/>
      <c r="C469" s="59" t="n"/>
      <c r="D469" s="59" t="n"/>
      <c r="E469" s="59" t="n"/>
      <c r="F469" s="59" t="n"/>
      <c r="G469" s="60" t="n"/>
      <c r="H469" s="59" t="n"/>
      <c r="I469" s="59" t="n"/>
      <c r="J469" s="59" t="n"/>
      <c r="K469" s="59" t="n"/>
      <c r="L469" s="59" t="n"/>
      <c r="M469" s="59" t="n"/>
      <c r="N469" s="59" t="n"/>
      <c r="O469" s="59" t="n"/>
      <c r="P469" s="59" t="n"/>
      <c r="Q469" s="59" t="n"/>
      <c r="R469" s="59" t="n"/>
      <c r="S469" s="59" t="n"/>
      <c r="T469" s="59" t="n"/>
      <c r="U469" s="59" t="n"/>
      <c r="V469" s="59" t="n"/>
      <c r="W469" s="59" t="n"/>
      <c r="X469" s="59" t="n"/>
      <c r="Y469" s="59" t="n"/>
      <c r="Z469" s="59" t="n"/>
      <c r="AA469" s="59" t="n"/>
      <c r="AB469" s="59" t="n"/>
      <c r="AC469" s="59" t="n"/>
      <c r="AD469" s="59" t="n"/>
    </row>
    <row r="470">
      <c r="A470" s="59" t="n"/>
      <c r="B470" s="59" t="n"/>
      <c r="C470" s="59" t="n"/>
      <c r="D470" s="59" t="n"/>
      <c r="E470" s="59" t="n"/>
      <c r="F470" s="59" t="n"/>
      <c r="G470" s="60" t="n"/>
      <c r="H470" s="59" t="n"/>
      <c r="I470" s="59" t="n"/>
      <c r="J470" s="59" t="n"/>
      <c r="K470" s="59" t="n"/>
      <c r="L470" s="59" t="n"/>
      <c r="M470" s="59" t="n"/>
      <c r="N470" s="59" t="n"/>
      <c r="O470" s="59" t="n"/>
      <c r="P470" s="59" t="n"/>
      <c r="Q470" s="59" t="n"/>
      <c r="R470" s="59" t="n"/>
      <c r="S470" s="59" t="n"/>
      <c r="T470" s="59" t="n"/>
      <c r="U470" s="59" t="n"/>
      <c r="V470" s="59" t="n"/>
      <c r="W470" s="59" t="n"/>
      <c r="X470" s="59" t="n"/>
      <c r="Y470" s="59" t="n"/>
      <c r="Z470" s="59" t="n"/>
      <c r="AA470" s="59" t="n"/>
      <c r="AB470" s="59" t="n"/>
      <c r="AC470" s="59" t="n"/>
      <c r="AD470" s="59" t="n"/>
    </row>
    <row r="471">
      <c r="A471" s="59" t="n"/>
      <c r="B471" s="59" t="n"/>
      <c r="C471" s="59" t="n"/>
      <c r="D471" s="59" t="n"/>
      <c r="E471" s="59" t="n"/>
      <c r="F471" s="59" t="n"/>
      <c r="G471" s="60" t="n"/>
      <c r="H471" s="59" t="n"/>
      <c r="I471" s="59" t="n"/>
      <c r="J471" s="59" t="n"/>
      <c r="K471" s="59" t="n"/>
      <c r="L471" s="59" t="n"/>
      <c r="M471" s="59" t="n"/>
      <c r="N471" s="59" t="n"/>
      <c r="O471" s="59" t="n"/>
      <c r="P471" s="59" t="n"/>
      <c r="Q471" s="59" t="n"/>
      <c r="R471" s="59" t="n"/>
      <c r="S471" s="59" t="n"/>
      <c r="T471" s="59" t="n"/>
      <c r="U471" s="59" t="n"/>
      <c r="V471" s="59" t="n"/>
      <c r="W471" s="59" t="n"/>
      <c r="X471" s="59" t="n"/>
      <c r="Y471" s="59" t="n"/>
      <c r="Z471" s="59" t="n"/>
      <c r="AA471" s="59" t="n"/>
      <c r="AB471" s="59" t="n"/>
      <c r="AC471" s="59" t="n"/>
      <c r="AD471" s="59" t="n"/>
    </row>
    <row r="472">
      <c r="A472" s="59" t="n"/>
      <c r="B472" s="59" t="n"/>
      <c r="C472" s="59" t="n"/>
      <c r="D472" s="59" t="n"/>
      <c r="E472" s="59" t="n"/>
      <c r="F472" s="59" t="n"/>
      <c r="G472" s="60" t="n"/>
      <c r="H472" s="59" t="n"/>
      <c r="I472" s="59" t="n"/>
      <c r="J472" s="59" t="n"/>
      <c r="K472" s="59" t="n"/>
      <c r="L472" s="59" t="n"/>
      <c r="M472" s="59" t="n"/>
      <c r="N472" s="59" t="n"/>
      <c r="O472" s="59" t="n"/>
      <c r="P472" s="59" t="n"/>
      <c r="Q472" s="59" t="n"/>
      <c r="R472" s="59" t="n"/>
      <c r="S472" s="59" t="n"/>
      <c r="T472" s="59" t="n"/>
      <c r="U472" s="59" t="n"/>
      <c r="V472" s="59" t="n"/>
      <c r="W472" s="59" t="n"/>
      <c r="X472" s="59" t="n"/>
      <c r="Y472" s="59" t="n"/>
      <c r="Z472" s="59" t="n"/>
      <c r="AA472" s="59" t="n"/>
      <c r="AB472" s="59" t="n"/>
      <c r="AC472" s="59" t="n"/>
      <c r="AD472" s="59" t="n"/>
    </row>
    <row r="473">
      <c r="A473" s="59" t="n"/>
      <c r="B473" s="59" t="n"/>
      <c r="C473" s="59" t="n"/>
      <c r="D473" s="59" t="n"/>
      <c r="E473" s="59" t="n"/>
      <c r="F473" s="59" t="n"/>
      <c r="G473" s="60" t="n"/>
      <c r="H473" s="59" t="n"/>
      <c r="I473" s="59" t="n"/>
      <c r="J473" s="59" t="n"/>
      <c r="K473" s="59" t="n"/>
      <c r="L473" s="59" t="n"/>
      <c r="M473" s="59" t="n"/>
      <c r="N473" s="59" t="n"/>
      <c r="O473" s="59" t="n"/>
      <c r="P473" s="59" t="n"/>
      <c r="Q473" s="59" t="n"/>
      <c r="R473" s="59" t="n"/>
      <c r="S473" s="59" t="n"/>
      <c r="T473" s="59" t="n"/>
      <c r="U473" s="59" t="n"/>
      <c r="V473" s="59" t="n"/>
      <c r="W473" s="59" t="n"/>
      <c r="X473" s="59" t="n"/>
      <c r="Y473" s="59" t="n"/>
      <c r="Z473" s="59" t="n"/>
      <c r="AA473" s="59" t="n"/>
      <c r="AB473" s="59" t="n"/>
      <c r="AC473" s="59" t="n"/>
      <c r="AD473" s="59" t="n"/>
    </row>
    <row r="474">
      <c r="A474" s="59" t="n"/>
      <c r="B474" s="59" t="n"/>
      <c r="C474" s="59" t="n"/>
      <c r="D474" s="59" t="n"/>
      <c r="E474" s="59" t="n"/>
      <c r="F474" s="59" t="n"/>
      <c r="G474" s="60" t="n"/>
      <c r="H474" s="59" t="n"/>
      <c r="I474" s="59" t="n"/>
      <c r="J474" s="59" t="n"/>
      <c r="K474" s="59" t="n"/>
      <c r="L474" s="59" t="n"/>
      <c r="M474" s="59" t="n"/>
      <c r="N474" s="59" t="n"/>
      <c r="O474" s="59" t="n"/>
      <c r="P474" s="59" t="n"/>
      <c r="Q474" s="59" t="n"/>
      <c r="R474" s="59" t="n"/>
      <c r="S474" s="59" t="n"/>
      <c r="T474" s="59" t="n"/>
      <c r="U474" s="59" t="n"/>
      <c r="V474" s="59" t="n"/>
      <c r="W474" s="59" t="n"/>
      <c r="X474" s="59" t="n"/>
      <c r="Y474" s="59" t="n"/>
      <c r="Z474" s="59" t="n"/>
      <c r="AA474" s="59" t="n"/>
      <c r="AB474" s="59" t="n"/>
      <c r="AC474" s="59" t="n"/>
      <c r="AD474" s="59" t="n"/>
    </row>
    <row r="475">
      <c r="A475" s="59" t="n"/>
      <c r="B475" s="59" t="n"/>
      <c r="C475" s="59" t="n"/>
      <c r="D475" s="59" t="n"/>
      <c r="E475" s="59" t="n"/>
      <c r="F475" s="59" t="n"/>
      <c r="G475" s="60" t="n"/>
      <c r="H475" s="59" t="n"/>
      <c r="I475" s="59" t="n"/>
      <c r="J475" s="59" t="n"/>
      <c r="K475" s="59" t="n"/>
      <c r="L475" s="59" t="n"/>
      <c r="M475" s="59" t="n"/>
      <c r="N475" s="59" t="n"/>
      <c r="O475" s="59" t="n"/>
      <c r="P475" s="59" t="n"/>
      <c r="Q475" s="59" t="n"/>
      <c r="R475" s="59" t="n"/>
      <c r="S475" s="59" t="n"/>
      <c r="T475" s="59" t="n"/>
      <c r="U475" s="59" t="n"/>
      <c r="V475" s="59" t="n"/>
      <c r="W475" s="59" t="n"/>
      <c r="X475" s="59" t="n"/>
      <c r="Y475" s="59" t="n"/>
      <c r="Z475" s="59" t="n"/>
      <c r="AA475" s="59" t="n"/>
      <c r="AB475" s="59" t="n"/>
      <c r="AC475" s="59" t="n"/>
      <c r="AD475" s="59" t="n"/>
    </row>
    <row r="476">
      <c r="A476" s="59" t="n"/>
      <c r="B476" s="59" t="n"/>
      <c r="C476" s="59" t="n"/>
      <c r="D476" s="59" t="n"/>
      <c r="E476" s="59" t="n"/>
      <c r="F476" s="59" t="n"/>
      <c r="G476" s="60" t="n"/>
      <c r="H476" s="59" t="n"/>
      <c r="I476" s="59" t="n"/>
      <c r="J476" s="59" t="n"/>
      <c r="K476" s="59" t="n"/>
      <c r="L476" s="59" t="n"/>
      <c r="M476" s="59" t="n"/>
      <c r="N476" s="59" t="n"/>
      <c r="O476" s="59" t="n"/>
      <c r="P476" s="59" t="n"/>
      <c r="Q476" s="59" t="n"/>
      <c r="R476" s="59" t="n"/>
      <c r="S476" s="59" t="n"/>
      <c r="T476" s="59" t="n"/>
      <c r="U476" s="59" t="n"/>
      <c r="V476" s="59" t="n"/>
      <c r="W476" s="59" t="n"/>
      <c r="X476" s="59" t="n"/>
      <c r="Y476" s="59" t="n"/>
      <c r="Z476" s="59" t="n"/>
      <c r="AA476" s="59" t="n"/>
      <c r="AB476" s="59" t="n"/>
      <c r="AC476" s="59" t="n"/>
      <c r="AD476" s="59" t="n"/>
    </row>
    <row r="477">
      <c r="A477" s="59" t="n"/>
      <c r="B477" s="59" t="n"/>
      <c r="C477" s="59" t="n"/>
      <c r="D477" s="59" t="n"/>
      <c r="E477" s="59" t="n"/>
      <c r="F477" s="59" t="n"/>
      <c r="G477" s="60" t="n"/>
      <c r="H477" s="59" t="n"/>
      <c r="I477" s="59" t="n"/>
      <c r="J477" s="59" t="n"/>
      <c r="K477" s="59" t="n"/>
      <c r="L477" s="59" t="n"/>
      <c r="M477" s="59" t="n"/>
      <c r="N477" s="59" t="n"/>
      <c r="O477" s="59" t="n"/>
      <c r="P477" s="59" t="n"/>
      <c r="Q477" s="59" t="n"/>
      <c r="R477" s="59" t="n"/>
      <c r="S477" s="59" t="n"/>
      <c r="T477" s="59" t="n"/>
      <c r="U477" s="59" t="n"/>
      <c r="V477" s="59" t="n"/>
      <c r="W477" s="59" t="n"/>
      <c r="X477" s="59" t="n"/>
      <c r="Y477" s="59" t="n"/>
      <c r="Z477" s="59" t="n"/>
      <c r="AA477" s="59" t="n"/>
      <c r="AB477" s="59" t="n"/>
      <c r="AC477" s="59" t="n"/>
      <c r="AD477" s="59" t="n"/>
    </row>
    <row r="478">
      <c r="A478" s="59" t="n"/>
      <c r="B478" s="59" t="n"/>
      <c r="C478" s="59" t="n"/>
      <c r="D478" s="59" t="n"/>
      <c r="E478" s="59" t="n"/>
      <c r="F478" s="59" t="n"/>
      <c r="G478" s="60" t="n"/>
      <c r="H478" s="59" t="n"/>
      <c r="I478" s="59" t="n"/>
      <c r="J478" s="59" t="n"/>
      <c r="K478" s="59" t="n"/>
      <c r="L478" s="59" t="n"/>
      <c r="M478" s="59" t="n"/>
      <c r="N478" s="59" t="n"/>
      <c r="O478" s="59" t="n"/>
      <c r="P478" s="59" t="n"/>
      <c r="Q478" s="59" t="n"/>
      <c r="R478" s="59" t="n"/>
      <c r="S478" s="59" t="n"/>
      <c r="T478" s="59" t="n"/>
      <c r="U478" s="59" t="n"/>
      <c r="V478" s="59" t="n"/>
      <c r="W478" s="59" t="n"/>
      <c r="X478" s="59" t="n"/>
      <c r="Y478" s="59" t="n"/>
      <c r="Z478" s="59" t="n"/>
      <c r="AA478" s="59" t="n"/>
      <c r="AB478" s="59" t="n"/>
      <c r="AC478" s="59" t="n"/>
      <c r="AD478" s="59" t="n"/>
    </row>
    <row r="479">
      <c r="A479" s="59" t="n"/>
      <c r="B479" s="59" t="n"/>
      <c r="C479" s="59" t="n"/>
      <c r="D479" s="59" t="n"/>
      <c r="E479" s="59" t="n"/>
      <c r="F479" s="59" t="n"/>
      <c r="G479" s="60" t="n"/>
      <c r="H479" s="59" t="n"/>
      <c r="I479" s="59" t="n"/>
      <c r="J479" s="59" t="n"/>
      <c r="K479" s="59" t="n"/>
      <c r="L479" s="59" t="n"/>
      <c r="M479" s="59" t="n"/>
      <c r="N479" s="59" t="n"/>
      <c r="O479" s="59" t="n"/>
      <c r="P479" s="59" t="n"/>
      <c r="Q479" s="59" t="n"/>
      <c r="R479" s="59" t="n"/>
      <c r="S479" s="59" t="n"/>
      <c r="T479" s="59" t="n"/>
      <c r="U479" s="59" t="n"/>
      <c r="V479" s="59" t="n"/>
      <c r="W479" s="59" t="n"/>
      <c r="X479" s="59" t="n"/>
      <c r="Y479" s="59" t="n"/>
      <c r="Z479" s="59" t="n"/>
      <c r="AA479" s="59" t="n"/>
      <c r="AB479" s="59" t="n"/>
      <c r="AC479" s="59" t="n"/>
      <c r="AD479" s="59" t="n"/>
    </row>
    <row r="480">
      <c r="A480" s="59" t="n"/>
      <c r="B480" s="59" t="n"/>
      <c r="C480" s="59" t="n"/>
      <c r="D480" s="59" t="n"/>
      <c r="E480" s="59" t="n"/>
      <c r="F480" s="59" t="n"/>
      <c r="G480" s="60" t="n"/>
      <c r="H480" s="59" t="n"/>
      <c r="I480" s="59" t="n"/>
      <c r="J480" s="59" t="n"/>
      <c r="K480" s="59" t="n"/>
      <c r="L480" s="59" t="n"/>
      <c r="M480" s="59" t="n"/>
      <c r="N480" s="59" t="n"/>
      <c r="O480" s="59" t="n"/>
      <c r="P480" s="59" t="n"/>
      <c r="Q480" s="59" t="n"/>
      <c r="R480" s="59" t="n"/>
      <c r="S480" s="59" t="n"/>
      <c r="T480" s="59" t="n"/>
      <c r="U480" s="59" t="n"/>
      <c r="V480" s="59" t="n"/>
      <c r="W480" s="59" t="n"/>
      <c r="X480" s="59" t="n"/>
      <c r="Y480" s="59" t="n"/>
      <c r="Z480" s="59" t="n"/>
      <c r="AA480" s="59" t="n"/>
      <c r="AB480" s="59" t="n"/>
      <c r="AC480" s="59" t="n"/>
      <c r="AD480" s="59" t="n"/>
    </row>
    <row r="481">
      <c r="A481" s="59" t="n"/>
      <c r="B481" s="59" t="n"/>
      <c r="C481" s="59" t="n"/>
      <c r="D481" s="59" t="n"/>
      <c r="E481" s="59" t="n"/>
      <c r="F481" s="59" t="n"/>
      <c r="G481" s="60" t="n"/>
      <c r="H481" s="59" t="n"/>
      <c r="I481" s="59" t="n"/>
      <c r="J481" s="59" t="n"/>
      <c r="K481" s="59" t="n"/>
      <c r="L481" s="59" t="n"/>
      <c r="M481" s="59" t="n"/>
      <c r="N481" s="59" t="n"/>
      <c r="O481" s="59" t="n"/>
      <c r="P481" s="59" t="n"/>
      <c r="Q481" s="59" t="n"/>
      <c r="R481" s="59" t="n"/>
      <c r="S481" s="59" t="n"/>
      <c r="T481" s="59" t="n"/>
      <c r="U481" s="59" t="n"/>
      <c r="V481" s="59" t="n"/>
      <c r="W481" s="59" t="n"/>
      <c r="X481" s="59" t="n"/>
      <c r="Y481" s="59" t="n"/>
      <c r="Z481" s="59" t="n"/>
      <c r="AA481" s="59" t="n"/>
      <c r="AB481" s="59" t="n"/>
      <c r="AC481" s="59" t="n"/>
      <c r="AD481" s="59" t="n"/>
    </row>
    <row r="482">
      <c r="A482" s="59" t="n"/>
      <c r="B482" s="59" t="n"/>
      <c r="C482" s="59" t="n"/>
      <c r="D482" s="59" t="n"/>
      <c r="E482" s="59" t="n"/>
      <c r="F482" s="59" t="n"/>
      <c r="G482" s="60" t="n"/>
      <c r="H482" s="59" t="n"/>
      <c r="I482" s="59" t="n"/>
      <c r="J482" s="59" t="n"/>
      <c r="K482" s="59" t="n"/>
      <c r="L482" s="59" t="n"/>
      <c r="M482" s="59" t="n"/>
      <c r="N482" s="59" t="n"/>
      <c r="O482" s="59" t="n"/>
      <c r="P482" s="59" t="n"/>
      <c r="Q482" s="59" t="n"/>
      <c r="R482" s="59" t="n"/>
      <c r="S482" s="59" t="n"/>
      <c r="T482" s="59" t="n"/>
      <c r="U482" s="59" t="n"/>
      <c r="V482" s="59" t="n"/>
      <c r="W482" s="59" t="n"/>
      <c r="X482" s="59" t="n"/>
      <c r="Y482" s="59" t="n"/>
      <c r="Z482" s="59" t="n"/>
      <c r="AA482" s="59" t="n"/>
      <c r="AB482" s="59" t="n"/>
      <c r="AC482" s="59" t="n"/>
      <c r="AD482" s="59" t="n"/>
    </row>
    <row r="483">
      <c r="A483" s="59" t="n"/>
      <c r="B483" s="59" t="n"/>
      <c r="C483" s="59" t="n"/>
      <c r="D483" s="59" t="n"/>
      <c r="E483" s="59" t="n"/>
      <c r="F483" s="59" t="n"/>
      <c r="G483" s="60" t="n"/>
      <c r="H483" s="59" t="n"/>
      <c r="I483" s="59" t="n"/>
      <c r="J483" s="59" t="n"/>
      <c r="K483" s="59" t="n"/>
      <c r="L483" s="59" t="n"/>
      <c r="M483" s="59" t="n"/>
      <c r="N483" s="59" t="n"/>
      <c r="O483" s="59" t="n"/>
      <c r="P483" s="59" t="n"/>
      <c r="Q483" s="59" t="n"/>
      <c r="R483" s="59" t="n"/>
      <c r="S483" s="59" t="n"/>
      <c r="T483" s="59" t="n"/>
      <c r="U483" s="59" t="n"/>
      <c r="V483" s="59" t="n"/>
      <c r="W483" s="59" t="n"/>
      <c r="X483" s="59" t="n"/>
      <c r="Y483" s="59" t="n"/>
      <c r="Z483" s="59" t="n"/>
      <c r="AA483" s="59" t="n"/>
      <c r="AB483" s="59" t="n"/>
      <c r="AC483" s="59" t="n"/>
      <c r="AD483" s="59" t="n"/>
    </row>
    <row r="484">
      <c r="A484" s="59" t="n"/>
      <c r="B484" s="59" t="n"/>
      <c r="C484" s="59" t="n"/>
      <c r="D484" s="59" t="n"/>
      <c r="E484" s="59" t="n"/>
      <c r="F484" s="59" t="n"/>
      <c r="G484" s="60" t="n"/>
      <c r="H484" s="59" t="n"/>
      <c r="I484" s="59" t="n"/>
      <c r="J484" s="59" t="n"/>
      <c r="K484" s="59" t="n"/>
      <c r="L484" s="59" t="n"/>
      <c r="M484" s="59" t="n"/>
      <c r="N484" s="59" t="n"/>
      <c r="O484" s="59" t="n"/>
      <c r="P484" s="59" t="n"/>
      <c r="Q484" s="59" t="n"/>
      <c r="R484" s="59" t="n"/>
      <c r="S484" s="59" t="n"/>
      <c r="T484" s="59" t="n"/>
      <c r="U484" s="59" t="n"/>
      <c r="V484" s="59" t="n"/>
      <c r="W484" s="59" t="n"/>
      <c r="X484" s="59" t="n"/>
      <c r="Y484" s="59" t="n"/>
      <c r="Z484" s="59" t="n"/>
      <c r="AA484" s="59" t="n"/>
      <c r="AB484" s="59" t="n"/>
      <c r="AC484" s="59" t="n"/>
      <c r="AD484" s="59" t="n"/>
    </row>
    <row r="485">
      <c r="A485" s="59" t="n"/>
      <c r="B485" s="59" t="n"/>
      <c r="C485" s="59" t="n"/>
      <c r="D485" s="59" t="n"/>
      <c r="E485" s="59" t="n"/>
      <c r="F485" s="59" t="n"/>
      <c r="G485" s="60" t="n"/>
      <c r="H485" s="59" t="n"/>
      <c r="I485" s="59" t="n"/>
      <c r="J485" s="59" t="n"/>
      <c r="K485" s="59" t="n"/>
      <c r="L485" s="59" t="n"/>
      <c r="M485" s="59" t="n"/>
      <c r="N485" s="59" t="n"/>
      <c r="O485" s="59" t="n"/>
      <c r="P485" s="59" t="n"/>
      <c r="Q485" s="59" t="n"/>
      <c r="R485" s="59" t="n"/>
      <c r="S485" s="59" t="n"/>
      <c r="T485" s="59" t="n"/>
      <c r="U485" s="59" t="n"/>
      <c r="V485" s="59" t="n"/>
      <c r="W485" s="59" t="n"/>
      <c r="X485" s="59" t="n"/>
      <c r="Y485" s="59" t="n"/>
      <c r="Z485" s="59" t="n"/>
      <c r="AA485" s="59" t="n"/>
      <c r="AB485" s="59" t="n"/>
      <c r="AC485" s="59" t="n"/>
      <c r="AD485" s="59" t="n"/>
    </row>
    <row r="486">
      <c r="A486" s="59" t="n"/>
      <c r="B486" s="59" t="n"/>
      <c r="C486" s="59" t="n"/>
      <c r="D486" s="59" t="n"/>
      <c r="E486" s="59" t="n"/>
      <c r="F486" s="59" t="n"/>
      <c r="G486" s="60" t="n"/>
      <c r="H486" s="59" t="n"/>
      <c r="I486" s="59" t="n"/>
      <c r="J486" s="59" t="n"/>
      <c r="K486" s="59" t="n"/>
      <c r="L486" s="59" t="n"/>
      <c r="M486" s="59" t="n"/>
      <c r="N486" s="59" t="n"/>
      <c r="O486" s="59" t="n"/>
      <c r="P486" s="59" t="n"/>
      <c r="Q486" s="59" t="n"/>
      <c r="R486" s="59" t="n"/>
      <c r="S486" s="59" t="n"/>
      <c r="T486" s="59" t="n"/>
      <c r="U486" s="59" t="n"/>
      <c r="V486" s="59" t="n"/>
      <c r="W486" s="59" t="n"/>
      <c r="X486" s="59" t="n"/>
      <c r="Y486" s="59" t="n"/>
      <c r="Z486" s="59" t="n"/>
      <c r="AA486" s="59" t="n"/>
      <c r="AB486" s="59" t="n"/>
      <c r="AC486" s="59" t="n"/>
      <c r="AD486" s="59" t="n"/>
    </row>
    <row r="487">
      <c r="A487" s="59" t="n"/>
      <c r="B487" s="59" t="n"/>
      <c r="C487" s="59" t="n"/>
      <c r="D487" s="59" t="n"/>
      <c r="E487" s="59" t="n"/>
      <c r="F487" s="59" t="n"/>
      <c r="G487" s="60" t="n"/>
      <c r="H487" s="59" t="n"/>
      <c r="I487" s="59" t="n"/>
      <c r="J487" s="59" t="n"/>
      <c r="K487" s="59" t="n"/>
      <c r="L487" s="59" t="n"/>
      <c r="M487" s="59" t="n"/>
      <c r="N487" s="59" t="n"/>
      <c r="O487" s="59" t="n"/>
      <c r="P487" s="59" t="n"/>
      <c r="Q487" s="59" t="n"/>
      <c r="R487" s="59" t="n"/>
      <c r="S487" s="59" t="n"/>
      <c r="T487" s="59" t="n"/>
      <c r="U487" s="59" t="n"/>
      <c r="V487" s="59" t="n"/>
      <c r="W487" s="59" t="n"/>
      <c r="X487" s="59" t="n"/>
      <c r="Y487" s="59" t="n"/>
      <c r="Z487" s="59" t="n"/>
      <c r="AA487" s="59" t="n"/>
      <c r="AB487" s="59" t="n"/>
      <c r="AC487" s="59" t="n"/>
      <c r="AD487" s="59" t="n"/>
    </row>
    <row r="488">
      <c r="A488" s="59" t="n"/>
      <c r="B488" s="59" t="n"/>
      <c r="C488" s="59" t="n"/>
      <c r="D488" s="59" t="n"/>
      <c r="E488" s="59" t="n"/>
      <c r="F488" s="59" t="n"/>
      <c r="G488" s="60" t="n"/>
      <c r="H488" s="59" t="n"/>
      <c r="I488" s="59" t="n"/>
      <c r="J488" s="59" t="n"/>
      <c r="K488" s="59" t="n"/>
      <c r="L488" s="59" t="n"/>
      <c r="M488" s="59" t="n"/>
      <c r="N488" s="59" t="n"/>
      <c r="O488" s="59" t="n"/>
      <c r="P488" s="59" t="n"/>
      <c r="Q488" s="59" t="n"/>
      <c r="R488" s="59" t="n"/>
      <c r="S488" s="59" t="n"/>
      <c r="T488" s="59" t="n"/>
      <c r="U488" s="59" t="n"/>
      <c r="V488" s="59" t="n"/>
      <c r="W488" s="59" t="n"/>
      <c r="X488" s="59" t="n"/>
      <c r="Y488" s="59" t="n"/>
      <c r="Z488" s="59" t="n"/>
      <c r="AA488" s="59" t="n"/>
      <c r="AB488" s="59" t="n"/>
      <c r="AC488" s="59" t="n"/>
      <c r="AD488" s="59" t="n"/>
    </row>
    <row r="489">
      <c r="A489" s="59" t="n"/>
      <c r="B489" s="59" t="n"/>
      <c r="C489" s="59" t="n"/>
      <c r="D489" s="59" t="n"/>
      <c r="E489" s="59" t="n"/>
      <c r="F489" s="59" t="n"/>
      <c r="G489" s="60" t="n"/>
      <c r="H489" s="59" t="n"/>
      <c r="I489" s="59" t="n"/>
      <c r="J489" s="59" t="n"/>
      <c r="K489" s="59" t="n"/>
      <c r="L489" s="59" t="n"/>
      <c r="M489" s="59" t="n"/>
      <c r="N489" s="59" t="n"/>
      <c r="O489" s="59" t="n"/>
      <c r="P489" s="59" t="n"/>
      <c r="Q489" s="59" t="n"/>
      <c r="R489" s="59" t="n"/>
      <c r="S489" s="59" t="n"/>
      <c r="T489" s="59" t="n"/>
      <c r="U489" s="59" t="n"/>
      <c r="V489" s="59" t="n"/>
      <c r="W489" s="59" t="n"/>
      <c r="X489" s="59" t="n"/>
      <c r="Y489" s="59" t="n"/>
      <c r="Z489" s="59" t="n"/>
      <c r="AA489" s="59" t="n"/>
      <c r="AB489" s="59" t="n"/>
      <c r="AC489" s="59" t="n"/>
      <c r="AD489" s="59" t="n"/>
    </row>
    <row r="490">
      <c r="A490" s="59" t="n"/>
      <c r="B490" s="59" t="n"/>
      <c r="C490" s="59" t="n"/>
      <c r="D490" s="59" t="n"/>
      <c r="E490" s="59" t="n"/>
      <c r="F490" s="59" t="n"/>
      <c r="G490" s="60" t="n"/>
      <c r="H490" s="59" t="n"/>
      <c r="I490" s="59" t="n"/>
      <c r="J490" s="59" t="n"/>
      <c r="K490" s="59" t="n"/>
      <c r="L490" s="59" t="n"/>
      <c r="M490" s="59" t="n"/>
      <c r="N490" s="59" t="n"/>
      <c r="O490" s="59" t="n"/>
      <c r="P490" s="59" t="n"/>
      <c r="Q490" s="59" t="n"/>
      <c r="R490" s="59" t="n"/>
      <c r="S490" s="59" t="n"/>
      <c r="T490" s="59" t="n"/>
      <c r="U490" s="59" t="n"/>
      <c r="V490" s="59" t="n"/>
      <c r="W490" s="59" t="n"/>
      <c r="X490" s="59" t="n"/>
      <c r="Y490" s="59" t="n"/>
      <c r="Z490" s="59" t="n"/>
      <c r="AA490" s="59" t="n"/>
      <c r="AB490" s="59" t="n"/>
      <c r="AC490" s="59" t="n"/>
      <c r="AD490" s="59" t="n"/>
    </row>
    <row r="491">
      <c r="A491" s="59" t="n"/>
      <c r="B491" s="59" t="n"/>
      <c r="C491" s="59" t="n"/>
      <c r="D491" s="59" t="n"/>
      <c r="E491" s="59" t="n"/>
      <c r="F491" s="59" t="n"/>
      <c r="G491" s="60" t="n"/>
      <c r="H491" s="59" t="n"/>
      <c r="I491" s="59" t="n"/>
      <c r="J491" s="59" t="n"/>
      <c r="K491" s="59" t="n"/>
      <c r="L491" s="59" t="n"/>
      <c r="M491" s="59" t="n"/>
      <c r="N491" s="59" t="n"/>
      <c r="O491" s="59" t="n"/>
      <c r="P491" s="59" t="n"/>
      <c r="Q491" s="59" t="n"/>
      <c r="R491" s="59" t="n"/>
      <c r="S491" s="59" t="n"/>
      <c r="T491" s="59" t="n"/>
      <c r="U491" s="59" t="n"/>
      <c r="V491" s="59" t="n"/>
      <c r="W491" s="59" t="n"/>
      <c r="X491" s="59" t="n"/>
      <c r="Y491" s="59" t="n"/>
      <c r="Z491" s="59" t="n"/>
      <c r="AA491" s="59" t="n"/>
      <c r="AB491" s="59" t="n"/>
      <c r="AC491" s="59" t="n"/>
      <c r="AD491" s="59" t="n"/>
    </row>
    <row r="492">
      <c r="A492" s="59" t="n"/>
      <c r="B492" s="59" t="n"/>
      <c r="C492" s="59" t="n"/>
      <c r="D492" s="59" t="n"/>
      <c r="E492" s="59" t="n"/>
      <c r="F492" s="59" t="n"/>
      <c r="G492" s="60" t="n"/>
      <c r="H492" s="59" t="n"/>
      <c r="I492" s="59" t="n"/>
      <c r="J492" s="59" t="n"/>
      <c r="K492" s="59" t="n"/>
      <c r="L492" s="59" t="n"/>
      <c r="M492" s="59" t="n"/>
      <c r="N492" s="59" t="n"/>
      <c r="O492" s="59" t="n"/>
      <c r="P492" s="59" t="n"/>
      <c r="Q492" s="59" t="n"/>
      <c r="R492" s="59" t="n"/>
      <c r="S492" s="59" t="n"/>
      <c r="T492" s="59" t="n"/>
      <c r="U492" s="59" t="n"/>
      <c r="V492" s="59" t="n"/>
      <c r="W492" s="59" t="n"/>
      <c r="X492" s="59" t="n"/>
      <c r="Y492" s="59" t="n"/>
      <c r="Z492" s="59" t="n"/>
      <c r="AA492" s="59" t="n"/>
      <c r="AB492" s="59" t="n"/>
      <c r="AC492" s="59" t="n"/>
      <c r="AD492" s="59" t="n"/>
    </row>
    <row r="493">
      <c r="A493" s="59" t="n"/>
      <c r="B493" s="59" t="n"/>
      <c r="C493" s="59" t="n"/>
      <c r="D493" s="59" t="n"/>
      <c r="E493" s="59" t="n"/>
      <c r="F493" s="59" t="n"/>
      <c r="G493" s="60" t="n"/>
      <c r="H493" s="59" t="n"/>
      <c r="I493" s="59" t="n"/>
      <c r="J493" s="59" t="n"/>
      <c r="K493" s="59" t="n"/>
      <c r="L493" s="59" t="n"/>
      <c r="M493" s="59" t="n"/>
      <c r="N493" s="59" t="n"/>
      <c r="O493" s="59" t="n"/>
      <c r="P493" s="59" t="n"/>
      <c r="Q493" s="59" t="n"/>
      <c r="R493" s="59" t="n"/>
      <c r="S493" s="59" t="n"/>
      <c r="T493" s="59" t="n"/>
      <c r="U493" s="59" t="n"/>
      <c r="V493" s="59" t="n"/>
      <c r="W493" s="59" t="n"/>
      <c r="X493" s="59" t="n"/>
      <c r="Y493" s="59" t="n"/>
      <c r="Z493" s="59" t="n"/>
      <c r="AA493" s="59" t="n"/>
      <c r="AB493" s="59" t="n"/>
      <c r="AC493" s="59" t="n"/>
      <c r="AD493" s="59" t="n"/>
    </row>
    <row r="494">
      <c r="A494" s="59" t="n"/>
      <c r="B494" s="59" t="n"/>
      <c r="C494" s="59" t="n"/>
      <c r="D494" s="59" t="n"/>
      <c r="E494" s="59" t="n"/>
      <c r="F494" s="59" t="n"/>
      <c r="G494" s="60" t="n"/>
      <c r="H494" s="59" t="n"/>
      <c r="I494" s="59" t="n"/>
      <c r="J494" s="59" t="n"/>
      <c r="K494" s="59" t="n"/>
      <c r="L494" s="59" t="n"/>
      <c r="M494" s="59" t="n"/>
      <c r="N494" s="59" t="n"/>
      <c r="O494" s="59" t="n"/>
      <c r="P494" s="59" t="n"/>
      <c r="Q494" s="59" t="n"/>
      <c r="R494" s="59" t="n"/>
      <c r="S494" s="59" t="n"/>
      <c r="T494" s="59" t="n"/>
      <c r="U494" s="59" t="n"/>
      <c r="V494" s="59" t="n"/>
      <c r="W494" s="59" t="n"/>
      <c r="X494" s="59" t="n"/>
      <c r="Y494" s="59" t="n"/>
      <c r="Z494" s="59" t="n"/>
      <c r="AA494" s="59" t="n"/>
      <c r="AB494" s="59" t="n"/>
      <c r="AC494" s="59" t="n"/>
      <c r="AD494" s="59" t="n"/>
    </row>
    <row r="495">
      <c r="A495" s="59" t="n"/>
      <c r="B495" s="59" t="n"/>
      <c r="C495" s="59" t="n"/>
      <c r="D495" s="59" t="n"/>
      <c r="E495" s="59" t="n"/>
      <c r="F495" s="59" t="n"/>
      <c r="G495" s="60" t="n"/>
      <c r="H495" s="59" t="n"/>
      <c r="I495" s="59" t="n"/>
      <c r="J495" s="59" t="n"/>
      <c r="K495" s="59" t="n"/>
      <c r="L495" s="59" t="n"/>
      <c r="M495" s="59" t="n"/>
      <c r="N495" s="59" t="n"/>
      <c r="O495" s="59" t="n"/>
      <c r="P495" s="59" t="n"/>
      <c r="Q495" s="59" t="n"/>
      <c r="R495" s="59" t="n"/>
      <c r="S495" s="59" t="n"/>
      <c r="T495" s="59" t="n"/>
      <c r="U495" s="59" t="n"/>
      <c r="V495" s="59" t="n"/>
      <c r="W495" s="59" t="n"/>
      <c r="X495" s="59" t="n"/>
      <c r="Y495" s="59" t="n"/>
      <c r="Z495" s="59" t="n"/>
      <c r="AA495" s="59" t="n"/>
      <c r="AB495" s="59" t="n"/>
      <c r="AC495" s="59" t="n"/>
      <c r="AD495" s="59" t="n"/>
    </row>
    <row r="496">
      <c r="A496" s="59" t="n"/>
      <c r="B496" s="59" t="n"/>
      <c r="C496" s="59" t="n"/>
      <c r="D496" s="59" t="n"/>
      <c r="E496" s="59" t="n"/>
      <c r="F496" s="59" t="n"/>
      <c r="G496" s="60" t="n"/>
      <c r="H496" s="59" t="n"/>
      <c r="I496" s="59" t="n"/>
      <c r="J496" s="59" t="n"/>
      <c r="K496" s="59" t="n"/>
      <c r="L496" s="59" t="n"/>
      <c r="M496" s="59" t="n"/>
      <c r="N496" s="59" t="n"/>
      <c r="O496" s="59" t="n"/>
      <c r="P496" s="59" t="n"/>
      <c r="Q496" s="59" t="n"/>
      <c r="R496" s="59" t="n"/>
      <c r="S496" s="59" t="n"/>
      <c r="T496" s="59" t="n"/>
      <c r="U496" s="59" t="n"/>
      <c r="V496" s="59" t="n"/>
      <c r="W496" s="59" t="n"/>
      <c r="X496" s="59" t="n"/>
      <c r="Y496" s="59" t="n"/>
      <c r="Z496" s="59" t="n"/>
      <c r="AA496" s="59" t="n"/>
      <c r="AB496" s="59" t="n"/>
      <c r="AC496" s="59" t="n"/>
      <c r="AD496" s="59" t="n"/>
    </row>
    <row r="497">
      <c r="A497" s="59" t="n"/>
      <c r="B497" s="59" t="n"/>
      <c r="C497" s="59" t="n"/>
      <c r="D497" s="59" t="n"/>
      <c r="E497" s="59" t="n"/>
      <c r="F497" s="59" t="n"/>
      <c r="G497" s="60" t="n"/>
      <c r="H497" s="59" t="n"/>
      <c r="I497" s="59" t="n"/>
      <c r="J497" s="59" t="n"/>
      <c r="K497" s="59" t="n"/>
      <c r="L497" s="59" t="n"/>
      <c r="M497" s="59" t="n"/>
      <c r="N497" s="59" t="n"/>
      <c r="O497" s="59" t="n"/>
      <c r="P497" s="59" t="n"/>
      <c r="Q497" s="59" t="n"/>
      <c r="R497" s="59" t="n"/>
      <c r="S497" s="59" t="n"/>
      <c r="T497" s="59" t="n"/>
      <c r="U497" s="59" t="n"/>
      <c r="V497" s="59" t="n"/>
      <c r="W497" s="59" t="n"/>
      <c r="X497" s="59" t="n"/>
      <c r="Y497" s="59" t="n"/>
      <c r="Z497" s="59" t="n"/>
      <c r="AA497" s="59" t="n"/>
      <c r="AB497" s="59" t="n"/>
      <c r="AC497" s="59" t="n"/>
      <c r="AD497" s="59" t="n"/>
    </row>
    <row r="498">
      <c r="A498" s="59" t="n"/>
      <c r="B498" s="59" t="n"/>
      <c r="C498" s="59" t="n"/>
      <c r="D498" s="59" t="n"/>
      <c r="E498" s="59" t="n"/>
      <c r="F498" s="59" t="n"/>
      <c r="G498" s="60" t="n"/>
      <c r="H498" s="59" t="n"/>
      <c r="I498" s="59" t="n"/>
      <c r="J498" s="59" t="n"/>
      <c r="K498" s="59" t="n"/>
      <c r="L498" s="59" t="n"/>
      <c r="M498" s="59" t="n"/>
      <c r="N498" s="59" t="n"/>
      <c r="O498" s="59" t="n"/>
      <c r="P498" s="59" t="n"/>
      <c r="Q498" s="59" t="n"/>
      <c r="R498" s="59" t="n"/>
      <c r="S498" s="59" t="n"/>
      <c r="T498" s="59" t="n"/>
      <c r="U498" s="59" t="n"/>
      <c r="V498" s="59" t="n"/>
      <c r="W498" s="59" t="n"/>
      <c r="X498" s="59" t="n"/>
      <c r="Y498" s="59" t="n"/>
      <c r="Z498" s="59" t="n"/>
      <c r="AA498" s="59" t="n"/>
      <c r="AB498" s="59" t="n"/>
      <c r="AC498" s="59" t="n"/>
      <c r="AD498" s="59" t="n"/>
    </row>
    <row r="499">
      <c r="A499" s="59" t="n"/>
      <c r="B499" s="59" t="n"/>
      <c r="C499" s="59" t="n"/>
      <c r="D499" s="59" t="n"/>
      <c r="E499" s="59" t="n"/>
      <c r="F499" s="59" t="n"/>
      <c r="G499" s="60" t="n"/>
      <c r="H499" s="59" t="n"/>
      <c r="I499" s="59" t="n"/>
      <c r="J499" s="59" t="n"/>
      <c r="K499" s="59" t="n"/>
      <c r="L499" s="59" t="n"/>
      <c r="M499" s="59" t="n"/>
      <c r="N499" s="59" t="n"/>
      <c r="O499" s="59" t="n"/>
      <c r="P499" s="59" t="n"/>
      <c r="Q499" s="59" t="n"/>
      <c r="R499" s="59" t="n"/>
      <c r="S499" s="59" t="n"/>
      <c r="T499" s="59" t="n"/>
      <c r="U499" s="59" t="n"/>
      <c r="V499" s="59" t="n"/>
      <c r="W499" s="59" t="n"/>
      <c r="X499" s="59" t="n"/>
      <c r="Y499" s="59" t="n"/>
      <c r="Z499" s="59" t="n"/>
      <c r="AA499" s="59" t="n"/>
      <c r="AB499" s="59" t="n"/>
      <c r="AC499" s="59" t="n"/>
      <c r="AD499" s="59" t="n"/>
    </row>
    <row r="500">
      <c r="A500" s="59" t="n"/>
      <c r="B500" s="59" t="n"/>
      <c r="C500" s="59" t="n"/>
      <c r="D500" s="59" t="n"/>
      <c r="E500" s="59" t="n"/>
      <c r="F500" s="59" t="n"/>
      <c r="G500" s="60" t="n"/>
      <c r="H500" s="59" t="n"/>
      <c r="I500" s="59" t="n"/>
      <c r="J500" s="59" t="n"/>
      <c r="K500" s="59" t="n"/>
      <c r="L500" s="59" t="n"/>
      <c r="M500" s="59" t="n"/>
      <c r="N500" s="59" t="n"/>
      <c r="O500" s="59" t="n"/>
      <c r="P500" s="59" t="n"/>
      <c r="Q500" s="59" t="n"/>
      <c r="R500" s="59" t="n"/>
      <c r="S500" s="59" t="n"/>
      <c r="T500" s="59" t="n"/>
      <c r="U500" s="59" t="n"/>
      <c r="V500" s="59" t="n"/>
      <c r="W500" s="59" t="n"/>
      <c r="X500" s="59" t="n"/>
      <c r="Y500" s="59" t="n"/>
      <c r="Z500" s="59" t="n"/>
      <c r="AA500" s="59" t="n"/>
      <c r="AB500" s="59" t="n"/>
      <c r="AC500" s="59" t="n"/>
      <c r="AD500" s="59" t="n"/>
    </row>
    <row r="501">
      <c r="A501" s="59" t="n"/>
      <c r="B501" s="59" t="n"/>
      <c r="C501" s="59" t="n"/>
      <c r="D501" s="59" t="n"/>
      <c r="E501" s="59" t="n"/>
      <c r="F501" s="59" t="n"/>
      <c r="G501" s="60" t="n"/>
      <c r="H501" s="59" t="n"/>
      <c r="I501" s="59" t="n"/>
      <c r="J501" s="59" t="n"/>
      <c r="K501" s="59" t="n"/>
      <c r="L501" s="59" t="n"/>
      <c r="M501" s="59" t="n"/>
      <c r="N501" s="59" t="n"/>
      <c r="O501" s="59" t="n"/>
      <c r="P501" s="59" t="n"/>
      <c r="Q501" s="59" t="n"/>
      <c r="R501" s="59" t="n"/>
      <c r="S501" s="59" t="n"/>
      <c r="T501" s="59" t="n"/>
      <c r="U501" s="59" t="n"/>
      <c r="V501" s="59" t="n"/>
      <c r="W501" s="59" t="n"/>
      <c r="X501" s="59" t="n"/>
      <c r="Y501" s="59" t="n"/>
      <c r="Z501" s="59" t="n"/>
      <c r="AA501" s="59" t="n"/>
      <c r="AB501" s="59" t="n"/>
      <c r="AC501" s="59" t="n"/>
      <c r="AD501" s="59" t="n"/>
    </row>
    <row r="502">
      <c r="A502" s="59" t="n"/>
      <c r="B502" s="59" t="n"/>
      <c r="C502" s="59" t="n"/>
      <c r="D502" s="59" t="n"/>
      <c r="E502" s="59" t="n"/>
      <c r="F502" s="59" t="n"/>
      <c r="G502" s="60" t="n"/>
      <c r="H502" s="59" t="n"/>
      <c r="I502" s="59" t="n"/>
      <c r="J502" s="59" t="n"/>
      <c r="K502" s="59" t="n"/>
      <c r="L502" s="59" t="n"/>
      <c r="M502" s="59" t="n"/>
      <c r="N502" s="59" t="n"/>
      <c r="O502" s="59" t="n"/>
      <c r="P502" s="59" t="n"/>
      <c r="Q502" s="59" t="n"/>
      <c r="R502" s="59" t="n"/>
      <c r="S502" s="59" t="n"/>
      <c r="T502" s="59" t="n"/>
      <c r="U502" s="59" t="n"/>
      <c r="V502" s="59" t="n"/>
      <c r="W502" s="59" t="n"/>
      <c r="X502" s="59" t="n"/>
      <c r="Y502" s="59" t="n"/>
      <c r="Z502" s="59" t="n"/>
      <c r="AA502" s="59" t="n"/>
      <c r="AB502" s="59" t="n"/>
      <c r="AC502" s="59" t="n"/>
      <c r="AD502" s="59" t="n"/>
    </row>
    <row r="503">
      <c r="A503" s="59" t="n"/>
      <c r="B503" s="59" t="n"/>
      <c r="C503" s="59" t="n"/>
      <c r="D503" s="59" t="n"/>
      <c r="E503" s="59" t="n"/>
      <c r="F503" s="59" t="n"/>
      <c r="G503" s="60" t="n"/>
      <c r="H503" s="59" t="n"/>
      <c r="I503" s="59" t="n"/>
      <c r="J503" s="59" t="n"/>
      <c r="K503" s="59" t="n"/>
      <c r="L503" s="59" t="n"/>
      <c r="M503" s="59" t="n"/>
      <c r="N503" s="59" t="n"/>
      <c r="O503" s="59" t="n"/>
      <c r="P503" s="59" t="n"/>
      <c r="Q503" s="59" t="n"/>
      <c r="R503" s="59" t="n"/>
      <c r="S503" s="59" t="n"/>
      <c r="T503" s="59" t="n"/>
      <c r="U503" s="59" t="n"/>
      <c r="V503" s="59" t="n"/>
      <c r="W503" s="59" t="n"/>
      <c r="X503" s="59" t="n"/>
      <c r="Y503" s="59" t="n"/>
      <c r="Z503" s="59" t="n"/>
      <c r="AA503" s="59" t="n"/>
      <c r="AB503" s="59" t="n"/>
      <c r="AC503" s="59" t="n"/>
      <c r="AD503" s="59" t="n"/>
    </row>
    <row r="504">
      <c r="A504" s="59" t="n"/>
      <c r="B504" s="59" t="n"/>
      <c r="C504" s="59" t="n"/>
      <c r="D504" s="59" t="n"/>
      <c r="E504" s="59" t="n"/>
      <c r="F504" s="59" t="n"/>
      <c r="G504" s="60" t="n"/>
      <c r="H504" s="59" t="n"/>
      <c r="I504" s="59" t="n"/>
      <c r="J504" s="59" t="n"/>
      <c r="K504" s="59" t="n"/>
      <c r="L504" s="59" t="n"/>
      <c r="M504" s="59" t="n"/>
      <c r="N504" s="59" t="n"/>
      <c r="O504" s="59" t="n"/>
      <c r="P504" s="59" t="n"/>
      <c r="Q504" s="59" t="n"/>
      <c r="R504" s="59" t="n"/>
      <c r="S504" s="59" t="n"/>
      <c r="T504" s="59" t="n"/>
      <c r="U504" s="59" t="n"/>
      <c r="V504" s="59" t="n"/>
      <c r="W504" s="59" t="n"/>
      <c r="X504" s="59" t="n"/>
      <c r="Y504" s="59" t="n"/>
      <c r="Z504" s="59" t="n"/>
      <c r="AA504" s="59" t="n"/>
      <c r="AB504" s="59" t="n"/>
      <c r="AC504" s="59" t="n"/>
      <c r="AD504" s="59" t="n"/>
    </row>
    <row r="505">
      <c r="A505" s="59" t="n"/>
      <c r="B505" s="59" t="n"/>
      <c r="C505" s="59" t="n"/>
      <c r="D505" s="59" t="n"/>
      <c r="E505" s="59" t="n"/>
      <c r="F505" s="59" t="n"/>
      <c r="G505" s="60" t="n"/>
      <c r="H505" s="59" t="n"/>
      <c r="I505" s="59" t="n"/>
      <c r="J505" s="59" t="n"/>
      <c r="K505" s="59" t="n"/>
      <c r="L505" s="59" t="n"/>
      <c r="M505" s="59" t="n"/>
      <c r="N505" s="59" t="n"/>
      <c r="O505" s="59" t="n"/>
      <c r="P505" s="59" t="n"/>
      <c r="Q505" s="59" t="n"/>
      <c r="R505" s="59" t="n"/>
      <c r="S505" s="59" t="n"/>
      <c r="T505" s="59" t="n"/>
      <c r="U505" s="59" t="n"/>
      <c r="V505" s="59" t="n"/>
      <c r="W505" s="59" t="n"/>
      <c r="X505" s="59" t="n"/>
      <c r="Y505" s="59" t="n"/>
      <c r="Z505" s="59" t="n"/>
      <c r="AA505" s="59" t="n"/>
      <c r="AB505" s="59" t="n"/>
      <c r="AC505" s="59" t="n"/>
      <c r="AD505" s="59" t="n"/>
    </row>
    <row r="506">
      <c r="A506" s="59" t="n"/>
      <c r="B506" s="59" t="n"/>
      <c r="C506" s="59" t="n"/>
      <c r="D506" s="59" t="n"/>
      <c r="E506" s="59" t="n"/>
      <c r="F506" s="59" t="n"/>
      <c r="G506" s="60" t="n"/>
      <c r="H506" s="59" t="n"/>
      <c r="I506" s="59" t="n"/>
      <c r="J506" s="59" t="n"/>
      <c r="K506" s="59" t="n"/>
      <c r="L506" s="59" t="n"/>
      <c r="M506" s="59" t="n"/>
      <c r="N506" s="59" t="n"/>
      <c r="O506" s="59" t="n"/>
      <c r="P506" s="59" t="n"/>
      <c r="Q506" s="59" t="n"/>
      <c r="R506" s="59" t="n"/>
      <c r="S506" s="59" t="n"/>
      <c r="T506" s="59" t="n"/>
      <c r="U506" s="59" t="n"/>
      <c r="V506" s="59" t="n"/>
      <c r="W506" s="59" t="n"/>
      <c r="X506" s="59" t="n"/>
      <c r="Y506" s="59" t="n"/>
      <c r="Z506" s="59" t="n"/>
      <c r="AA506" s="59" t="n"/>
      <c r="AB506" s="59" t="n"/>
      <c r="AC506" s="59" t="n"/>
      <c r="AD506" s="59" t="n"/>
    </row>
    <row r="507">
      <c r="A507" s="59" t="n"/>
      <c r="B507" s="59" t="n"/>
      <c r="C507" s="59" t="n"/>
      <c r="D507" s="59" t="n"/>
      <c r="E507" s="59" t="n"/>
      <c r="F507" s="59" t="n"/>
      <c r="G507" s="60" t="n"/>
      <c r="H507" s="59" t="n"/>
      <c r="I507" s="59" t="n"/>
      <c r="J507" s="59" t="n"/>
      <c r="K507" s="59" t="n"/>
      <c r="L507" s="59" t="n"/>
      <c r="M507" s="59" t="n"/>
      <c r="N507" s="59" t="n"/>
      <c r="O507" s="59" t="n"/>
      <c r="P507" s="59" t="n"/>
      <c r="Q507" s="59" t="n"/>
      <c r="R507" s="59" t="n"/>
      <c r="S507" s="59" t="n"/>
      <c r="T507" s="59" t="n"/>
      <c r="U507" s="59" t="n"/>
      <c r="V507" s="59" t="n"/>
      <c r="W507" s="59" t="n"/>
      <c r="X507" s="59" t="n"/>
      <c r="Y507" s="59" t="n"/>
      <c r="Z507" s="59" t="n"/>
      <c r="AA507" s="59" t="n"/>
      <c r="AB507" s="59" t="n"/>
      <c r="AC507" s="59" t="n"/>
      <c r="AD507" s="59" t="n"/>
    </row>
    <row r="508">
      <c r="A508" s="59" t="n"/>
      <c r="B508" s="59" t="n"/>
      <c r="C508" s="59" t="n"/>
      <c r="D508" s="59" t="n"/>
      <c r="E508" s="59" t="n"/>
      <c r="F508" s="59" t="n"/>
      <c r="G508" s="60" t="n"/>
      <c r="H508" s="59" t="n"/>
      <c r="I508" s="59" t="n"/>
      <c r="J508" s="59" t="n"/>
      <c r="K508" s="59" t="n"/>
      <c r="L508" s="59" t="n"/>
      <c r="M508" s="59" t="n"/>
      <c r="N508" s="59" t="n"/>
      <c r="O508" s="59" t="n"/>
      <c r="P508" s="59" t="n"/>
      <c r="Q508" s="59" t="n"/>
      <c r="R508" s="59" t="n"/>
      <c r="S508" s="59" t="n"/>
      <c r="T508" s="59" t="n"/>
      <c r="U508" s="59" t="n"/>
      <c r="V508" s="59" t="n"/>
      <c r="W508" s="59" t="n"/>
      <c r="X508" s="59" t="n"/>
      <c r="Y508" s="59" t="n"/>
      <c r="Z508" s="59" t="n"/>
      <c r="AA508" s="59" t="n"/>
      <c r="AB508" s="59" t="n"/>
      <c r="AC508" s="59" t="n"/>
      <c r="AD508" s="59" t="n"/>
    </row>
    <row r="509">
      <c r="A509" s="59" t="n"/>
      <c r="B509" s="59" t="n"/>
      <c r="C509" s="59" t="n"/>
      <c r="D509" s="59" t="n"/>
      <c r="E509" s="59" t="n"/>
      <c r="F509" s="59" t="n"/>
      <c r="G509" s="60" t="n"/>
      <c r="H509" s="59" t="n"/>
      <c r="I509" s="59" t="n"/>
      <c r="J509" s="59" t="n"/>
      <c r="K509" s="59" t="n"/>
      <c r="L509" s="59" t="n"/>
      <c r="M509" s="59" t="n"/>
      <c r="N509" s="59" t="n"/>
      <c r="O509" s="59" t="n"/>
      <c r="P509" s="59" t="n"/>
      <c r="Q509" s="59" t="n"/>
      <c r="R509" s="59" t="n"/>
      <c r="S509" s="59" t="n"/>
      <c r="T509" s="59" t="n"/>
      <c r="U509" s="59" t="n"/>
      <c r="V509" s="59" t="n"/>
      <c r="W509" s="59" t="n"/>
      <c r="X509" s="59" t="n"/>
      <c r="Y509" s="59" t="n"/>
      <c r="Z509" s="59" t="n"/>
      <c r="AA509" s="59" t="n"/>
      <c r="AB509" s="59" t="n"/>
      <c r="AC509" s="59" t="n"/>
      <c r="AD509" s="59" t="n"/>
    </row>
    <row r="510">
      <c r="A510" s="59" t="n"/>
      <c r="B510" s="59" t="n"/>
      <c r="C510" s="59" t="n"/>
      <c r="D510" s="59" t="n"/>
      <c r="E510" s="59" t="n"/>
      <c r="F510" s="59" t="n"/>
      <c r="G510" s="60" t="n"/>
      <c r="H510" s="59" t="n"/>
      <c r="I510" s="59" t="n"/>
      <c r="J510" s="59" t="n"/>
      <c r="K510" s="59" t="n"/>
      <c r="L510" s="59" t="n"/>
      <c r="M510" s="59" t="n"/>
      <c r="N510" s="59" t="n"/>
      <c r="O510" s="59" t="n"/>
      <c r="P510" s="59" t="n"/>
      <c r="Q510" s="59" t="n"/>
      <c r="R510" s="59" t="n"/>
      <c r="S510" s="59" t="n"/>
      <c r="T510" s="59" t="n"/>
      <c r="U510" s="59" t="n"/>
      <c r="V510" s="59" t="n"/>
      <c r="W510" s="59" t="n"/>
      <c r="X510" s="59" t="n"/>
      <c r="Y510" s="59" t="n"/>
      <c r="Z510" s="59" t="n"/>
      <c r="AA510" s="59" t="n"/>
      <c r="AB510" s="59" t="n"/>
      <c r="AC510" s="59" t="n"/>
      <c r="AD510" s="59" t="n"/>
    </row>
    <row r="511">
      <c r="A511" s="59" t="n"/>
      <c r="B511" s="59" t="n"/>
      <c r="C511" s="59" t="n"/>
      <c r="D511" s="59" t="n"/>
      <c r="E511" s="59" t="n"/>
      <c r="F511" s="59" t="n"/>
      <c r="G511" s="60" t="n"/>
      <c r="H511" s="59" t="n"/>
      <c r="I511" s="59" t="n"/>
      <c r="J511" s="59" t="n"/>
      <c r="K511" s="59" t="n"/>
      <c r="L511" s="59" t="n"/>
      <c r="M511" s="59" t="n"/>
      <c r="N511" s="59" t="n"/>
      <c r="O511" s="59" t="n"/>
      <c r="P511" s="59" t="n"/>
      <c r="Q511" s="59" t="n"/>
      <c r="R511" s="59" t="n"/>
      <c r="S511" s="59" t="n"/>
      <c r="T511" s="59" t="n"/>
      <c r="U511" s="59" t="n"/>
      <c r="V511" s="59" t="n"/>
      <c r="W511" s="59" t="n"/>
      <c r="X511" s="59" t="n"/>
      <c r="Y511" s="59" t="n"/>
      <c r="Z511" s="59" t="n"/>
      <c r="AA511" s="59" t="n"/>
      <c r="AB511" s="59" t="n"/>
      <c r="AC511" s="59" t="n"/>
      <c r="AD511" s="59" t="n"/>
    </row>
    <row r="512">
      <c r="A512" s="59" t="n"/>
      <c r="B512" s="59" t="n"/>
      <c r="C512" s="59" t="n"/>
      <c r="D512" s="59" t="n"/>
      <c r="E512" s="59" t="n"/>
      <c r="F512" s="59" t="n"/>
      <c r="G512" s="60" t="n"/>
      <c r="H512" s="59" t="n"/>
      <c r="I512" s="59" t="n"/>
      <c r="J512" s="59" t="n"/>
      <c r="K512" s="59" t="n"/>
      <c r="L512" s="59" t="n"/>
      <c r="M512" s="59" t="n"/>
      <c r="N512" s="59" t="n"/>
      <c r="O512" s="59" t="n"/>
      <c r="P512" s="59" t="n"/>
      <c r="Q512" s="59" t="n"/>
      <c r="R512" s="59" t="n"/>
      <c r="S512" s="59" t="n"/>
      <c r="T512" s="59" t="n"/>
      <c r="U512" s="59" t="n"/>
      <c r="V512" s="59" t="n"/>
      <c r="W512" s="59" t="n"/>
      <c r="X512" s="59" t="n"/>
      <c r="Y512" s="59" t="n"/>
      <c r="Z512" s="59" t="n"/>
      <c r="AA512" s="59" t="n"/>
      <c r="AB512" s="59" t="n"/>
      <c r="AC512" s="59" t="n"/>
      <c r="AD512" s="59" t="n"/>
    </row>
    <row r="513">
      <c r="A513" s="59" t="n"/>
      <c r="B513" s="59" t="n"/>
      <c r="C513" s="59" t="n"/>
      <c r="D513" s="59" t="n"/>
      <c r="E513" s="59" t="n"/>
      <c r="F513" s="59" t="n"/>
      <c r="G513" s="60" t="n"/>
      <c r="H513" s="59" t="n"/>
      <c r="I513" s="59" t="n"/>
      <c r="J513" s="59" t="n"/>
      <c r="K513" s="59" t="n"/>
      <c r="L513" s="59" t="n"/>
      <c r="M513" s="59" t="n"/>
      <c r="N513" s="59" t="n"/>
      <c r="O513" s="59" t="n"/>
      <c r="P513" s="59" t="n"/>
      <c r="Q513" s="59" t="n"/>
      <c r="R513" s="59" t="n"/>
      <c r="S513" s="59" t="n"/>
      <c r="T513" s="59" t="n"/>
      <c r="U513" s="59" t="n"/>
      <c r="V513" s="59" t="n"/>
      <c r="W513" s="59" t="n"/>
      <c r="X513" s="59" t="n"/>
      <c r="Y513" s="59" t="n"/>
      <c r="Z513" s="59" t="n"/>
      <c r="AA513" s="59" t="n"/>
      <c r="AB513" s="59" t="n"/>
      <c r="AC513" s="59" t="n"/>
      <c r="AD513" s="59" t="n"/>
    </row>
    <row r="514">
      <c r="A514" s="59" t="n"/>
      <c r="B514" s="59" t="n"/>
      <c r="C514" s="59" t="n"/>
      <c r="D514" s="59" t="n"/>
      <c r="E514" s="59" t="n"/>
      <c r="F514" s="59" t="n"/>
      <c r="G514" s="60" t="n"/>
      <c r="H514" s="59" t="n"/>
      <c r="I514" s="59" t="n"/>
      <c r="J514" s="59" t="n"/>
      <c r="K514" s="59" t="n"/>
      <c r="L514" s="59" t="n"/>
      <c r="M514" s="59" t="n"/>
      <c r="N514" s="59" t="n"/>
      <c r="O514" s="59" t="n"/>
      <c r="P514" s="59" t="n"/>
      <c r="Q514" s="59" t="n"/>
      <c r="R514" s="59" t="n"/>
      <c r="S514" s="59" t="n"/>
      <c r="T514" s="59" t="n"/>
      <c r="U514" s="59" t="n"/>
      <c r="V514" s="59" t="n"/>
      <c r="W514" s="59" t="n"/>
      <c r="X514" s="59" t="n"/>
      <c r="Y514" s="59" t="n"/>
      <c r="Z514" s="59" t="n"/>
      <c r="AA514" s="59" t="n"/>
      <c r="AB514" s="59" t="n"/>
      <c r="AC514" s="59" t="n"/>
      <c r="AD514" s="59" t="n"/>
    </row>
    <row r="515">
      <c r="A515" s="59" t="n"/>
      <c r="B515" s="59" t="n"/>
      <c r="C515" s="59" t="n"/>
      <c r="D515" s="59" t="n"/>
      <c r="E515" s="59" t="n"/>
      <c r="F515" s="59" t="n"/>
      <c r="G515" s="60" t="n"/>
      <c r="H515" s="59" t="n"/>
      <c r="I515" s="59" t="n"/>
      <c r="J515" s="59" t="n"/>
      <c r="K515" s="59" t="n"/>
      <c r="L515" s="59" t="n"/>
      <c r="M515" s="59" t="n"/>
      <c r="N515" s="59" t="n"/>
      <c r="O515" s="59" t="n"/>
      <c r="P515" s="59" t="n"/>
      <c r="Q515" s="59" t="n"/>
      <c r="R515" s="59" t="n"/>
      <c r="S515" s="59" t="n"/>
      <c r="T515" s="59" t="n"/>
      <c r="U515" s="59" t="n"/>
      <c r="V515" s="59" t="n"/>
      <c r="W515" s="59" t="n"/>
      <c r="X515" s="59" t="n"/>
      <c r="Y515" s="59" t="n"/>
      <c r="Z515" s="59" t="n"/>
      <c r="AA515" s="59" t="n"/>
      <c r="AB515" s="59" t="n"/>
      <c r="AC515" s="59" t="n"/>
      <c r="AD515" s="59" t="n"/>
    </row>
    <row r="516">
      <c r="A516" s="59" t="n"/>
      <c r="B516" s="59" t="n"/>
      <c r="C516" s="59" t="n"/>
      <c r="D516" s="59" t="n"/>
      <c r="E516" s="59" t="n"/>
      <c r="F516" s="59" t="n"/>
      <c r="G516" s="60" t="n"/>
      <c r="H516" s="59" t="n"/>
      <c r="I516" s="59" t="n"/>
      <c r="J516" s="59" t="n"/>
      <c r="K516" s="59" t="n"/>
      <c r="L516" s="59" t="n"/>
      <c r="M516" s="59" t="n"/>
      <c r="N516" s="59" t="n"/>
      <c r="O516" s="59" t="n"/>
      <c r="P516" s="59" t="n"/>
      <c r="Q516" s="59" t="n"/>
      <c r="R516" s="59" t="n"/>
      <c r="S516" s="59" t="n"/>
      <c r="T516" s="59" t="n"/>
      <c r="U516" s="59" t="n"/>
      <c r="V516" s="59" t="n"/>
      <c r="W516" s="59" t="n"/>
      <c r="X516" s="59" t="n"/>
      <c r="Y516" s="59" t="n"/>
      <c r="Z516" s="59" t="n"/>
      <c r="AA516" s="59" t="n"/>
      <c r="AB516" s="59" t="n"/>
      <c r="AC516" s="59" t="n"/>
      <c r="AD516" s="59" t="n"/>
    </row>
    <row r="517">
      <c r="A517" s="59" t="n"/>
      <c r="B517" s="59" t="n"/>
      <c r="C517" s="59" t="n"/>
      <c r="D517" s="59" t="n"/>
      <c r="E517" s="59" t="n"/>
      <c r="F517" s="59" t="n"/>
      <c r="G517" s="60" t="n"/>
      <c r="H517" s="59" t="n"/>
      <c r="I517" s="59" t="n"/>
      <c r="J517" s="59" t="n"/>
      <c r="K517" s="59" t="n"/>
      <c r="L517" s="59" t="n"/>
      <c r="M517" s="59" t="n"/>
      <c r="N517" s="59" t="n"/>
      <c r="O517" s="59" t="n"/>
      <c r="P517" s="59" t="n"/>
      <c r="Q517" s="59" t="n"/>
      <c r="R517" s="59" t="n"/>
      <c r="S517" s="59" t="n"/>
      <c r="T517" s="59" t="n"/>
      <c r="U517" s="59" t="n"/>
      <c r="V517" s="59" t="n"/>
      <c r="W517" s="59" t="n"/>
      <c r="X517" s="59" t="n"/>
      <c r="Y517" s="59" t="n"/>
      <c r="Z517" s="59" t="n"/>
      <c r="AA517" s="59" t="n"/>
      <c r="AB517" s="59" t="n"/>
      <c r="AC517" s="59" t="n"/>
      <c r="AD517" s="59" t="n"/>
    </row>
    <row r="518">
      <c r="A518" s="59" t="n"/>
      <c r="B518" s="59" t="n"/>
      <c r="C518" s="59" t="n"/>
      <c r="D518" s="59" t="n"/>
      <c r="E518" s="59" t="n"/>
      <c r="F518" s="59" t="n"/>
      <c r="G518" s="60" t="n"/>
      <c r="H518" s="59" t="n"/>
      <c r="I518" s="59" t="n"/>
      <c r="J518" s="59" t="n"/>
      <c r="K518" s="59" t="n"/>
      <c r="L518" s="59" t="n"/>
      <c r="M518" s="59" t="n"/>
      <c r="N518" s="59" t="n"/>
      <c r="O518" s="59" t="n"/>
      <c r="P518" s="59" t="n"/>
      <c r="Q518" s="59" t="n"/>
      <c r="R518" s="59" t="n"/>
      <c r="S518" s="59" t="n"/>
      <c r="T518" s="59" t="n"/>
      <c r="U518" s="59" t="n"/>
      <c r="V518" s="59" t="n"/>
      <c r="W518" s="59" t="n"/>
      <c r="X518" s="59" t="n"/>
      <c r="Y518" s="59" t="n"/>
      <c r="Z518" s="59" t="n"/>
      <c r="AA518" s="59" t="n"/>
      <c r="AB518" s="59" t="n"/>
      <c r="AC518" s="59" t="n"/>
      <c r="AD518" s="59" t="n"/>
    </row>
    <row r="519">
      <c r="A519" s="59" t="n"/>
      <c r="B519" s="59" t="n"/>
      <c r="C519" s="59" t="n"/>
      <c r="D519" s="59" t="n"/>
      <c r="E519" s="59" t="n"/>
      <c r="F519" s="59" t="n"/>
      <c r="G519" s="60" t="n"/>
      <c r="H519" s="59" t="n"/>
      <c r="I519" s="59" t="n"/>
      <c r="J519" s="59" t="n"/>
      <c r="K519" s="59" t="n"/>
      <c r="L519" s="59" t="n"/>
      <c r="M519" s="59" t="n"/>
      <c r="N519" s="59" t="n"/>
      <c r="O519" s="59" t="n"/>
      <c r="P519" s="59" t="n"/>
      <c r="Q519" s="59" t="n"/>
      <c r="R519" s="59" t="n"/>
      <c r="S519" s="59" t="n"/>
      <c r="T519" s="59" t="n"/>
      <c r="U519" s="59" t="n"/>
      <c r="V519" s="59" t="n"/>
      <c r="W519" s="59" t="n"/>
      <c r="X519" s="59" t="n"/>
      <c r="Y519" s="59" t="n"/>
      <c r="Z519" s="59" t="n"/>
      <c r="AA519" s="59" t="n"/>
      <c r="AB519" s="59" t="n"/>
      <c r="AC519" s="59" t="n"/>
      <c r="AD519" s="59" t="n"/>
    </row>
    <row r="520">
      <c r="A520" s="59" t="n"/>
      <c r="B520" s="59" t="n"/>
      <c r="C520" s="59" t="n"/>
      <c r="D520" s="59" t="n"/>
      <c r="E520" s="59" t="n"/>
      <c r="F520" s="59" t="n"/>
      <c r="G520" s="60" t="n"/>
      <c r="H520" s="59" t="n"/>
      <c r="I520" s="59" t="n"/>
      <c r="J520" s="59" t="n"/>
      <c r="K520" s="59" t="n"/>
      <c r="L520" s="59" t="n"/>
      <c r="M520" s="59" t="n"/>
      <c r="N520" s="59" t="n"/>
      <c r="O520" s="59" t="n"/>
      <c r="P520" s="59" t="n"/>
      <c r="Q520" s="59" t="n"/>
      <c r="R520" s="59" t="n"/>
      <c r="S520" s="59" t="n"/>
      <c r="T520" s="59" t="n"/>
      <c r="U520" s="59" t="n"/>
      <c r="V520" s="59" t="n"/>
      <c r="W520" s="59" t="n"/>
      <c r="X520" s="59" t="n"/>
      <c r="Y520" s="59" t="n"/>
      <c r="Z520" s="59" t="n"/>
      <c r="AA520" s="59" t="n"/>
      <c r="AB520" s="59" t="n"/>
      <c r="AC520" s="59" t="n"/>
      <c r="AD520" s="59" t="n"/>
    </row>
    <row r="521">
      <c r="A521" s="59" t="n"/>
      <c r="B521" s="59" t="n"/>
      <c r="C521" s="59" t="n"/>
      <c r="D521" s="59" t="n"/>
      <c r="E521" s="59" t="n"/>
      <c r="F521" s="59" t="n"/>
      <c r="G521" s="60" t="n"/>
      <c r="H521" s="59" t="n"/>
      <c r="I521" s="59" t="n"/>
      <c r="J521" s="59" t="n"/>
      <c r="K521" s="59" t="n"/>
      <c r="L521" s="59" t="n"/>
      <c r="M521" s="59" t="n"/>
      <c r="N521" s="59" t="n"/>
      <c r="O521" s="59" t="n"/>
      <c r="P521" s="59" t="n"/>
      <c r="Q521" s="59" t="n"/>
      <c r="R521" s="59" t="n"/>
      <c r="S521" s="59" t="n"/>
      <c r="T521" s="59" t="n"/>
      <c r="U521" s="59" t="n"/>
      <c r="V521" s="59" t="n"/>
      <c r="W521" s="59" t="n"/>
      <c r="X521" s="59" t="n"/>
      <c r="Y521" s="59" t="n"/>
      <c r="Z521" s="59" t="n"/>
      <c r="AA521" s="59" t="n"/>
      <c r="AB521" s="59" t="n"/>
      <c r="AC521" s="59" t="n"/>
      <c r="AD521" s="59" t="n"/>
    </row>
    <row r="522">
      <c r="A522" s="59" t="n"/>
      <c r="B522" s="59" t="n"/>
      <c r="C522" s="59" t="n"/>
      <c r="D522" s="59" t="n"/>
      <c r="E522" s="59" t="n"/>
      <c r="F522" s="59" t="n"/>
      <c r="G522" s="60" t="n"/>
      <c r="H522" s="59" t="n"/>
      <c r="I522" s="59" t="n"/>
      <c r="J522" s="59" t="n"/>
      <c r="K522" s="59" t="n"/>
      <c r="L522" s="59" t="n"/>
      <c r="M522" s="59" t="n"/>
      <c r="N522" s="59" t="n"/>
      <c r="O522" s="59" t="n"/>
      <c r="P522" s="59" t="n"/>
      <c r="Q522" s="59" t="n"/>
      <c r="R522" s="59" t="n"/>
      <c r="S522" s="59" t="n"/>
      <c r="T522" s="59" t="n"/>
      <c r="U522" s="59" t="n"/>
      <c r="V522" s="59" t="n"/>
      <c r="W522" s="59" t="n"/>
      <c r="X522" s="59" t="n"/>
      <c r="Y522" s="59" t="n"/>
      <c r="Z522" s="59" t="n"/>
      <c r="AA522" s="59" t="n"/>
      <c r="AB522" s="59" t="n"/>
      <c r="AC522" s="59" t="n"/>
      <c r="AD522" s="59" t="n"/>
    </row>
    <row r="523">
      <c r="A523" s="59" t="n"/>
      <c r="B523" s="59" t="n"/>
      <c r="C523" s="59" t="n"/>
      <c r="D523" s="59" t="n"/>
      <c r="E523" s="59" t="n"/>
      <c r="F523" s="59" t="n"/>
      <c r="G523" s="60" t="n"/>
      <c r="H523" s="59" t="n"/>
      <c r="I523" s="59" t="n"/>
      <c r="J523" s="59" t="n"/>
      <c r="K523" s="59" t="n"/>
      <c r="L523" s="59" t="n"/>
      <c r="M523" s="59" t="n"/>
      <c r="N523" s="59" t="n"/>
      <c r="O523" s="59" t="n"/>
      <c r="P523" s="59" t="n"/>
      <c r="Q523" s="59" t="n"/>
      <c r="R523" s="59" t="n"/>
      <c r="S523" s="59" t="n"/>
      <c r="T523" s="59" t="n"/>
      <c r="U523" s="59" t="n"/>
      <c r="V523" s="59" t="n"/>
      <c r="W523" s="59" t="n"/>
      <c r="X523" s="59" t="n"/>
      <c r="Y523" s="59" t="n"/>
      <c r="Z523" s="59" t="n"/>
      <c r="AA523" s="59" t="n"/>
      <c r="AB523" s="59" t="n"/>
      <c r="AC523" s="59" t="n"/>
      <c r="AD523" s="59" t="n"/>
    </row>
    <row r="524">
      <c r="A524" s="59" t="n"/>
      <c r="B524" s="59" t="n"/>
      <c r="C524" s="59" t="n"/>
      <c r="D524" s="59" t="n"/>
      <c r="E524" s="59" t="n"/>
      <c r="F524" s="59" t="n"/>
      <c r="G524" s="60" t="n"/>
      <c r="H524" s="59" t="n"/>
      <c r="I524" s="59" t="n"/>
      <c r="J524" s="59" t="n"/>
      <c r="K524" s="59" t="n"/>
      <c r="L524" s="59" t="n"/>
      <c r="M524" s="59" t="n"/>
      <c r="N524" s="59" t="n"/>
      <c r="O524" s="59" t="n"/>
      <c r="P524" s="59" t="n"/>
      <c r="Q524" s="59" t="n"/>
      <c r="R524" s="59" t="n"/>
      <c r="S524" s="59" t="n"/>
      <c r="T524" s="59" t="n"/>
      <c r="U524" s="59" t="n"/>
      <c r="V524" s="59" t="n"/>
      <c r="W524" s="59" t="n"/>
      <c r="X524" s="59" t="n"/>
      <c r="Y524" s="59" t="n"/>
      <c r="Z524" s="59" t="n"/>
      <c r="AA524" s="59" t="n"/>
      <c r="AB524" s="59" t="n"/>
      <c r="AC524" s="59" t="n"/>
      <c r="AD524" s="59" t="n"/>
    </row>
    <row r="525">
      <c r="A525" s="59" t="n"/>
      <c r="B525" s="59" t="n"/>
      <c r="C525" s="59" t="n"/>
      <c r="D525" s="59" t="n"/>
      <c r="E525" s="59" t="n"/>
      <c r="F525" s="59" t="n"/>
      <c r="G525" s="60" t="n"/>
      <c r="H525" s="59" t="n"/>
      <c r="I525" s="59" t="n"/>
      <c r="J525" s="59" t="n"/>
      <c r="K525" s="59" t="n"/>
      <c r="L525" s="59" t="n"/>
      <c r="M525" s="59" t="n"/>
      <c r="N525" s="59" t="n"/>
      <c r="O525" s="59" t="n"/>
      <c r="P525" s="59" t="n"/>
      <c r="Q525" s="59" t="n"/>
      <c r="R525" s="59" t="n"/>
      <c r="S525" s="59" t="n"/>
      <c r="T525" s="59" t="n"/>
      <c r="U525" s="59" t="n"/>
      <c r="V525" s="59" t="n"/>
      <c r="W525" s="59" t="n"/>
      <c r="X525" s="59" t="n"/>
      <c r="Y525" s="59" t="n"/>
      <c r="Z525" s="59" t="n"/>
      <c r="AA525" s="59" t="n"/>
      <c r="AB525" s="59" t="n"/>
      <c r="AC525" s="59" t="n"/>
      <c r="AD525" s="59" t="n"/>
    </row>
    <row r="526">
      <c r="A526" s="59" t="n"/>
      <c r="B526" s="59" t="n"/>
      <c r="C526" s="59" t="n"/>
      <c r="D526" s="59" t="n"/>
      <c r="E526" s="59" t="n"/>
      <c r="F526" s="59" t="n"/>
      <c r="G526" s="60" t="n"/>
      <c r="H526" s="59" t="n"/>
      <c r="I526" s="59" t="n"/>
      <c r="J526" s="59" t="n"/>
      <c r="K526" s="59" t="n"/>
      <c r="L526" s="59" t="n"/>
      <c r="M526" s="59" t="n"/>
      <c r="N526" s="59" t="n"/>
      <c r="O526" s="59" t="n"/>
      <c r="P526" s="59" t="n"/>
      <c r="Q526" s="59" t="n"/>
      <c r="R526" s="59" t="n"/>
      <c r="S526" s="59" t="n"/>
      <c r="T526" s="59" t="n"/>
      <c r="U526" s="59" t="n"/>
      <c r="V526" s="59" t="n"/>
      <c r="W526" s="59" t="n"/>
      <c r="X526" s="59" t="n"/>
      <c r="Y526" s="59" t="n"/>
      <c r="Z526" s="59" t="n"/>
      <c r="AA526" s="59" t="n"/>
      <c r="AB526" s="59" t="n"/>
      <c r="AC526" s="59" t="n"/>
      <c r="AD526" s="59" t="n"/>
    </row>
    <row r="527">
      <c r="A527" s="59" t="n"/>
      <c r="B527" s="59" t="n"/>
      <c r="C527" s="59" t="n"/>
      <c r="D527" s="59" t="n"/>
      <c r="E527" s="59" t="n"/>
      <c r="F527" s="59" t="n"/>
      <c r="G527" s="60" t="n"/>
      <c r="H527" s="59" t="n"/>
      <c r="I527" s="59" t="n"/>
      <c r="J527" s="59" t="n"/>
      <c r="K527" s="59" t="n"/>
      <c r="L527" s="59" t="n"/>
      <c r="M527" s="59" t="n"/>
      <c r="N527" s="59" t="n"/>
      <c r="O527" s="59" t="n"/>
      <c r="P527" s="59" t="n"/>
      <c r="Q527" s="59" t="n"/>
      <c r="R527" s="59" t="n"/>
      <c r="S527" s="59" t="n"/>
      <c r="T527" s="59" t="n"/>
      <c r="U527" s="59" t="n"/>
      <c r="V527" s="59" t="n"/>
      <c r="W527" s="59" t="n"/>
      <c r="X527" s="59" t="n"/>
      <c r="Y527" s="59" t="n"/>
      <c r="Z527" s="59" t="n"/>
      <c r="AA527" s="59" t="n"/>
      <c r="AB527" s="59" t="n"/>
      <c r="AC527" s="59" t="n"/>
      <c r="AD527" s="59" t="n"/>
    </row>
    <row r="528">
      <c r="A528" s="59" t="n"/>
      <c r="B528" s="59" t="n"/>
      <c r="C528" s="59" t="n"/>
      <c r="D528" s="59" t="n"/>
      <c r="E528" s="59" t="n"/>
      <c r="F528" s="59" t="n"/>
      <c r="G528" s="60" t="n"/>
      <c r="H528" s="59" t="n"/>
      <c r="I528" s="59" t="n"/>
      <c r="J528" s="59" t="n"/>
      <c r="K528" s="59" t="n"/>
      <c r="L528" s="59" t="n"/>
      <c r="M528" s="59" t="n"/>
      <c r="N528" s="59" t="n"/>
      <c r="O528" s="59" t="n"/>
      <c r="P528" s="59" t="n"/>
      <c r="Q528" s="59" t="n"/>
      <c r="R528" s="59" t="n"/>
      <c r="S528" s="59" t="n"/>
      <c r="T528" s="59" t="n"/>
      <c r="U528" s="59" t="n"/>
      <c r="V528" s="59" t="n"/>
      <c r="W528" s="59" t="n"/>
      <c r="X528" s="59" t="n"/>
      <c r="Y528" s="59" t="n"/>
      <c r="Z528" s="59" t="n"/>
      <c r="AA528" s="59" t="n"/>
      <c r="AB528" s="59" t="n"/>
      <c r="AC528" s="59" t="n"/>
      <c r="AD528" s="59" t="n"/>
    </row>
    <row r="529">
      <c r="A529" s="59" t="n"/>
      <c r="B529" s="59" t="n"/>
      <c r="C529" s="59" t="n"/>
      <c r="D529" s="59" t="n"/>
      <c r="E529" s="59" t="n"/>
      <c r="F529" s="59" t="n"/>
      <c r="G529" s="60" t="n"/>
      <c r="H529" s="59" t="n"/>
      <c r="I529" s="59" t="n"/>
      <c r="J529" s="59" t="n"/>
      <c r="K529" s="59" t="n"/>
      <c r="L529" s="59" t="n"/>
      <c r="M529" s="59" t="n"/>
      <c r="N529" s="59" t="n"/>
      <c r="O529" s="59" t="n"/>
      <c r="P529" s="59" t="n"/>
      <c r="Q529" s="59" t="n"/>
      <c r="R529" s="59" t="n"/>
      <c r="S529" s="59" t="n"/>
      <c r="T529" s="59" t="n"/>
      <c r="U529" s="59" t="n"/>
      <c r="V529" s="59" t="n"/>
      <c r="W529" s="59" t="n"/>
      <c r="X529" s="59" t="n"/>
      <c r="Y529" s="59" t="n"/>
      <c r="Z529" s="59" t="n"/>
      <c r="AA529" s="59" t="n"/>
      <c r="AB529" s="59" t="n"/>
      <c r="AC529" s="59" t="n"/>
      <c r="AD529" s="59" t="n"/>
    </row>
    <row r="530">
      <c r="A530" s="59" t="n"/>
      <c r="B530" s="59" t="n"/>
      <c r="C530" s="59" t="n"/>
      <c r="D530" s="59" t="n"/>
      <c r="E530" s="59" t="n"/>
      <c r="F530" s="59" t="n"/>
      <c r="G530" s="60" t="n"/>
      <c r="H530" s="59" t="n"/>
      <c r="I530" s="59" t="n"/>
      <c r="J530" s="59" t="n"/>
      <c r="K530" s="59" t="n"/>
      <c r="L530" s="59" t="n"/>
      <c r="M530" s="59" t="n"/>
      <c r="N530" s="59" t="n"/>
      <c r="O530" s="59" t="n"/>
      <c r="P530" s="59" t="n"/>
      <c r="Q530" s="59" t="n"/>
      <c r="R530" s="59" t="n"/>
      <c r="S530" s="59" t="n"/>
      <c r="T530" s="59" t="n"/>
      <c r="U530" s="59" t="n"/>
      <c r="V530" s="59" t="n"/>
      <c r="W530" s="59" t="n"/>
      <c r="X530" s="59" t="n"/>
      <c r="Y530" s="59" t="n"/>
      <c r="Z530" s="59" t="n"/>
      <c r="AA530" s="59" t="n"/>
      <c r="AB530" s="59" t="n"/>
      <c r="AC530" s="59" t="n"/>
      <c r="AD530" s="59" t="n"/>
    </row>
    <row r="531">
      <c r="A531" s="59" t="n"/>
      <c r="B531" s="59" t="n"/>
      <c r="C531" s="59" t="n"/>
      <c r="D531" s="59" t="n"/>
      <c r="E531" s="59" t="n"/>
      <c r="F531" s="59" t="n"/>
      <c r="G531" s="60" t="n"/>
      <c r="H531" s="59" t="n"/>
      <c r="I531" s="59" t="n"/>
      <c r="J531" s="59" t="n"/>
      <c r="K531" s="59" t="n"/>
      <c r="L531" s="59" t="n"/>
      <c r="M531" s="59" t="n"/>
      <c r="N531" s="59" t="n"/>
      <c r="O531" s="59" t="n"/>
      <c r="P531" s="59" t="n"/>
      <c r="Q531" s="59" t="n"/>
      <c r="R531" s="59" t="n"/>
      <c r="S531" s="59" t="n"/>
      <c r="T531" s="59" t="n"/>
      <c r="U531" s="59" t="n"/>
      <c r="V531" s="59" t="n"/>
      <c r="W531" s="59" t="n"/>
      <c r="X531" s="59" t="n"/>
      <c r="Y531" s="59" t="n"/>
      <c r="Z531" s="59" t="n"/>
      <c r="AA531" s="59" t="n"/>
      <c r="AB531" s="59" t="n"/>
      <c r="AC531" s="59" t="n"/>
      <c r="AD531" s="59" t="n"/>
    </row>
    <row r="532">
      <c r="A532" s="59" t="n"/>
      <c r="B532" s="59" t="n"/>
      <c r="C532" s="59" t="n"/>
      <c r="D532" s="59" t="n"/>
      <c r="E532" s="59" t="n"/>
      <c r="F532" s="59" t="n"/>
      <c r="G532" s="60" t="n"/>
      <c r="H532" s="59" t="n"/>
      <c r="I532" s="59" t="n"/>
      <c r="J532" s="59" t="n"/>
      <c r="K532" s="59" t="n"/>
      <c r="L532" s="59" t="n"/>
      <c r="M532" s="59" t="n"/>
      <c r="N532" s="59" t="n"/>
      <c r="O532" s="59" t="n"/>
      <c r="P532" s="59" t="n"/>
      <c r="Q532" s="59" t="n"/>
      <c r="R532" s="59" t="n"/>
      <c r="S532" s="59" t="n"/>
      <c r="T532" s="59" t="n"/>
      <c r="U532" s="59" t="n"/>
      <c r="V532" s="59" t="n"/>
      <c r="W532" s="59" t="n"/>
      <c r="X532" s="59" t="n"/>
      <c r="Y532" s="59" t="n"/>
      <c r="Z532" s="59" t="n"/>
      <c r="AA532" s="59" t="n"/>
      <c r="AB532" s="59" t="n"/>
      <c r="AC532" s="59" t="n"/>
      <c r="AD532" s="59" t="n"/>
    </row>
    <row r="533">
      <c r="A533" s="59" t="n"/>
      <c r="B533" s="59" t="n"/>
      <c r="C533" s="59" t="n"/>
      <c r="D533" s="59" t="n"/>
      <c r="E533" s="59" t="n"/>
      <c r="F533" s="59" t="n"/>
      <c r="G533" s="60" t="n"/>
      <c r="H533" s="59" t="n"/>
      <c r="I533" s="59" t="n"/>
      <c r="J533" s="59" t="n"/>
      <c r="K533" s="59" t="n"/>
      <c r="L533" s="59" t="n"/>
      <c r="M533" s="59" t="n"/>
      <c r="N533" s="59" t="n"/>
      <c r="O533" s="59" t="n"/>
      <c r="P533" s="59" t="n"/>
      <c r="Q533" s="59" t="n"/>
      <c r="R533" s="59" t="n"/>
      <c r="S533" s="59" t="n"/>
      <c r="T533" s="59" t="n"/>
      <c r="U533" s="59" t="n"/>
      <c r="V533" s="59" t="n"/>
      <c r="W533" s="59" t="n"/>
      <c r="X533" s="59" t="n"/>
      <c r="Y533" s="59" t="n"/>
      <c r="Z533" s="59" t="n"/>
      <c r="AA533" s="59" t="n"/>
      <c r="AB533" s="59" t="n"/>
      <c r="AC533" s="59" t="n"/>
      <c r="AD533" s="59" t="n"/>
    </row>
    <row r="534">
      <c r="A534" s="59" t="n"/>
      <c r="B534" s="59" t="n"/>
      <c r="C534" s="59" t="n"/>
      <c r="D534" s="59" t="n"/>
      <c r="E534" s="59" t="n"/>
      <c r="F534" s="59" t="n"/>
      <c r="G534" s="60" t="n"/>
      <c r="H534" s="59" t="n"/>
      <c r="I534" s="59" t="n"/>
      <c r="J534" s="59" t="n"/>
      <c r="K534" s="59" t="n"/>
      <c r="L534" s="59" t="n"/>
      <c r="M534" s="59" t="n"/>
      <c r="N534" s="59" t="n"/>
      <c r="O534" s="59" t="n"/>
      <c r="P534" s="59" t="n"/>
      <c r="Q534" s="59" t="n"/>
      <c r="R534" s="59" t="n"/>
      <c r="S534" s="59" t="n"/>
      <c r="T534" s="59" t="n"/>
      <c r="U534" s="59" t="n"/>
      <c r="V534" s="59" t="n"/>
      <c r="W534" s="59" t="n"/>
      <c r="X534" s="59" t="n"/>
      <c r="Y534" s="59" t="n"/>
      <c r="Z534" s="59" t="n"/>
      <c r="AA534" s="59" t="n"/>
      <c r="AB534" s="59" t="n"/>
      <c r="AC534" s="59" t="n"/>
      <c r="AD534" s="59" t="n"/>
    </row>
    <row r="535">
      <c r="A535" s="59" t="n"/>
      <c r="B535" s="59" t="n"/>
      <c r="C535" s="59" t="n"/>
      <c r="D535" s="59" t="n"/>
      <c r="E535" s="59" t="n"/>
      <c r="F535" s="59" t="n"/>
      <c r="G535" s="60" t="n"/>
      <c r="H535" s="59" t="n"/>
      <c r="I535" s="59" t="n"/>
      <c r="J535" s="59" t="n"/>
      <c r="K535" s="59" t="n"/>
      <c r="L535" s="59" t="n"/>
      <c r="M535" s="59" t="n"/>
      <c r="N535" s="59" t="n"/>
      <c r="O535" s="59" t="n"/>
      <c r="P535" s="59" t="n"/>
      <c r="Q535" s="59" t="n"/>
      <c r="R535" s="59" t="n"/>
      <c r="S535" s="59" t="n"/>
      <c r="T535" s="59" t="n"/>
      <c r="U535" s="59" t="n"/>
      <c r="V535" s="59" t="n"/>
      <c r="W535" s="59" t="n"/>
      <c r="X535" s="59" t="n"/>
      <c r="Y535" s="59" t="n"/>
      <c r="Z535" s="59" t="n"/>
      <c r="AA535" s="59" t="n"/>
      <c r="AB535" s="59" t="n"/>
      <c r="AC535" s="59" t="n"/>
      <c r="AD535" s="59" t="n"/>
    </row>
    <row r="536">
      <c r="A536" s="59" t="n"/>
      <c r="B536" s="59" t="n"/>
      <c r="C536" s="59" t="n"/>
      <c r="D536" s="59" t="n"/>
      <c r="E536" s="59" t="n"/>
      <c r="F536" s="59" t="n"/>
      <c r="G536" s="60" t="n"/>
      <c r="H536" s="59" t="n"/>
      <c r="I536" s="59" t="n"/>
      <c r="J536" s="59" t="n"/>
      <c r="K536" s="59" t="n"/>
      <c r="L536" s="59" t="n"/>
      <c r="M536" s="59" t="n"/>
      <c r="N536" s="59" t="n"/>
      <c r="O536" s="59" t="n"/>
      <c r="P536" s="59" t="n"/>
      <c r="Q536" s="59" t="n"/>
      <c r="R536" s="59" t="n"/>
      <c r="S536" s="59" t="n"/>
      <c r="T536" s="59" t="n"/>
      <c r="U536" s="59" t="n"/>
      <c r="V536" s="59" t="n"/>
      <c r="W536" s="59" t="n"/>
      <c r="X536" s="59" t="n"/>
      <c r="Y536" s="59" t="n"/>
      <c r="Z536" s="59" t="n"/>
      <c r="AA536" s="59" t="n"/>
      <c r="AB536" s="59" t="n"/>
      <c r="AC536" s="59" t="n"/>
      <c r="AD536" s="59" t="n"/>
    </row>
    <row r="537">
      <c r="A537" s="59" t="n"/>
      <c r="B537" s="59" t="n"/>
      <c r="C537" s="59" t="n"/>
      <c r="D537" s="59" t="n"/>
      <c r="E537" s="59" t="n"/>
      <c r="F537" s="59" t="n"/>
      <c r="G537" s="60" t="n"/>
      <c r="H537" s="59" t="n"/>
      <c r="I537" s="59" t="n"/>
      <c r="J537" s="59" t="n"/>
      <c r="K537" s="59" t="n"/>
      <c r="L537" s="59" t="n"/>
      <c r="M537" s="59" t="n"/>
      <c r="N537" s="59" t="n"/>
      <c r="O537" s="59" t="n"/>
      <c r="P537" s="59" t="n"/>
      <c r="Q537" s="59" t="n"/>
      <c r="R537" s="59" t="n"/>
      <c r="S537" s="59" t="n"/>
      <c r="T537" s="59" t="n"/>
      <c r="U537" s="59" t="n"/>
      <c r="V537" s="59" t="n"/>
      <c r="W537" s="59" t="n"/>
      <c r="X537" s="59" t="n"/>
      <c r="Y537" s="59" t="n"/>
      <c r="Z537" s="59" t="n"/>
      <c r="AA537" s="59" t="n"/>
      <c r="AB537" s="59" t="n"/>
      <c r="AC537" s="59" t="n"/>
      <c r="AD537" s="59" t="n"/>
    </row>
    <row r="538">
      <c r="A538" s="59" t="n"/>
      <c r="B538" s="59" t="n"/>
      <c r="C538" s="59" t="n"/>
      <c r="D538" s="59" t="n"/>
      <c r="E538" s="59" t="n"/>
      <c r="F538" s="59" t="n"/>
      <c r="G538" s="60" t="n"/>
      <c r="H538" s="59" t="n"/>
      <c r="I538" s="59" t="n"/>
      <c r="J538" s="59" t="n"/>
      <c r="K538" s="59" t="n"/>
      <c r="L538" s="59" t="n"/>
      <c r="M538" s="59" t="n"/>
      <c r="N538" s="59" t="n"/>
      <c r="O538" s="59" t="n"/>
      <c r="P538" s="59" t="n"/>
      <c r="Q538" s="59" t="n"/>
      <c r="R538" s="59" t="n"/>
      <c r="S538" s="59" t="n"/>
      <c r="T538" s="59" t="n"/>
      <c r="U538" s="59" t="n"/>
      <c r="V538" s="59" t="n"/>
      <c r="W538" s="59" t="n"/>
      <c r="X538" s="59" t="n"/>
      <c r="Y538" s="59" t="n"/>
      <c r="Z538" s="59" t="n"/>
      <c r="AA538" s="59" t="n"/>
      <c r="AB538" s="59" t="n"/>
      <c r="AC538" s="59" t="n"/>
      <c r="AD538" s="59" t="n"/>
    </row>
    <row r="539">
      <c r="A539" s="59" t="n"/>
      <c r="B539" s="59" t="n"/>
      <c r="C539" s="59" t="n"/>
      <c r="D539" s="59" t="n"/>
      <c r="E539" s="59" t="n"/>
      <c r="F539" s="59" t="n"/>
      <c r="G539" s="60" t="n"/>
      <c r="H539" s="59" t="n"/>
      <c r="I539" s="59" t="n"/>
      <c r="J539" s="59" t="n"/>
      <c r="K539" s="59" t="n"/>
      <c r="L539" s="59" t="n"/>
      <c r="M539" s="59" t="n"/>
      <c r="N539" s="59" t="n"/>
      <c r="O539" s="59" t="n"/>
      <c r="P539" s="59" t="n"/>
      <c r="Q539" s="59" t="n"/>
      <c r="R539" s="59" t="n"/>
      <c r="S539" s="59" t="n"/>
      <c r="T539" s="59" t="n"/>
      <c r="U539" s="59" t="n"/>
      <c r="V539" s="59" t="n"/>
      <c r="W539" s="59" t="n"/>
      <c r="X539" s="59" t="n"/>
      <c r="Y539" s="59" t="n"/>
      <c r="Z539" s="59" t="n"/>
      <c r="AA539" s="59" t="n"/>
      <c r="AB539" s="59" t="n"/>
      <c r="AC539" s="59" t="n"/>
      <c r="AD539" s="59" t="n"/>
    </row>
    <row r="540">
      <c r="A540" s="59" t="n"/>
      <c r="B540" s="59" t="n"/>
      <c r="C540" s="59" t="n"/>
      <c r="D540" s="59" t="n"/>
      <c r="E540" s="59" t="n"/>
      <c r="F540" s="59" t="n"/>
      <c r="G540" s="60" t="n"/>
      <c r="H540" s="59" t="n"/>
      <c r="I540" s="59" t="n"/>
      <c r="J540" s="59" t="n"/>
      <c r="K540" s="59" t="n"/>
      <c r="L540" s="59" t="n"/>
      <c r="M540" s="59" t="n"/>
      <c r="N540" s="59" t="n"/>
      <c r="O540" s="59" t="n"/>
      <c r="P540" s="59" t="n"/>
      <c r="Q540" s="59" t="n"/>
      <c r="R540" s="59" t="n"/>
      <c r="S540" s="59" t="n"/>
      <c r="T540" s="59" t="n"/>
      <c r="U540" s="59" t="n"/>
      <c r="V540" s="59" t="n"/>
      <c r="W540" s="59" t="n"/>
      <c r="X540" s="59" t="n"/>
      <c r="Y540" s="59" t="n"/>
      <c r="Z540" s="59" t="n"/>
      <c r="AA540" s="59" t="n"/>
      <c r="AB540" s="59" t="n"/>
      <c r="AC540" s="59" t="n"/>
      <c r="AD540" s="59" t="n"/>
    </row>
    <row r="541">
      <c r="A541" s="59" t="n"/>
      <c r="B541" s="59" t="n"/>
      <c r="C541" s="59" t="n"/>
      <c r="D541" s="59" t="n"/>
      <c r="E541" s="59" t="n"/>
      <c r="F541" s="59" t="n"/>
      <c r="G541" s="60" t="n"/>
      <c r="H541" s="59" t="n"/>
      <c r="I541" s="59" t="n"/>
      <c r="J541" s="59" t="n"/>
      <c r="K541" s="59" t="n"/>
      <c r="L541" s="59" t="n"/>
      <c r="M541" s="59" t="n"/>
      <c r="N541" s="59" t="n"/>
      <c r="O541" s="59" t="n"/>
      <c r="P541" s="59" t="n"/>
      <c r="Q541" s="59" t="n"/>
      <c r="R541" s="59" t="n"/>
      <c r="S541" s="59" t="n"/>
      <c r="T541" s="59" t="n"/>
      <c r="U541" s="59" t="n"/>
      <c r="V541" s="59" t="n"/>
      <c r="W541" s="59" t="n"/>
      <c r="X541" s="59" t="n"/>
      <c r="Y541" s="59" t="n"/>
      <c r="Z541" s="59" t="n"/>
      <c r="AA541" s="59" t="n"/>
      <c r="AB541" s="59" t="n"/>
      <c r="AC541" s="59" t="n"/>
      <c r="AD541" s="59" t="n"/>
    </row>
    <row r="542">
      <c r="A542" s="59" t="n"/>
      <c r="B542" s="59" t="n"/>
      <c r="C542" s="59" t="n"/>
      <c r="D542" s="59" t="n"/>
      <c r="E542" s="59" t="n"/>
      <c r="F542" s="59" t="n"/>
      <c r="G542" s="60" t="n"/>
      <c r="H542" s="59" t="n"/>
      <c r="I542" s="59" t="n"/>
      <c r="J542" s="59" t="n"/>
      <c r="K542" s="59" t="n"/>
      <c r="L542" s="59" t="n"/>
      <c r="M542" s="59" t="n"/>
      <c r="N542" s="59" t="n"/>
      <c r="O542" s="59" t="n"/>
      <c r="P542" s="59" t="n"/>
      <c r="Q542" s="59" t="n"/>
      <c r="R542" s="59" t="n"/>
      <c r="S542" s="59" t="n"/>
      <c r="T542" s="59" t="n"/>
      <c r="U542" s="59" t="n"/>
      <c r="V542" s="59" t="n"/>
      <c r="W542" s="59" t="n"/>
      <c r="X542" s="59" t="n"/>
      <c r="Y542" s="59" t="n"/>
      <c r="Z542" s="59" t="n"/>
      <c r="AA542" s="59" t="n"/>
      <c r="AB542" s="59" t="n"/>
      <c r="AC542" s="59" t="n"/>
      <c r="AD542" s="59" t="n"/>
    </row>
    <row r="543">
      <c r="A543" s="59" t="n"/>
      <c r="B543" s="59" t="n"/>
      <c r="C543" s="59" t="n"/>
      <c r="D543" s="59" t="n"/>
      <c r="E543" s="59" t="n"/>
      <c r="F543" s="59" t="n"/>
      <c r="G543" s="60" t="n"/>
      <c r="H543" s="59" t="n"/>
      <c r="I543" s="59" t="n"/>
      <c r="J543" s="59" t="n"/>
      <c r="K543" s="59" t="n"/>
      <c r="L543" s="59" t="n"/>
      <c r="M543" s="59" t="n"/>
      <c r="N543" s="59" t="n"/>
      <c r="O543" s="59" t="n"/>
      <c r="P543" s="59" t="n"/>
      <c r="Q543" s="59" t="n"/>
      <c r="R543" s="59" t="n"/>
      <c r="S543" s="59" t="n"/>
      <c r="T543" s="59" t="n"/>
      <c r="U543" s="59" t="n"/>
      <c r="V543" s="59" t="n"/>
      <c r="W543" s="59" t="n"/>
      <c r="X543" s="59" t="n"/>
      <c r="Y543" s="59" t="n"/>
      <c r="Z543" s="59" t="n"/>
      <c r="AA543" s="59" t="n"/>
      <c r="AB543" s="59" t="n"/>
      <c r="AC543" s="59" t="n"/>
      <c r="AD543" s="59" t="n"/>
    </row>
    <row r="544">
      <c r="A544" s="59" t="n"/>
      <c r="B544" s="59" t="n"/>
      <c r="C544" s="59" t="n"/>
      <c r="D544" s="59" t="n"/>
      <c r="E544" s="59" t="n"/>
      <c r="F544" s="59" t="n"/>
      <c r="G544" s="60" t="n"/>
      <c r="H544" s="59" t="n"/>
      <c r="I544" s="59" t="n"/>
      <c r="J544" s="59" t="n"/>
      <c r="K544" s="59" t="n"/>
      <c r="L544" s="59" t="n"/>
      <c r="M544" s="59" t="n"/>
      <c r="N544" s="59" t="n"/>
      <c r="O544" s="59" t="n"/>
      <c r="P544" s="59" t="n"/>
      <c r="Q544" s="59" t="n"/>
      <c r="R544" s="59" t="n"/>
      <c r="S544" s="59" t="n"/>
      <c r="T544" s="59" t="n"/>
      <c r="U544" s="59" t="n"/>
      <c r="V544" s="59" t="n"/>
      <c r="W544" s="59" t="n"/>
      <c r="X544" s="59" t="n"/>
      <c r="Y544" s="59" t="n"/>
      <c r="Z544" s="59" t="n"/>
      <c r="AA544" s="59" t="n"/>
      <c r="AB544" s="59" t="n"/>
      <c r="AC544" s="59" t="n"/>
      <c r="AD544" s="59" t="n"/>
    </row>
    <row r="545">
      <c r="A545" s="59" t="n"/>
      <c r="B545" s="59" t="n"/>
      <c r="C545" s="59" t="n"/>
      <c r="D545" s="59" t="n"/>
      <c r="E545" s="59" t="n"/>
      <c r="F545" s="59" t="n"/>
      <c r="G545" s="60" t="n"/>
      <c r="H545" s="59" t="n"/>
      <c r="I545" s="59" t="n"/>
      <c r="J545" s="59" t="n"/>
      <c r="K545" s="59" t="n"/>
      <c r="L545" s="59" t="n"/>
      <c r="M545" s="59" t="n"/>
      <c r="N545" s="59" t="n"/>
      <c r="O545" s="59" t="n"/>
      <c r="P545" s="59" t="n"/>
      <c r="Q545" s="59" t="n"/>
      <c r="R545" s="59" t="n"/>
      <c r="S545" s="59" t="n"/>
      <c r="T545" s="59" t="n"/>
      <c r="U545" s="59" t="n"/>
      <c r="V545" s="59" t="n"/>
      <c r="W545" s="59" t="n"/>
      <c r="X545" s="59" t="n"/>
      <c r="Y545" s="59" t="n"/>
      <c r="Z545" s="59" t="n"/>
      <c r="AA545" s="59" t="n"/>
      <c r="AB545" s="59" t="n"/>
      <c r="AC545" s="59" t="n"/>
      <c r="AD545" s="59" t="n"/>
    </row>
    <row r="546">
      <c r="A546" s="59" t="n"/>
      <c r="B546" s="59" t="n"/>
      <c r="C546" s="59" t="n"/>
      <c r="D546" s="59" t="n"/>
      <c r="E546" s="59" t="n"/>
      <c r="F546" s="59" t="n"/>
      <c r="G546" s="60" t="n"/>
      <c r="H546" s="59" t="n"/>
      <c r="I546" s="59" t="n"/>
      <c r="J546" s="59" t="n"/>
      <c r="K546" s="59" t="n"/>
      <c r="L546" s="59" t="n"/>
      <c r="M546" s="59" t="n"/>
      <c r="N546" s="59" t="n"/>
      <c r="O546" s="59" t="n"/>
      <c r="P546" s="59" t="n"/>
      <c r="Q546" s="59" t="n"/>
      <c r="R546" s="59" t="n"/>
      <c r="S546" s="59" t="n"/>
      <c r="T546" s="59" t="n"/>
      <c r="U546" s="59" t="n"/>
      <c r="V546" s="59" t="n"/>
      <c r="W546" s="59" t="n"/>
      <c r="X546" s="59" t="n"/>
      <c r="Y546" s="59" t="n"/>
      <c r="Z546" s="59" t="n"/>
      <c r="AA546" s="59" t="n"/>
      <c r="AB546" s="59" t="n"/>
      <c r="AC546" s="59" t="n"/>
      <c r="AD546" s="59" t="n"/>
    </row>
    <row r="547">
      <c r="A547" s="59" t="n"/>
      <c r="B547" s="59" t="n"/>
      <c r="C547" s="59" t="n"/>
      <c r="D547" s="59" t="n"/>
      <c r="E547" s="59" t="n"/>
      <c r="F547" s="59" t="n"/>
      <c r="G547" s="60" t="n"/>
      <c r="H547" s="59" t="n"/>
      <c r="I547" s="59" t="n"/>
      <c r="J547" s="59" t="n"/>
      <c r="K547" s="59" t="n"/>
      <c r="L547" s="59" t="n"/>
      <c r="M547" s="59" t="n"/>
      <c r="N547" s="59" t="n"/>
      <c r="O547" s="59" t="n"/>
      <c r="P547" s="59" t="n"/>
      <c r="Q547" s="59" t="n"/>
      <c r="R547" s="59" t="n"/>
      <c r="S547" s="59" t="n"/>
      <c r="T547" s="59" t="n"/>
      <c r="U547" s="59" t="n"/>
      <c r="V547" s="59" t="n"/>
      <c r="W547" s="59" t="n"/>
      <c r="X547" s="59" t="n"/>
      <c r="Y547" s="59" t="n"/>
      <c r="Z547" s="59" t="n"/>
      <c r="AA547" s="59" t="n"/>
      <c r="AB547" s="59" t="n"/>
      <c r="AC547" s="59" t="n"/>
      <c r="AD547" s="59" t="n"/>
    </row>
    <row r="548">
      <c r="A548" s="59" t="n"/>
      <c r="B548" s="59" t="n"/>
      <c r="C548" s="59" t="n"/>
      <c r="D548" s="59" t="n"/>
      <c r="E548" s="59" t="n"/>
      <c r="F548" s="59" t="n"/>
      <c r="G548" s="60" t="n"/>
      <c r="H548" s="59" t="n"/>
      <c r="I548" s="59" t="n"/>
      <c r="J548" s="59" t="n"/>
      <c r="K548" s="59" t="n"/>
      <c r="L548" s="59" t="n"/>
      <c r="M548" s="59" t="n"/>
      <c r="N548" s="59" t="n"/>
      <c r="O548" s="59" t="n"/>
      <c r="P548" s="59" t="n"/>
      <c r="Q548" s="59" t="n"/>
      <c r="R548" s="59" t="n"/>
      <c r="S548" s="59" t="n"/>
      <c r="T548" s="59" t="n"/>
      <c r="U548" s="59" t="n"/>
      <c r="V548" s="59" t="n"/>
      <c r="W548" s="59" t="n"/>
      <c r="X548" s="59" t="n"/>
      <c r="Y548" s="59" t="n"/>
      <c r="Z548" s="59" t="n"/>
      <c r="AA548" s="59" t="n"/>
      <c r="AB548" s="59" t="n"/>
      <c r="AC548" s="59" t="n"/>
      <c r="AD548" s="59" t="n"/>
    </row>
    <row r="549">
      <c r="A549" s="59" t="n"/>
      <c r="B549" s="59" t="n"/>
      <c r="C549" s="59" t="n"/>
      <c r="D549" s="59" t="n"/>
      <c r="E549" s="59" t="n"/>
      <c r="F549" s="59" t="n"/>
      <c r="G549" s="60" t="n"/>
      <c r="H549" s="59" t="n"/>
      <c r="I549" s="59" t="n"/>
      <c r="J549" s="59" t="n"/>
      <c r="K549" s="59" t="n"/>
      <c r="L549" s="59" t="n"/>
      <c r="M549" s="59" t="n"/>
      <c r="N549" s="59" t="n"/>
      <c r="O549" s="59" t="n"/>
      <c r="P549" s="59" t="n"/>
      <c r="Q549" s="59" t="n"/>
      <c r="R549" s="59" t="n"/>
      <c r="S549" s="59" t="n"/>
      <c r="T549" s="59" t="n"/>
      <c r="U549" s="59" t="n"/>
      <c r="V549" s="59" t="n"/>
      <c r="W549" s="59" t="n"/>
      <c r="X549" s="59" t="n"/>
      <c r="Y549" s="59" t="n"/>
      <c r="Z549" s="59" t="n"/>
      <c r="AA549" s="59" t="n"/>
      <c r="AB549" s="59" t="n"/>
      <c r="AC549" s="59" t="n"/>
      <c r="AD549" s="59" t="n"/>
    </row>
    <row r="550">
      <c r="A550" s="59" t="n"/>
      <c r="B550" s="59" t="n"/>
      <c r="C550" s="59" t="n"/>
      <c r="D550" s="59" t="n"/>
      <c r="E550" s="59" t="n"/>
      <c r="F550" s="59" t="n"/>
      <c r="G550" s="60" t="n"/>
      <c r="H550" s="59" t="n"/>
      <c r="I550" s="59" t="n"/>
      <c r="J550" s="59" t="n"/>
      <c r="K550" s="59" t="n"/>
      <c r="L550" s="59" t="n"/>
      <c r="M550" s="59" t="n"/>
      <c r="N550" s="59" t="n"/>
      <c r="O550" s="59" t="n"/>
      <c r="P550" s="59" t="n"/>
      <c r="Q550" s="59" t="n"/>
      <c r="R550" s="59" t="n"/>
      <c r="S550" s="59" t="n"/>
      <c r="T550" s="59" t="n"/>
      <c r="U550" s="59" t="n"/>
      <c r="V550" s="59" t="n"/>
      <c r="W550" s="59" t="n"/>
      <c r="X550" s="59" t="n"/>
      <c r="Y550" s="59" t="n"/>
      <c r="Z550" s="59" t="n"/>
      <c r="AA550" s="59" t="n"/>
      <c r="AB550" s="59" t="n"/>
      <c r="AC550" s="59" t="n"/>
      <c r="AD550" s="59" t="n"/>
    </row>
    <row r="551">
      <c r="A551" s="59" t="n"/>
      <c r="B551" s="59" t="n"/>
      <c r="C551" s="59" t="n"/>
      <c r="D551" s="59" t="n"/>
      <c r="E551" s="59" t="n"/>
      <c r="F551" s="59" t="n"/>
      <c r="G551" s="60" t="n"/>
      <c r="H551" s="59" t="n"/>
      <c r="I551" s="59" t="n"/>
      <c r="J551" s="59" t="n"/>
      <c r="K551" s="59" t="n"/>
      <c r="L551" s="59" t="n"/>
      <c r="M551" s="59" t="n"/>
      <c r="N551" s="59" t="n"/>
      <c r="O551" s="59" t="n"/>
      <c r="P551" s="59" t="n"/>
      <c r="Q551" s="59" t="n"/>
      <c r="R551" s="59" t="n"/>
      <c r="S551" s="59" t="n"/>
      <c r="T551" s="59" t="n"/>
      <c r="U551" s="59" t="n"/>
      <c r="V551" s="59" t="n"/>
      <c r="W551" s="59" t="n"/>
      <c r="X551" s="59" t="n"/>
      <c r="Y551" s="59" t="n"/>
      <c r="Z551" s="59" t="n"/>
      <c r="AA551" s="59" t="n"/>
      <c r="AB551" s="59" t="n"/>
      <c r="AC551" s="59" t="n"/>
      <c r="AD551" s="59" t="n"/>
    </row>
    <row r="552">
      <c r="A552" s="59" t="n"/>
      <c r="B552" s="59" t="n"/>
      <c r="C552" s="59" t="n"/>
      <c r="D552" s="59" t="n"/>
      <c r="E552" s="59" t="n"/>
      <c r="F552" s="59" t="n"/>
      <c r="G552" s="60" t="n"/>
      <c r="H552" s="59" t="n"/>
      <c r="I552" s="59" t="n"/>
      <c r="J552" s="59" t="n"/>
      <c r="K552" s="59" t="n"/>
      <c r="L552" s="59" t="n"/>
      <c r="M552" s="59" t="n"/>
      <c r="N552" s="59" t="n"/>
      <c r="O552" s="59" t="n"/>
      <c r="P552" s="59" t="n"/>
      <c r="Q552" s="59" t="n"/>
      <c r="R552" s="59" t="n"/>
      <c r="S552" s="59" t="n"/>
      <c r="T552" s="59" t="n"/>
      <c r="U552" s="59" t="n"/>
      <c r="V552" s="59" t="n"/>
      <c r="W552" s="59" t="n"/>
      <c r="X552" s="59" t="n"/>
      <c r="Y552" s="59" t="n"/>
      <c r="Z552" s="59" t="n"/>
      <c r="AA552" s="59" t="n"/>
      <c r="AB552" s="59" t="n"/>
      <c r="AC552" s="59" t="n"/>
      <c r="AD552" s="59" t="n"/>
    </row>
    <row r="553">
      <c r="A553" s="59" t="n"/>
      <c r="B553" s="59" t="n"/>
      <c r="C553" s="59" t="n"/>
      <c r="D553" s="59" t="n"/>
      <c r="E553" s="59" t="n"/>
      <c r="F553" s="59" t="n"/>
      <c r="G553" s="60" t="n"/>
      <c r="H553" s="59" t="n"/>
      <c r="I553" s="59" t="n"/>
      <c r="J553" s="59" t="n"/>
      <c r="K553" s="59" t="n"/>
      <c r="L553" s="59" t="n"/>
      <c r="M553" s="59" t="n"/>
      <c r="N553" s="59" t="n"/>
      <c r="O553" s="59" t="n"/>
      <c r="P553" s="59" t="n"/>
      <c r="Q553" s="59" t="n"/>
      <c r="R553" s="59" t="n"/>
      <c r="S553" s="59" t="n"/>
      <c r="T553" s="59" t="n"/>
      <c r="U553" s="59" t="n"/>
      <c r="V553" s="59" t="n"/>
      <c r="W553" s="59" t="n"/>
      <c r="X553" s="59" t="n"/>
      <c r="Y553" s="59" t="n"/>
      <c r="Z553" s="59" t="n"/>
      <c r="AA553" s="59" t="n"/>
      <c r="AB553" s="59" t="n"/>
      <c r="AC553" s="59" t="n"/>
      <c r="AD553" s="59" t="n"/>
    </row>
    <row r="554">
      <c r="A554" s="59" t="n"/>
      <c r="B554" s="59" t="n"/>
      <c r="C554" s="59" t="n"/>
      <c r="D554" s="59" t="n"/>
      <c r="E554" s="59" t="n"/>
      <c r="F554" s="59" t="n"/>
      <c r="G554" s="60" t="n"/>
      <c r="H554" s="59" t="n"/>
      <c r="I554" s="59" t="n"/>
      <c r="J554" s="59" t="n"/>
      <c r="K554" s="59" t="n"/>
      <c r="L554" s="59" t="n"/>
      <c r="M554" s="59" t="n"/>
      <c r="N554" s="59" t="n"/>
      <c r="O554" s="59" t="n"/>
      <c r="P554" s="59" t="n"/>
      <c r="Q554" s="59" t="n"/>
      <c r="R554" s="59" t="n"/>
      <c r="S554" s="59" t="n"/>
      <c r="T554" s="59" t="n"/>
      <c r="U554" s="59" t="n"/>
      <c r="V554" s="59" t="n"/>
      <c r="W554" s="59" t="n"/>
      <c r="X554" s="59" t="n"/>
      <c r="Y554" s="59" t="n"/>
      <c r="Z554" s="59" t="n"/>
      <c r="AA554" s="59" t="n"/>
      <c r="AB554" s="59" t="n"/>
      <c r="AC554" s="59" t="n"/>
      <c r="AD554" s="59" t="n"/>
    </row>
    <row r="555">
      <c r="A555" s="59" t="n"/>
      <c r="B555" s="59" t="n"/>
      <c r="C555" s="59" t="n"/>
      <c r="D555" s="59" t="n"/>
      <c r="E555" s="59" t="n"/>
      <c r="F555" s="59" t="n"/>
      <c r="G555" s="60" t="n"/>
      <c r="H555" s="59" t="n"/>
      <c r="I555" s="59" t="n"/>
      <c r="J555" s="59" t="n"/>
      <c r="K555" s="59" t="n"/>
      <c r="L555" s="59" t="n"/>
      <c r="M555" s="59" t="n"/>
      <c r="N555" s="59" t="n"/>
      <c r="O555" s="59" t="n"/>
      <c r="P555" s="59" t="n"/>
      <c r="Q555" s="59" t="n"/>
      <c r="R555" s="59" t="n"/>
      <c r="S555" s="59" t="n"/>
      <c r="T555" s="59" t="n"/>
      <c r="U555" s="59" t="n"/>
      <c r="V555" s="59" t="n"/>
      <c r="W555" s="59" t="n"/>
      <c r="X555" s="59" t="n"/>
      <c r="Y555" s="59" t="n"/>
      <c r="Z555" s="59" t="n"/>
      <c r="AA555" s="59" t="n"/>
      <c r="AB555" s="59" t="n"/>
      <c r="AC555" s="59" t="n"/>
      <c r="AD555" s="59" t="n"/>
    </row>
    <row r="556">
      <c r="A556" s="59" t="n"/>
      <c r="B556" s="59" t="n"/>
      <c r="C556" s="59" t="n"/>
      <c r="D556" s="59" t="n"/>
      <c r="E556" s="59" t="n"/>
      <c r="F556" s="59" t="n"/>
      <c r="G556" s="60" t="n"/>
      <c r="H556" s="59" t="n"/>
      <c r="I556" s="59" t="n"/>
      <c r="J556" s="59" t="n"/>
      <c r="K556" s="59" t="n"/>
      <c r="L556" s="59" t="n"/>
      <c r="M556" s="59" t="n"/>
      <c r="N556" s="59" t="n"/>
      <c r="O556" s="59" t="n"/>
      <c r="P556" s="59" t="n"/>
      <c r="Q556" s="59" t="n"/>
      <c r="R556" s="59" t="n"/>
      <c r="S556" s="59" t="n"/>
      <c r="T556" s="59" t="n"/>
      <c r="U556" s="59" t="n"/>
      <c r="V556" s="59" t="n"/>
      <c r="W556" s="59" t="n"/>
      <c r="X556" s="59" t="n"/>
      <c r="Y556" s="59" t="n"/>
      <c r="Z556" s="59" t="n"/>
      <c r="AA556" s="59" t="n"/>
      <c r="AB556" s="59" t="n"/>
      <c r="AC556" s="59" t="n"/>
      <c r="AD556" s="59" t="n"/>
    </row>
    <row r="557">
      <c r="A557" s="59" t="n"/>
      <c r="B557" s="59" t="n"/>
      <c r="C557" s="59" t="n"/>
      <c r="D557" s="59" t="n"/>
      <c r="E557" s="59" t="n"/>
      <c r="F557" s="59" t="n"/>
      <c r="G557" s="60" t="n"/>
      <c r="H557" s="59" t="n"/>
      <c r="I557" s="59" t="n"/>
      <c r="J557" s="59" t="n"/>
      <c r="K557" s="59" t="n"/>
      <c r="L557" s="59" t="n"/>
      <c r="M557" s="59" t="n"/>
      <c r="N557" s="59" t="n"/>
      <c r="O557" s="59" t="n"/>
      <c r="P557" s="59" t="n"/>
      <c r="Q557" s="59" t="n"/>
      <c r="R557" s="59" t="n"/>
      <c r="S557" s="59" t="n"/>
      <c r="T557" s="59" t="n"/>
      <c r="U557" s="59" t="n"/>
      <c r="V557" s="59" t="n"/>
      <c r="W557" s="59" t="n"/>
      <c r="X557" s="59" t="n"/>
      <c r="Y557" s="59" t="n"/>
      <c r="Z557" s="59" t="n"/>
      <c r="AA557" s="59" t="n"/>
      <c r="AB557" s="59" t="n"/>
      <c r="AC557" s="59" t="n"/>
      <c r="AD557" s="59" t="n"/>
    </row>
    <row r="558">
      <c r="A558" s="59" t="n"/>
      <c r="B558" s="59" t="n"/>
      <c r="C558" s="59" t="n"/>
      <c r="D558" s="59" t="n"/>
      <c r="E558" s="59" t="n"/>
      <c r="F558" s="59" t="n"/>
      <c r="G558" s="60" t="n"/>
      <c r="H558" s="59" t="n"/>
      <c r="I558" s="59" t="n"/>
      <c r="J558" s="59" t="n"/>
      <c r="K558" s="59" t="n"/>
      <c r="L558" s="59" t="n"/>
      <c r="M558" s="59" t="n"/>
      <c r="N558" s="59" t="n"/>
      <c r="O558" s="59" t="n"/>
      <c r="P558" s="59" t="n"/>
      <c r="Q558" s="59" t="n"/>
      <c r="R558" s="59" t="n"/>
      <c r="S558" s="59" t="n"/>
      <c r="T558" s="59" t="n"/>
      <c r="U558" s="59" t="n"/>
      <c r="V558" s="59" t="n"/>
      <c r="W558" s="59" t="n"/>
      <c r="X558" s="59" t="n"/>
      <c r="Y558" s="59" t="n"/>
      <c r="Z558" s="59" t="n"/>
      <c r="AA558" s="59" t="n"/>
      <c r="AB558" s="59" t="n"/>
      <c r="AC558" s="59" t="n"/>
      <c r="AD558" s="59" t="n"/>
    </row>
    <row r="559">
      <c r="A559" s="59" t="n"/>
      <c r="B559" s="59" t="n"/>
      <c r="C559" s="59" t="n"/>
      <c r="D559" s="59" t="n"/>
      <c r="E559" s="59" t="n"/>
      <c r="F559" s="59" t="n"/>
      <c r="G559" s="60" t="n"/>
      <c r="H559" s="59" t="n"/>
      <c r="I559" s="59" t="n"/>
      <c r="J559" s="59" t="n"/>
      <c r="K559" s="59" t="n"/>
      <c r="L559" s="59" t="n"/>
      <c r="M559" s="59" t="n"/>
      <c r="N559" s="59" t="n"/>
      <c r="O559" s="59" t="n"/>
      <c r="P559" s="59" t="n"/>
      <c r="Q559" s="59" t="n"/>
      <c r="R559" s="59" t="n"/>
      <c r="S559" s="59" t="n"/>
      <c r="T559" s="59" t="n"/>
      <c r="U559" s="59" t="n"/>
      <c r="V559" s="59" t="n"/>
      <c r="W559" s="59" t="n"/>
      <c r="X559" s="59" t="n"/>
      <c r="Y559" s="59" t="n"/>
      <c r="Z559" s="59" t="n"/>
      <c r="AA559" s="59" t="n"/>
      <c r="AB559" s="59" t="n"/>
      <c r="AC559" s="59" t="n"/>
      <c r="AD559" s="59" t="n"/>
    </row>
    <row r="560">
      <c r="A560" s="59" t="n"/>
      <c r="B560" s="59" t="n"/>
      <c r="C560" s="59" t="n"/>
      <c r="D560" s="59" t="n"/>
      <c r="E560" s="59" t="n"/>
      <c r="F560" s="59" t="n"/>
      <c r="G560" s="60" t="n"/>
      <c r="H560" s="59" t="n"/>
      <c r="I560" s="59" t="n"/>
      <c r="J560" s="59" t="n"/>
      <c r="K560" s="59" t="n"/>
      <c r="L560" s="59" t="n"/>
      <c r="M560" s="59" t="n"/>
      <c r="N560" s="59" t="n"/>
      <c r="O560" s="59" t="n"/>
      <c r="P560" s="59" t="n"/>
      <c r="Q560" s="59" t="n"/>
      <c r="R560" s="59" t="n"/>
      <c r="S560" s="59" t="n"/>
      <c r="T560" s="59" t="n"/>
      <c r="U560" s="59" t="n"/>
      <c r="V560" s="59" t="n"/>
      <c r="W560" s="59" t="n"/>
      <c r="X560" s="59" t="n"/>
      <c r="Y560" s="59" t="n"/>
      <c r="Z560" s="59" t="n"/>
      <c r="AA560" s="59" t="n"/>
      <c r="AB560" s="59" t="n"/>
      <c r="AC560" s="59" t="n"/>
      <c r="AD560" s="59" t="n"/>
    </row>
    <row r="561">
      <c r="A561" s="59" t="n"/>
      <c r="B561" s="59" t="n"/>
      <c r="C561" s="59" t="n"/>
      <c r="D561" s="59" t="n"/>
      <c r="E561" s="59" t="n"/>
      <c r="F561" s="59" t="n"/>
      <c r="G561" s="60" t="n"/>
      <c r="H561" s="59" t="n"/>
      <c r="I561" s="59" t="n"/>
      <c r="J561" s="59" t="n"/>
      <c r="K561" s="59" t="n"/>
      <c r="L561" s="59" t="n"/>
      <c r="M561" s="59" t="n"/>
      <c r="N561" s="59" t="n"/>
      <c r="O561" s="59" t="n"/>
      <c r="P561" s="59" t="n"/>
      <c r="Q561" s="59" t="n"/>
      <c r="R561" s="59" t="n"/>
      <c r="S561" s="59" t="n"/>
      <c r="T561" s="59" t="n"/>
      <c r="U561" s="59" t="n"/>
      <c r="V561" s="59" t="n"/>
      <c r="W561" s="59" t="n"/>
      <c r="X561" s="59" t="n"/>
      <c r="Y561" s="59" t="n"/>
      <c r="Z561" s="59" t="n"/>
      <c r="AA561" s="59" t="n"/>
      <c r="AB561" s="59" t="n"/>
      <c r="AC561" s="59" t="n"/>
      <c r="AD561" s="59" t="n"/>
    </row>
    <row r="562">
      <c r="A562" s="59" t="n"/>
      <c r="B562" s="59" t="n"/>
      <c r="C562" s="59" t="n"/>
      <c r="D562" s="59" t="n"/>
      <c r="E562" s="59" t="n"/>
      <c r="F562" s="59" t="n"/>
      <c r="G562" s="60" t="n"/>
      <c r="H562" s="59" t="n"/>
      <c r="I562" s="59" t="n"/>
      <c r="J562" s="59" t="n"/>
      <c r="K562" s="59" t="n"/>
      <c r="L562" s="59" t="n"/>
      <c r="M562" s="59" t="n"/>
      <c r="N562" s="59" t="n"/>
      <c r="O562" s="59" t="n"/>
      <c r="P562" s="59" t="n"/>
      <c r="Q562" s="59" t="n"/>
      <c r="R562" s="59" t="n"/>
      <c r="S562" s="59" t="n"/>
      <c r="T562" s="59" t="n"/>
      <c r="U562" s="59" t="n"/>
      <c r="V562" s="59" t="n"/>
      <c r="W562" s="59" t="n"/>
      <c r="X562" s="59" t="n"/>
      <c r="Y562" s="59" t="n"/>
      <c r="Z562" s="59" t="n"/>
      <c r="AA562" s="59" t="n"/>
      <c r="AB562" s="59" t="n"/>
      <c r="AC562" s="59" t="n"/>
      <c r="AD562" s="59" t="n"/>
    </row>
    <row r="563">
      <c r="A563" s="59" t="n"/>
      <c r="B563" s="59" t="n"/>
      <c r="C563" s="59" t="n"/>
      <c r="D563" s="59" t="n"/>
      <c r="E563" s="59" t="n"/>
      <c r="F563" s="59" t="n"/>
      <c r="G563" s="60" t="n"/>
      <c r="H563" s="59" t="n"/>
      <c r="I563" s="59" t="n"/>
      <c r="J563" s="59" t="n"/>
      <c r="K563" s="59" t="n"/>
      <c r="L563" s="59" t="n"/>
      <c r="M563" s="59" t="n"/>
      <c r="N563" s="59" t="n"/>
      <c r="O563" s="59" t="n"/>
      <c r="P563" s="59" t="n"/>
      <c r="Q563" s="59" t="n"/>
      <c r="R563" s="59" t="n"/>
      <c r="S563" s="59" t="n"/>
      <c r="T563" s="59" t="n"/>
      <c r="U563" s="59" t="n"/>
      <c r="V563" s="59" t="n"/>
      <c r="W563" s="59" t="n"/>
      <c r="X563" s="59" t="n"/>
      <c r="Y563" s="59" t="n"/>
      <c r="Z563" s="59" t="n"/>
      <c r="AA563" s="59" t="n"/>
      <c r="AB563" s="59" t="n"/>
      <c r="AC563" s="59" t="n"/>
      <c r="AD563" s="59" t="n"/>
    </row>
    <row r="564">
      <c r="A564" s="59" t="n"/>
      <c r="B564" s="59" t="n"/>
      <c r="C564" s="59" t="n"/>
      <c r="D564" s="59" t="n"/>
      <c r="E564" s="59" t="n"/>
      <c r="F564" s="59" t="n"/>
      <c r="G564" s="60" t="n"/>
      <c r="H564" s="59" t="n"/>
      <c r="I564" s="59" t="n"/>
      <c r="J564" s="59" t="n"/>
      <c r="K564" s="59" t="n"/>
      <c r="L564" s="59" t="n"/>
      <c r="M564" s="59" t="n"/>
      <c r="N564" s="59" t="n"/>
      <c r="O564" s="59" t="n"/>
      <c r="P564" s="59" t="n"/>
      <c r="Q564" s="59" t="n"/>
      <c r="R564" s="59" t="n"/>
      <c r="S564" s="59" t="n"/>
      <c r="T564" s="59" t="n"/>
      <c r="U564" s="59" t="n"/>
      <c r="V564" s="59" t="n"/>
      <c r="W564" s="59" t="n"/>
      <c r="X564" s="59" t="n"/>
      <c r="Y564" s="59" t="n"/>
      <c r="Z564" s="59" t="n"/>
      <c r="AA564" s="59" t="n"/>
      <c r="AB564" s="59" t="n"/>
      <c r="AC564" s="59" t="n"/>
      <c r="AD564" s="59" t="n"/>
    </row>
    <row r="565">
      <c r="A565" s="59" t="n"/>
      <c r="B565" s="59" t="n"/>
      <c r="C565" s="59" t="n"/>
      <c r="D565" s="59" t="n"/>
      <c r="E565" s="59" t="n"/>
      <c r="F565" s="59" t="n"/>
      <c r="G565" s="60" t="n"/>
      <c r="H565" s="59" t="n"/>
      <c r="I565" s="59" t="n"/>
      <c r="J565" s="59" t="n"/>
      <c r="K565" s="59" t="n"/>
      <c r="L565" s="59" t="n"/>
      <c r="M565" s="59" t="n"/>
      <c r="N565" s="59" t="n"/>
      <c r="O565" s="59" t="n"/>
      <c r="P565" s="59" t="n"/>
      <c r="Q565" s="59" t="n"/>
      <c r="R565" s="59" t="n"/>
      <c r="S565" s="59" t="n"/>
      <c r="T565" s="59" t="n"/>
      <c r="U565" s="59" t="n"/>
      <c r="V565" s="59" t="n"/>
      <c r="W565" s="59" t="n"/>
      <c r="X565" s="59" t="n"/>
      <c r="Y565" s="59" t="n"/>
      <c r="Z565" s="59" t="n"/>
      <c r="AA565" s="59" t="n"/>
      <c r="AB565" s="59" t="n"/>
      <c r="AC565" s="59" t="n"/>
      <c r="AD565" s="59" t="n"/>
    </row>
    <row r="566">
      <c r="A566" s="59" t="n"/>
      <c r="B566" s="59" t="n"/>
      <c r="C566" s="59" t="n"/>
      <c r="D566" s="59" t="n"/>
      <c r="E566" s="59" t="n"/>
      <c r="F566" s="59" t="n"/>
      <c r="G566" s="60" t="n"/>
      <c r="H566" s="59" t="n"/>
      <c r="I566" s="59" t="n"/>
      <c r="J566" s="59" t="n"/>
      <c r="K566" s="59" t="n"/>
      <c r="L566" s="59" t="n"/>
      <c r="M566" s="59" t="n"/>
      <c r="N566" s="59" t="n"/>
      <c r="O566" s="59" t="n"/>
      <c r="P566" s="59" t="n"/>
      <c r="Q566" s="59" t="n"/>
      <c r="R566" s="59" t="n"/>
      <c r="S566" s="59" t="n"/>
      <c r="T566" s="59" t="n"/>
      <c r="U566" s="59" t="n"/>
      <c r="V566" s="59" t="n"/>
      <c r="W566" s="59" t="n"/>
      <c r="X566" s="59" t="n"/>
      <c r="Y566" s="59" t="n"/>
      <c r="Z566" s="59" t="n"/>
      <c r="AA566" s="59" t="n"/>
      <c r="AB566" s="59" t="n"/>
      <c r="AC566" s="59" t="n"/>
      <c r="AD566" s="59" t="n"/>
    </row>
    <row r="567">
      <c r="A567" s="59" t="n"/>
      <c r="B567" s="59" t="n"/>
      <c r="C567" s="59" t="n"/>
      <c r="D567" s="59" t="n"/>
      <c r="E567" s="59" t="n"/>
      <c r="F567" s="59" t="n"/>
      <c r="G567" s="60" t="n"/>
      <c r="H567" s="59" t="n"/>
      <c r="I567" s="59" t="n"/>
      <c r="J567" s="59" t="n"/>
      <c r="K567" s="59" t="n"/>
      <c r="L567" s="59" t="n"/>
      <c r="M567" s="59" t="n"/>
      <c r="N567" s="59" t="n"/>
      <c r="O567" s="59" t="n"/>
      <c r="P567" s="59" t="n"/>
      <c r="Q567" s="59" t="n"/>
      <c r="R567" s="59" t="n"/>
      <c r="S567" s="59" t="n"/>
      <c r="T567" s="59" t="n"/>
      <c r="U567" s="59" t="n"/>
      <c r="V567" s="59" t="n"/>
      <c r="W567" s="59" t="n"/>
      <c r="X567" s="59" t="n"/>
      <c r="Y567" s="59" t="n"/>
      <c r="Z567" s="59" t="n"/>
      <c r="AA567" s="59" t="n"/>
      <c r="AB567" s="59" t="n"/>
      <c r="AC567" s="59" t="n"/>
      <c r="AD567" s="59" t="n"/>
    </row>
    <row r="568">
      <c r="A568" s="59" t="n"/>
      <c r="B568" s="59" t="n"/>
      <c r="C568" s="59" t="n"/>
      <c r="D568" s="59" t="n"/>
      <c r="E568" s="59" t="n"/>
      <c r="F568" s="59" t="n"/>
      <c r="G568" s="60" t="n"/>
      <c r="H568" s="59" t="n"/>
      <c r="I568" s="59" t="n"/>
      <c r="J568" s="59" t="n"/>
      <c r="K568" s="59" t="n"/>
      <c r="L568" s="59" t="n"/>
      <c r="M568" s="59" t="n"/>
      <c r="N568" s="59" t="n"/>
      <c r="O568" s="59" t="n"/>
      <c r="P568" s="59" t="n"/>
      <c r="Q568" s="59" t="n"/>
      <c r="R568" s="59" t="n"/>
      <c r="S568" s="59" t="n"/>
      <c r="T568" s="59" t="n"/>
      <c r="U568" s="59" t="n"/>
      <c r="V568" s="59" t="n"/>
      <c r="W568" s="59" t="n"/>
      <c r="X568" s="59" t="n"/>
      <c r="Y568" s="59" t="n"/>
      <c r="Z568" s="59" t="n"/>
      <c r="AA568" s="59" t="n"/>
      <c r="AB568" s="59" t="n"/>
      <c r="AC568" s="59" t="n"/>
      <c r="AD568" s="59" t="n"/>
    </row>
    <row r="569">
      <c r="A569" s="59" t="n"/>
      <c r="B569" s="59" t="n"/>
      <c r="C569" s="59" t="n"/>
      <c r="D569" s="59" t="n"/>
      <c r="E569" s="59" t="n"/>
      <c r="F569" s="59" t="n"/>
      <c r="G569" s="60" t="n"/>
      <c r="H569" s="59" t="n"/>
      <c r="I569" s="59" t="n"/>
      <c r="J569" s="59" t="n"/>
      <c r="K569" s="59" t="n"/>
      <c r="L569" s="59" t="n"/>
      <c r="M569" s="59" t="n"/>
      <c r="N569" s="59" t="n"/>
      <c r="O569" s="59" t="n"/>
      <c r="P569" s="59" t="n"/>
      <c r="Q569" s="59" t="n"/>
      <c r="R569" s="59" t="n"/>
      <c r="S569" s="59" t="n"/>
      <c r="T569" s="59" t="n"/>
      <c r="U569" s="59" t="n"/>
      <c r="V569" s="59" t="n"/>
      <c r="W569" s="59" t="n"/>
      <c r="X569" s="59" t="n"/>
      <c r="Y569" s="59" t="n"/>
      <c r="Z569" s="59" t="n"/>
      <c r="AA569" s="59" t="n"/>
      <c r="AB569" s="59" t="n"/>
      <c r="AC569" s="59" t="n"/>
      <c r="AD569" s="59" t="n"/>
    </row>
    <row r="570">
      <c r="A570" s="59" t="n"/>
      <c r="B570" s="59" t="n"/>
      <c r="C570" s="59" t="n"/>
      <c r="D570" s="59" t="n"/>
      <c r="E570" s="59" t="n"/>
      <c r="F570" s="59" t="n"/>
      <c r="G570" s="60" t="n"/>
      <c r="H570" s="59" t="n"/>
      <c r="I570" s="59" t="n"/>
      <c r="J570" s="59" t="n"/>
      <c r="K570" s="59" t="n"/>
      <c r="L570" s="59" t="n"/>
      <c r="M570" s="59" t="n"/>
      <c r="N570" s="59" t="n"/>
      <c r="O570" s="59" t="n"/>
      <c r="P570" s="59" t="n"/>
      <c r="Q570" s="59" t="n"/>
      <c r="R570" s="59" t="n"/>
      <c r="S570" s="59" t="n"/>
      <c r="T570" s="59" t="n"/>
      <c r="U570" s="59" t="n"/>
      <c r="V570" s="59" t="n"/>
      <c r="W570" s="59" t="n"/>
      <c r="X570" s="59" t="n"/>
      <c r="Y570" s="59" t="n"/>
      <c r="Z570" s="59" t="n"/>
      <c r="AA570" s="59" t="n"/>
      <c r="AB570" s="59" t="n"/>
      <c r="AC570" s="59" t="n"/>
      <c r="AD570" s="59" t="n"/>
    </row>
    <row r="571">
      <c r="A571" s="59" t="n"/>
      <c r="B571" s="59" t="n"/>
      <c r="C571" s="59" t="n"/>
      <c r="D571" s="59" t="n"/>
      <c r="E571" s="59" t="n"/>
      <c r="F571" s="59" t="n"/>
      <c r="G571" s="60" t="n"/>
      <c r="H571" s="59" t="n"/>
      <c r="I571" s="59" t="n"/>
      <c r="J571" s="59" t="n"/>
      <c r="K571" s="59" t="n"/>
      <c r="L571" s="59" t="n"/>
      <c r="M571" s="59" t="n"/>
      <c r="N571" s="59" t="n"/>
      <c r="O571" s="59" t="n"/>
      <c r="P571" s="59" t="n"/>
      <c r="Q571" s="59" t="n"/>
      <c r="R571" s="59" t="n"/>
      <c r="S571" s="59" t="n"/>
      <c r="T571" s="59" t="n"/>
      <c r="U571" s="59" t="n"/>
      <c r="V571" s="59" t="n"/>
      <c r="W571" s="59" t="n"/>
      <c r="X571" s="59" t="n"/>
      <c r="Y571" s="59" t="n"/>
      <c r="Z571" s="59" t="n"/>
      <c r="AA571" s="59" t="n"/>
      <c r="AB571" s="59" t="n"/>
      <c r="AC571" s="59" t="n"/>
      <c r="AD571" s="59" t="n"/>
    </row>
    <row r="572">
      <c r="A572" s="59" t="n"/>
      <c r="B572" s="59" t="n"/>
      <c r="C572" s="59" t="n"/>
      <c r="D572" s="59" t="n"/>
      <c r="E572" s="59" t="n"/>
      <c r="F572" s="59" t="n"/>
      <c r="G572" s="60" t="n"/>
      <c r="H572" s="59" t="n"/>
      <c r="I572" s="59" t="n"/>
      <c r="J572" s="59" t="n"/>
      <c r="K572" s="59" t="n"/>
      <c r="L572" s="59" t="n"/>
      <c r="M572" s="59" t="n"/>
      <c r="N572" s="59" t="n"/>
      <c r="O572" s="59" t="n"/>
      <c r="P572" s="59" t="n"/>
      <c r="Q572" s="59" t="n"/>
      <c r="R572" s="59" t="n"/>
      <c r="S572" s="59" t="n"/>
      <c r="T572" s="59" t="n"/>
      <c r="U572" s="59" t="n"/>
      <c r="V572" s="59" t="n"/>
      <c r="W572" s="59" t="n"/>
      <c r="X572" s="59" t="n"/>
      <c r="Y572" s="59" t="n"/>
      <c r="Z572" s="59" t="n"/>
      <c r="AA572" s="59" t="n"/>
      <c r="AB572" s="59" t="n"/>
      <c r="AC572" s="59" t="n"/>
      <c r="AD572" s="59" t="n"/>
    </row>
    <row r="573">
      <c r="A573" s="59" t="n"/>
      <c r="B573" s="59" t="n"/>
      <c r="C573" s="59" t="n"/>
      <c r="D573" s="59" t="n"/>
      <c r="E573" s="59" t="n"/>
      <c r="F573" s="59" t="n"/>
      <c r="G573" s="60" t="n"/>
      <c r="H573" s="59" t="n"/>
      <c r="I573" s="59" t="n"/>
      <c r="J573" s="59" t="n"/>
      <c r="K573" s="59" t="n"/>
      <c r="L573" s="59" t="n"/>
      <c r="M573" s="59" t="n"/>
      <c r="N573" s="59" t="n"/>
      <c r="O573" s="59" t="n"/>
      <c r="P573" s="59" t="n"/>
      <c r="Q573" s="59" t="n"/>
      <c r="R573" s="59" t="n"/>
      <c r="S573" s="59" t="n"/>
      <c r="T573" s="59" t="n"/>
      <c r="U573" s="59" t="n"/>
      <c r="V573" s="59" t="n"/>
      <c r="W573" s="59" t="n"/>
      <c r="X573" s="59" t="n"/>
      <c r="Y573" s="59" t="n"/>
      <c r="Z573" s="59" t="n"/>
      <c r="AA573" s="59" t="n"/>
      <c r="AB573" s="59" t="n"/>
      <c r="AC573" s="59" t="n"/>
      <c r="AD573" s="59" t="n"/>
    </row>
    <row r="574">
      <c r="A574" s="59" t="n"/>
      <c r="B574" s="59" t="n"/>
      <c r="C574" s="59" t="n"/>
      <c r="D574" s="59" t="n"/>
      <c r="E574" s="59" t="n"/>
      <c r="F574" s="59" t="n"/>
      <c r="G574" s="60" t="n"/>
      <c r="H574" s="59" t="n"/>
      <c r="I574" s="59" t="n"/>
      <c r="J574" s="59" t="n"/>
      <c r="K574" s="59" t="n"/>
      <c r="L574" s="59" t="n"/>
      <c r="M574" s="59" t="n"/>
      <c r="N574" s="59" t="n"/>
      <c r="O574" s="59" t="n"/>
      <c r="P574" s="59" t="n"/>
      <c r="Q574" s="59" t="n"/>
      <c r="R574" s="59" t="n"/>
      <c r="S574" s="59" t="n"/>
      <c r="T574" s="59" t="n"/>
      <c r="U574" s="59" t="n"/>
      <c r="V574" s="59" t="n"/>
      <c r="W574" s="59" t="n"/>
      <c r="X574" s="59" t="n"/>
      <c r="Y574" s="59" t="n"/>
      <c r="Z574" s="59" t="n"/>
      <c r="AA574" s="59" t="n"/>
      <c r="AB574" s="59" t="n"/>
      <c r="AC574" s="59" t="n"/>
      <c r="AD574" s="59" t="n"/>
    </row>
    <row r="575">
      <c r="A575" s="59" t="n"/>
      <c r="B575" s="59" t="n"/>
      <c r="C575" s="59" t="n"/>
      <c r="D575" s="59" t="n"/>
      <c r="E575" s="59" t="n"/>
      <c r="F575" s="59" t="n"/>
      <c r="G575" s="60" t="n"/>
      <c r="H575" s="59" t="n"/>
      <c r="I575" s="59" t="n"/>
      <c r="J575" s="59" t="n"/>
      <c r="K575" s="59" t="n"/>
      <c r="L575" s="59" t="n"/>
      <c r="M575" s="59" t="n"/>
      <c r="N575" s="59" t="n"/>
      <c r="O575" s="59" t="n"/>
      <c r="P575" s="59" t="n"/>
      <c r="Q575" s="59" t="n"/>
      <c r="R575" s="59" t="n"/>
      <c r="S575" s="59" t="n"/>
      <c r="T575" s="59" t="n"/>
      <c r="U575" s="59" t="n"/>
      <c r="V575" s="59" t="n"/>
      <c r="W575" s="59" t="n"/>
      <c r="X575" s="59" t="n"/>
      <c r="Y575" s="59" t="n"/>
      <c r="Z575" s="59" t="n"/>
      <c r="AA575" s="59" t="n"/>
      <c r="AB575" s="59" t="n"/>
      <c r="AC575" s="59" t="n"/>
      <c r="AD575" s="59" t="n"/>
    </row>
    <row r="576">
      <c r="A576" s="59" t="n"/>
      <c r="B576" s="59" t="n"/>
      <c r="C576" s="59" t="n"/>
      <c r="D576" s="59" t="n"/>
      <c r="E576" s="59" t="n"/>
      <c r="F576" s="59" t="n"/>
      <c r="G576" s="60" t="n"/>
      <c r="H576" s="59" t="n"/>
      <c r="I576" s="59" t="n"/>
      <c r="J576" s="59" t="n"/>
      <c r="K576" s="59" t="n"/>
      <c r="L576" s="59" t="n"/>
      <c r="M576" s="59" t="n"/>
      <c r="N576" s="59" t="n"/>
      <c r="O576" s="59" t="n"/>
      <c r="P576" s="59" t="n"/>
      <c r="Q576" s="59" t="n"/>
      <c r="R576" s="59" t="n"/>
      <c r="S576" s="59" t="n"/>
      <c r="T576" s="59" t="n"/>
      <c r="U576" s="59" t="n"/>
      <c r="V576" s="59" t="n"/>
      <c r="W576" s="59" t="n"/>
      <c r="X576" s="59" t="n"/>
      <c r="Y576" s="59" t="n"/>
      <c r="Z576" s="59" t="n"/>
      <c r="AA576" s="59" t="n"/>
      <c r="AB576" s="59" t="n"/>
      <c r="AC576" s="59" t="n"/>
      <c r="AD576" s="59" t="n"/>
    </row>
    <row r="577">
      <c r="A577" s="59" t="n"/>
      <c r="B577" s="59" t="n"/>
      <c r="C577" s="59" t="n"/>
      <c r="D577" s="59" t="n"/>
      <c r="E577" s="59" t="n"/>
      <c r="F577" s="59" t="n"/>
      <c r="G577" s="60" t="n"/>
      <c r="H577" s="59" t="n"/>
      <c r="I577" s="59" t="n"/>
      <c r="J577" s="59" t="n"/>
      <c r="K577" s="59" t="n"/>
      <c r="L577" s="59" t="n"/>
      <c r="M577" s="59" t="n"/>
      <c r="N577" s="59" t="n"/>
      <c r="O577" s="59" t="n"/>
      <c r="P577" s="59" t="n"/>
      <c r="Q577" s="59" t="n"/>
      <c r="R577" s="59" t="n"/>
      <c r="S577" s="59" t="n"/>
      <c r="T577" s="59" t="n"/>
      <c r="U577" s="59" t="n"/>
      <c r="V577" s="59" t="n"/>
      <c r="W577" s="59" t="n"/>
      <c r="X577" s="59" t="n"/>
      <c r="Y577" s="59" t="n"/>
      <c r="Z577" s="59" t="n"/>
      <c r="AA577" s="59" t="n"/>
      <c r="AB577" s="59" t="n"/>
      <c r="AC577" s="59" t="n"/>
      <c r="AD577" s="59" t="n"/>
    </row>
    <row r="578">
      <c r="A578" s="59" t="n"/>
      <c r="B578" s="59" t="n"/>
      <c r="C578" s="59" t="n"/>
      <c r="D578" s="59" t="n"/>
      <c r="E578" s="59" t="n"/>
      <c r="F578" s="59" t="n"/>
      <c r="G578" s="60" t="n"/>
      <c r="H578" s="59" t="n"/>
      <c r="I578" s="59" t="n"/>
      <c r="J578" s="59" t="n"/>
      <c r="K578" s="59" t="n"/>
      <c r="L578" s="59" t="n"/>
      <c r="M578" s="59" t="n"/>
      <c r="N578" s="59" t="n"/>
      <c r="O578" s="59" t="n"/>
      <c r="P578" s="59" t="n"/>
      <c r="Q578" s="59" t="n"/>
      <c r="R578" s="59" t="n"/>
      <c r="S578" s="59" t="n"/>
      <c r="T578" s="59" t="n"/>
      <c r="U578" s="59" t="n"/>
      <c r="V578" s="59" t="n"/>
      <c r="W578" s="59" t="n"/>
      <c r="X578" s="59" t="n"/>
      <c r="Y578" s="59" t="n"/>
      <c r="Z578" s="59" t="n"/>
      <c r="AA578" s="59" t="n"/>
      <c r="AB578" s="59" t="n"/>
      <c r="AC578" s="59" t="n"/>
      <c r="AD578" s="59" t="n"/>
    </row>
    <row r="579">
      <c r="A579" s="59" t="n"/>
      <c r="B579" s="59" t="n"/>
      <c r="C579" s="59" t="n"/>
      <c r="D579" s="59" t="n"/>
      <c r="E579" s="59" t="n"/>
      <c r="F579" s="59" t="n"/>
      <c r="G579" s="60" t="n"/>
      <c r="H579" s="59" t="n"/>
      <c r="I579" s="59" t="n"/>
      <c r="J579" s="59" t="n"/>
      <c r="K579" s="59" t="n"/>
      <c r="L579" s="59" t="n"/>
      <c r="M579" s="59" t="n"/>
      <c r="N579" s="59" t="n"/>
      <c r="O579" s="59" t="n"/>
      <c r="P579" s="59" t="n"/>
      <c r="Q579" s="59" t="n"/>
      <c r="R579" s="59" t="n"/>
      <c r="S579" s="59" t="n"/>
      <c r="T579" s="59" t="n"/>
      <c r="U579" s="59" t="n"/>
      <c r="V579" s="59" t="n"/>
      <c r="W579" s="59" t="n"/>
      <c r="X579" s="59" t="n"/>
      <c r="Y579" s="59" t="n"/>
      <c r="Z579" s="59" t="n"/>
      <c r="AA579" s="59" t="n"/>
      <c r="AB579" s="59" t="n"/>
      <c r="AC579" s="59" t="n"/>
      <c r="AD579" s="59" t="n"/>
    </row>
    <row r="580">
      <c r="A580" s="59" t="n"/>
      <c r="B580" s="59" t="n"/>
      <c r="C580" s="59" t="n"/>
      <c r="D580" s="59" t="n"/>
      <c r="E580" s="59" t="n"/>
      <c r="F580" s="59" t="n"/>
      <c r="G580" s="60" t="n"/>
      <c r="H580" s="59" t="n"/>
      <c r="I580" s="59" t="n"/>
      <c r="J580" s="59" t="n"/>
      <c r="K580" s="59" t="n"/>
      <c r="L580" s="59" t="n"/>
      <c r="M580" s="59" t="n"/>
      <c r="N580" s="59" t="n"/>
      <c r="O580" s="59" t="n"/>
      <c r="P580" s="59" t="n"/>
      <c r="Q580" s="59" t="n"/>
      <c r="R580" s="59" t="n"/>
      <c r="S580" s="59" t="n"/>
      <c r="T580" s="59" t="n"/>
      <c r="U580" s="59" t="n"/>
      <c r="V580" s="59" t="n"/>
      <c r="W580" s="59" t="n"/>
      <c r="X580" s="59" t="n"/>
      <c r="Y580" s="59" t="n"/>
      <c r="Z580" s="59" t="n"/>
      <c r="AA580" s="59" t="n"/>
      <c r="AB580" s="59" t="n"/>
      <c r="AC580" s="59" t="n"/>
      <c r="AD580" s="59" t="n"/>
    </row>
    <row r="581">
      <c r="A581" s="59" t="n"/>
      <c r="B581" s="59" t="n"/>
      <c r="C581" s="59" t="n"/>
      <c r="D581" s="59" t="n"/>
      <c r="E581" s="59" t="n"/>
      <c r="F581" s="59" t="n"/>
      <c r="G581" s="60" t="n"/>
      <c r="H581" s="59" t="n"/>
      <c r="I581" s="59" t="n"/>
      <c r="J581" s="59" t="n"/>
      <c r="K581" s="59" t="n"/>
      <c r="L581" s="59" t="n"/>
      <c r="M581" s="59" t="n"/>
      <c r="N581" s="59" t="n"/>
      <c r="O581" s="59" t="n"/>
      <c r="P581" s="59" t="n"/>
      <c r="Q581" s="59" t="n"/>
      <c r="R581" s="59" t="n"/>
      <c r="S581" s="59" t="n"/>
      <c r="T581" s="59" t="n"/>
      <c r="U581" s="59" t="n"/>
      <c r="V581" s="59" t="n"/>
      <c r="W581" s="59" t="n"/>
      <c r="X581" s="59" t="n"/>
      <c r="Y581" s="59" t="n"/>
      <c r="Z581" s="59" t="n"/>
      <c r="AA581" s="59" t="n"/>
      <c r="AB581" s="59" t="n"/>
      <c r="AC581" s="59" t="n"/>
      <c r="AD581" s="59" t="n"/>
    </row>
    <row r="582">
      <c r="A582" s="59" t="n"/>
      <c r="B582" s="59" t="n"/>
      <c r="C582" s="59" t="n"/>
      <c r="D582" s="59" t="n"/>
      <c r="E582" s="59" t="n"/>
      <c r="F582" s="59" t="n"/>
      <c r="G582" s="60" t="n"/>
      <c r="H582" s="59" t="n"/>
      <c r="I582" s="59" t="n"/>
      <c r="J582" s="59" t="n"/>
      <c r="K582" s="59" t="n"/>
      <c r="L582" s="59" t="n"/>
      <c r="M582" s="59" t="n"/>
      <c r="N582" s="59" t="n"/>
      <c r="O582" s="59" t="n"/>
      <c r="P582" s="59" t="n"/>
      <c r="Q582" s="59" t="n"/>
      <c r="R582" s="59" t="n"/>
      <c r="S582" s="59" t="n"/>
      <c r="T582" s="59" t="n"/>
      <c r="U582" s="59" t="n"/>
      <c r="V582" s="59" t="n"/>
      <c r="W582" s="59" t="n"/>
      <c r="X582" s="59" t="n"/>
      <c r="Y582" s="59" t="n"/>
      <c r="Z582" s="59" t="n"/>
      <c r="AA582" s="59" t="n"/>
      <c r="AB582" s="59" t="n"/>
      <c r="AC582" s="59" t="n"/>
      <c r="AD582" s="59" t="n"/>
    </row>
    <row r="583">
      <c r="A583" s="59" t="n"/>
      <c r="B583" s="59" t="n"/>
      <c r="C583" s="59" t="n"/>
      <c r="D583" s="59" t="n"/>
      <c r="E583" s="59" t="n"/>
      <c r="F583" s="59" t="n"/>
      <c r="G583" s="60" t="n"/>
      <c r="H583" s="59" t="n"/>
      <c r="I583" s="59" t="n"/>
      <c r="J583" s="59" t="n"/>
      <c r="K583" s="59" t="n"/>
      <c r="L583" s="59" t="n"/>
      <c r="M583" s="59" t="n"/>
      <c r="N583" s="59" t="n"/>
      <c r="O583" s="59" t="n"/>
      <c r="P583" s="59" t="n"/>
      <c r="Q583" s="59" t="n"/>
      <c r="R583" s="59" t="n"/>
      <c r="S583" s="59" t="n"/>
      <c r="T583" s="59" t="n"/>
      <c r="U583" s="59" t="n"/>
      <c r="V583" s="59" t="n"/>
      <c r="W583" s="59" t="n"/>
      <c r="X583" s="59" t="n"/>
      <c r="Y583" s="59" t="n"/>
      <c r="Z583" s="59" t="n"/>
      <c r="AA583" s="59" t="n"/>
      <c r="AB583" s="59" t="n"/>
      <c r="AC583" s="59" t="n"/>
      <c r="AD583" s="59" t="n"/>
    </row>
    <row r="584">
      <c r="A584" s="59" t="n"/>
      <c r="B584" s="59" t="n"/>
      <c r="C584" s="59" t="n"/>
      <c r="D584" s="59" t="n"/>
      <c r="E584" s="59" t="n"/>
      <c r="F584" s="59" t="n"/>
      <c r="G584" s="60" t="n"/>
      <c r="H584" s="59" t="n"/>
      <c r="I584" s="59" t="n"/>
      <c r="J584" s="59" t="n"/>
      <c r="K584" s="59" t="n"/>
      <c r="L584" s="59" t="n"/>
      <c r="M584" s="59" t="n"/>
      <c r="N584" s="59" t="n"/>
      <c r="O584" s="59" t="n"/>
      <c r="P584" s="59" t="n"/>
      <c r="Q584" s="59" t="n"/>
      <c r="R584" s="59" t="n"/>
      <c r="S584" s="59" t="n"/>
      <c r="T584" s="59" t="n"/>
      <c r="U584" s="59" t="n"/>
      <c r="V584" s="59" t="n"/>
      <c r="W584" s="59" t="n"/>
      <c r="X584" s="59" t="n"/>
      <c r="Y584" s="59" t="n"/>
      <c r="Z584" s="59" t="n"/>
      <c r="AA584" s="59" t="n"/>
      <c r="AB584" s="59" t="n"/>
      <c r="AC584" s="59" t="n"/>
      <c r="AD584" s="59" t="n"/>
    </row>
    <row r="585">
      <c r="A585" s="59" t="n"/>
      <c r="B585" s="59" t="n"/>
      <c r="C585" s="59" t="n"/>
      <c r="D585" s="59" t="n"/>
      <c r="E585" s="59" t="n"/>
      <c r="F585" s="59" t="n"/>
      <c r="G585" s="60" t="n"/>
      <c r="H585" s="59" t="n"/>
      <c r="I585" s="59" t="n"/>
      <c r="J585" s="59" t="n"/>
      <c r="K585" s="59" t="n"/>
      <c r="L585" s="59" t="n"/>
      <c r="M585" s="59" t="n"/>
      <c r="N585" s="59" t="n"/>
      <c r="O585" s="59" t="n"/>
      <c r="P585" s="59" t="n"/>
      <c r="Q585" s="59" t="n"/>
      <c r="R585" s="59" t="n"/>
      <c r="S585" s="59" t="n"/>
      <c r="T585" s="59" t="n"/>
      <c r="U585" s="59" t="n"/>
      <c r="V585" s="59" t="n"/>
      <c r="W585" s="59" t="n"/>
      <c r="X585" s="59" t="n"/>
      <c r="Y585" s="59" t="n"/>
      <c r="Z585" s="59" t="n"/>
      <c r="AA585" s="59" t="n"/>
      <c r="AB585" s="59" t="n"/>
      <c r="AC585" s="59" t="n"/>
      <c r="AD585" s="59" t="n"/>
    </row>
    <row r="586">
      <c r="A586" s="59" t="n"/>
      <c r="B586" s="59" t="n"/>
      <c r="C586" s="59" t="n"/>
      <c r="D586" s="59" t="n"/>
      <c r="E586" s="59" t="n"/>
      <c r="F586" s="59" t="n"/>
      <c r="G586" s="60" t="n"/>
      <c r="H586" s="59" t="n"/>
      <c r="I586" s="59" t="n"/>
      <c r="J586" s="59" t="n"/>
      <c r="K586" s="59" t="n"/>
      <c r="L586" s="59" t="n"/>
      <c r="M586" s="59" t="n"/>
      <c r="N586" s="59" t="n"/>
      <c r="O586" s="59" t="n"/>
      <c r="P586" s="59" t="n"/>
      <c r="Q586" s="59" t="n"/>
      <c r="R586" s="59" t="n"/>
      <c r="S586" s="59" t="n"/>
      <c r="T586" s="59" t="n"/>
      <c r="U586" s="59" t="n"/>
      <c r="V586" s="59" t="n"/>
      <c r="W586" s="59" t="n"/>
      <c r="X586" s="59" t="n"/>
      <c r="Y586" s="59" t="n"/>
      <c r="Z586" s="59" t="n"/>
      <c r="AA586" s="59" t="n"/>
      <c r="AB586" s="59" t="n"/>
      <c r="AC586" s="59" t="n"/>
      <c r="AD586" s="59" t="n"/>
    </row>
    <row r="587">
      <c r="A587" s="59" t="n"/>
      <c r="B587" s="59" t="n"/>
      <c r="C587" s="59" t="n"/>
      <c r="D587" s="59" t="n"/>
      <c r="E587" s="59" t="n"/>
      <c r="F587" s="59" t="n"/>
      <c r="G587" s="60" t="n"/>
      <c r="H587" s="59" t="n"/>
      <c r="I587" s="59" t="n"/>
      <c r="J587" s="59" t="n"/>
      <c r="K587" s="59" t="n"/>
      <c r="L587" s="59" t="n"/>
      <c r="M587" s="59" t="n"/>
      <c r="N587" s="59" t="n"/>
      <c r="O587" s="59" t="n"/>
      <c r="P587" s="59" t="n"/>
      <c r="Q587" s="59" t="n"/>
      <c r="R587" s="59" t="n"/>
      <c r="S587" s="59" t="n"/>
      <c r="T587" s="59" t="n"/>
      <c r="U587" s="59" t="n"/>
      <c r="V587" s="59" t="n"/>
      <c r="W587" s="59" t="n"/>
      <c r="X587" s="59" t="n"/>
      <c r="Y587" s="59" t="n"/>
      <c r="Z587" s="59" t="n"/>
      <c r="AA587" s="59" t="n"/>
      <c r="AB587" s="59" t="n"/>
      <c r="AC587" s="59" t="n"/>
      <c r="AD587" s="59" t="n"/>
    </row>
    <row r="588">
      <c r="A588" s="59" t="n"/>
      <c r="B588" s="59" t="n"/>
      <c r="C588" s="59" t="n"/>
      <c r="D588" s="59" t="n"/>
      <c r="E588" s="59" t="n"/>
      <c r="F588" s="59" t="n"/>
      <c r="G588" s="60" t="n"/>
      <c r="H588" s="59" t="n"/>
      <c r="I588" s="59" t="n"/>
      <c r="J588" s="59" t="n"/>
      <c r="K588" s="59" t="n"/>
      <c r="L588" s="59" t="n"/>
      <c r="M588" s="59" t="n"/>
      <c r="N588" s="59" t="n"/>
      <c r="O588" s="59" t="n"/>
      <c r="P588" s="59" t="n"/>
      <c r="Q588" s="59" t="n"/>
      <c r="R588" s="59" t="n"/>
      <c r="S588" s="59" t="n"/>
      <c r="T588" s="59" t="n"/>
      <c r="U588" s="59" t="n"/>
      <c r="V588" s="59" t="n"/>
      <c r="W588" s="59" t="n"/>
      <c r="X588" s="59" t="n"/>
      <c r="Y588" s="59" t="n"/>
      <c r="Z588" s="59" t="n"/>
      <c r="AA588" s="59" t="n"/>
      <c r="AB588" s="59" t="n"/>
      <c r="AC588" s="59" t="n"/>
      <c r="AD588" s="59" t="n"/>
    </row>
    <row r="589">
      <c r="A589" s="59" t="n"/>
      <c r="B589" s="59" t="n"/>
      <c r="C589" s="59" t="n"/>
      <c r="D589" s="59" t="n"/>
      <c r="E589" s="59" t="n"/>
      <c r="F589" s="59" t="n"/>
      <c r="G589" s="60" t="n"/>
      <c r="H589" s="59" t="n"/>
      <c r="I589" s="59" t="n"/>
      <c r="J589" s="59" t="n"/>
      <c r="K589" s="59" t="n"/>
      <c r="L589" s="59" t="n"/>
      <c r="M589" s="59" t="n"/>
      <c r="N589" s="59" t="n"/>
      <c r="O589" s="59" t="n"/>
      <c r="P589" s="59" t="n"/>
      <c r="Q589" s="59" t="n"/>
      <c r="R589" s="59" t="n"/>
      <c r="S589" s="59" t="n"/>
      <c r="T589" s="59" t="n"/>
      <c r="U589" s="59" t="n"/>
      <c r="V589" s="59" t="n"/>
      <c r="W589" s="59" t="n"/>
      <c r="X589" s="59" t="n"/>
      <c r="Y589" s="59" t="n"/>
      <c r="Z589" s="59" t="n"/>
      <c r="AA589" s="59" t="n"/>
      <c r="AB589" s="59" t="n"/>
      <c r="AC589" s="59" t="n"/>
      <c r="AD589" s="59" t="n"/>
    </row>
    <row r="590">
      <c r="A590" s="59" t="n"/>
      <c r="B590" s="59" t="n"/>
      <c r="C590" s="59" t="n"/>
      <c r="D590" s="59" t="n"/>
      <c r="E590" s="59" t="n"/>
      <c r="F590" s="59" t="n"/>
      <c r="G590" s="60" t="n"/>
      <c r="H590" s="59" t="n"/>
      <c r="I590" s="59" t="n"/>
      <c r="J590" s="59" t="n"/>
      <c r="K590" s="59" t="n"/>
      <c r="L590" s="59" t="n"/>
      <c r="M590" s="59" t="n"/>
      <c r="N590" s="59" t="n"/>
      <c r="O590" s="59" t="n"/>
      <c r="P590" s="59" t="n"/>
      <c r="Q590" s="59" t="n"/>
      <c r="R590" s="59" t="n"/>
      <c r="S590" s="59" t="n"/>
      <c r="T590" s="59" t="n"/>
      <c r="U590" s="59" t="n"/>
      <c r="V590" s="59" t="n"/>
      <c r="W590" s="59" t="n"/>
      <c r="X590" s="59" t="n"/>
      <c r="Y590" s="59" t="n"/>
      <c r="Z590" s="59" t="n"/>
      <c r="AA590" s="59" t="n"/>
      <c r="AB590" s="59" t="n"/>
      <c r="AC590" s="59" t="n"/>
      <c r="AD590" s="59" t="n"/>
    </row>
    <row r="591">
      <c r="A591" s="59" t="n"/>
      <c r="B591" s="59" t="n"/>
      <c r="C591" s="59" t="n"/>
      <c r="D591" s="59" t="n"/>
      <c r="E591" s="59" t="n"/>
      <c r="F591" s="59" t="n"/>
      <c r="G591" s="60" t="n"/>
      <c r="H591" s="59" t="n"/>
      <c r="I591" s="59" t="n"/>
      <c r="J591" s="59" t="n"/>
      <c r="K591" s="59" t="n"/>
      <c r="L591" s="59" t="n"/>
      <c r="M591" s="59" t="n"/>
      <c r="N591" s="59" t="n"/>
      <c r="O591" s="59" t="n"/>
      <c r="P591" s="59" t="n"/>
      <c r="Q591" s="59" t="n"/>
      <c r="R591" s="59" t="n"/>
      <c r="S591" s="59" t="n"/>
      <c r="T591" s="59" t="n"/>
      <c r="U591" s="59" t="n"/>
      <c r="V591" s="59" t="n"/>
      <c r="W591" s="59" t="n"/>
      <c r="X591" s="59" t="n"/>
      <c r="Y591" s="59" t="n"/>
      <c r="Z591" s="59" t="n"/>
      <c r="AA591" s="59" t="n"/>
      <c r="AB591" s="59" t="n"/>
      <c r="AC591" s="59" t="n"/>
      <c r="AD591" s="59" t="n"/>
    </row>
    <row r="592">
      <c r="A592" s="59" t="n"/>
      <c r="B592" s="59" t="n"/>
      <c r="C592" s="59" t="n"/>
      <c r="D592" s="59" t="n"/>
      <c r="E592" s="59" t="n"/>
      <c r="F592" s="59" t="n"/>
      <c r="G592" s="60" t="n"/>
      <c r="H592" s="59" t="n"/>
      <c r="I592" s="59" t="n"/>
      <c r="J592" s="59" t="n"/>
      <c r="K592" s="59" t="n"/>
      <c r="L592" s="59" t="n"/>
      <c r="M592" s="59" t="n"/>
      <c r="N592" s="59" t="n"/>
      <c r="O592" s="59" t="n"/>
      <c r="P592" s="59" t="n"/>
      <c r="Q592" s="59" t="n"/>
      <c r="R592" s="59" t="n"/>
      <c r="S592" s="59" t="n"/>
      <c r="T592" s="59" t="n"/>
      <c r="U592" s="59" t="n"/>
      <c r="V592" s="59" t="n"/>
      <c r="W592" s="59" t="n"/>
      <c r="X592" s="59" t="n"/>
      <c r="Y592" s="59" t="n"/>
      <c r="Z592" s="59" t="n"/>
      <c r="AA592" s="59" t="n"/>
      <c r="AB592" s="59" t="n"/>
      <c r="AC592" s="59" t="n"/>
      <c r="AD592" s="59" t="n"/>
    </row>
    <row r="593">
      <c r="A593" s="59" t="n"/>
      <c r="B593" s="59" t="n"/>
      <c r="C593" s="59" t="n"/>
      <c r="D593" s="59" t="n"/>
      <c r="E593" s="59" t="n"/>
      <c r="F593" s="59" t="n"/>
      <c r="G593" s="60" t="n"/>
      <c r="H593" s="59" t="n"/>
      <c r="I593" s="59" t="n"/>
      <c r="J593" s="59" t="n"/>
      <c r="K593" s="59" t="n"/>
      <c r="L593" s="59" t="n"/>
      <c r="M593" s="59" t="n"/>
      <c r="N593" s="59" t="n"/>
      <c r="O593" s="59" t="n"/>
      <c r="P593" s="59" t="n"/>
      <c r="Q593" s="59" t="n"/>
      <c r="R593" s="59" t="n"/>
      <c r="S593" s="59" t="n"/>
      <c r="T593" s="59" t="n"/>
      <c r="U593" s="59" t="n"/>
      <c r="V593" s="59" t="n"/>
      <c r="W593" s="59" t="n"/>
      <c r="X593" s="59" t="n"/>
      <c r="Y593" s="59" t="n"/>
      <c r="Z593" s="59" t="n"/>
      <c r="AA593" s="59" t="n"/>
      <c r="AB593" s="59" t="n"/>
      <c r="AC593" s="59" t="n"/>
      <c r="AD593" s="59" t="n"/>
    </row>
    <row r="594">
      <c r="A594" s="59" t="n"/>
      <c r="B594" s="59" t="n"/>
      <c r="C594" s="59" t="n"/>
      <c r="D594" s="59" t="n"/>
      <c r="E594" s="59" t="n"/>
      <c r="F594" s="59" t="n"/>
      <c r="G594" s="60" t="n"/>
      <c r="H594" s="59" t="n"/>
      <c r="I594" s="59" t="n"/>
      <c r="J594" s="59" t="n"/>
      <c r="K594" s="59" t="n"/>
      <c r="L594" s="59" t="n"/>
      <c r="M594" s="59" t="n"/>
      <c r="N594" s="59" t="n"/>
      <c r="O594" s="59" t="n"/>
      <c r="P594" s="59" t="n"/>
      <c r="Q594" s="59" t="n"/>
      <c r="R594" s="59" t="n"/>
      <c r="S594" s="59" t="n"/>
      <c r="T594" s="59" t="n"/>
      <c r="U594" s="59" t="n"/>
      <c r="V594" s="59" t="n"/>
      <c r="W594" s="59" t="n"/>
      <c r="X594" s="59" t="n"/>
      <c r="Y594" s="59" t="n"/>
      <c r="Z594" s="59" t="n"/>
      <c r="AA594" s="59" t="n"/>
      <c r="AB594" s="59" t="n"/>
      <c r="AC594" s="59" t="n"/>
      <c r="AD594" s="59" t="n"/>
    </row>
    <row r="595">
      <c r="A595" s="59" t="n"/>
      <c r="B595" s="59" t="n"/>
      <c r="C595" s="59" t="n"/>
      <c r="D595" s="59" t="n"/>
      <c r="E595" s="59" t="n"/>
      <c r="F595" s="59" t="n"/>
      <c r="G595" s="60" t="n"/>
      <c r="H595" s="59" t="n"/>
      <c r="I595" s="59" t="n"/>
      <c r="J595" s="59" t="n"/>
      <c r="K595" s="59" t="n"/>
      <c r="L595" s="59" t="n"/>
      <c r="M595" s="59" t="n"/>
      <c r="N595" s="59" t="n"/>
      <c r="O595" s="59" t="n"/>
      <c r="P595" s="59" t="n"/>
      <c r="Q595" s="59" t="n"/>
      <c r="R595" s="59" t="n"/>
      <c r="S595" s="59" t="n"/>
      <c r="T595" s="59" t="n"/>
      <c r="U595" s="59" t="n"/>
      <c r="V595" s="59" t="n"/>
      <c r="W595" s="59" t="n"/>
      <c r="X595" s="59" t="n"/>
      <c r="Y595" s="59" t="n"/>
      <c r="Z595" s="59" t="n"/>
      <c r="AA595" s="59" t="n"/>
      <c r="AB595" s="59" t="n"/>
      <c r="AC595" s="59" t="n"/>
      <c r="AD595" s="59" t="n"/>
    </row>
    <row r="596">
      <c r="A596" s="59" t="n"/>
      <c r="B596" s="59" t="n"/>
      <c r="C596" s="59" t="n"/>
      <c r="D596" s="59" t="n"/>
      <c r="E596" s="59" t="n"/>
      <c r="F596" s="59" t="n"/>
      <c r="G596" s="60" t="n"/>
      <c r="H596" s="59" t="n"/>
      <c r="I596" s="59" t="n"/>
      <c r="J596" s="59" t="n"/>
      <c r="K596" s="59" t="n"/>
      <c r="L596" s="59" t="n"/>
      <c r="M596" s="59" t="n"/>
      <c r="N596" s="59" t="n"/>
      <c r="O596" s="59" t="n"/>
      <c r="P596" s="59" t="n"/>
      <c r="Q596" s="59" t="n"/>
      <c r="R596" s="59" t="n"/>
      <c r="S596" s="59" t="n"/>
      <c r="T596" s="59" t="n"/>
      <c r="U596" s="59" t="n"/>
      <c r="V596" s="59" t="n"/>
      <c r="W596" s="59" t="n"/>
      <c r="X596" s="59" t="n"/>
      <c r="Y596" s="59" t="n"/>
      <c r="Z596" s="59" t="n"/>
      <c r="AA596" s="59" t="n"/>
      <c r="AB596" s="59" t="n"/>
      <c r="AC596" s="59" t="n"/>
      <c r="AD596" s="59" t="n"/>
    </row>
    <row r="597">
      <c r="A597" s="59" t="n"/>
      <c r="B597" s="59" t="n"/>
      <c r="C597" s="59" t="n"/>
      <c r="D597" s="59" t="n"/>
      <c r="E597" s="59" t="n"/>
      <c r="F597" s="59" t="n"/>
      <c r="G597" s="60" t="n"/>
      <c r="H597" s="59" t="n"/>
      <c r="I597" s="59" t="n"/>
      <c r="J597" s="59" t="n"/>
      <c r="K597" s="59" t="n"/>
      <c r="L597" s="59" t="n"/>
      <c r="M597" s="59" t="n"/>
      <c r="N597" s="59" t="n"/>
      <c r="O597" s="59" t="n"/>
      <c r="P597" s="59" t="n"/>
      <c r="Q597" s="59" t="n"/>
      <c r="R597" s="59" t="n"/>
      <c r="S597" s="59" t="n"/>
      <c r="T597" s="59" t="n"/>
      <c r="U597" s="59" t="n"/>
      <c r="V597" s="59" t="n"/>
      <c r="W597" s="59" t="n"/>
      <c r="X597" s="59" t="n"/>
      <c r="Y597" s="59" t="n"/>
      <c r="Z597" s="59" t="n"/>
      <c r="AA597" s="59" t="n"/>
      <c r="AB597" s="59" t="n"/>
      <c r="AC597" s="59" t="n"/>
      <c r="AD597" s="59" t="n"/>
    </row>
    <row r="598">
      <c r="A598" s="59" t="n"/>
      <c r="B598" s="59" t="n"/>
      <c r="C598" s="59" t="n"/>
      <c r="D598" s="59" t="n"/>
      <c r="E598" s="59" t="n"/>
      <c r="F598" s="59" t="n"/>
      <c r="G598" s="60" t="n"/>
      <c r="H598" s="59" t="n"/>
      <c r="I598" s="59" t="n"/>
      <c r="J598" s="59" t="n"/>
      <c r="K598" s="59" t="n"/>
      <c r="L598" s="59" t="n"/>
      <c r="M598" s="59" t="n"/>
      <c r="N598" s="59" t="n"/>
      <c r="O598" s="59" t="n"/>
      <c r="P598" s="59" t="n"/>
      <c r="Q598" s="59" t="n"/>
      <c r="R598" s="59" t="n"/>
      <c r="S598" s="59" t="n"/>
      <c r="T598" s="59" t="n"/>
      <c r="U598" s="59" t="n"/>
      <c r="V598" s="59" t="n"/>
      <c r="W598" s="59" t="n"/>
      <c r="X598" s="59" t="n"/>
      <c r="Y598" s="59" t="n"/>
      <c r="Z598" s="59" t="n"/>
      <c r="AA598" s="59" t="n"/>
      <c r="AB598" s="59" t="n"/>
      <c r="AC598" s="59" t="n"/>
      <c r="AD598" s="59" t="n"/>
    </row>
    <row r="599">
      <c r="A599" s="59" t="n"/>
      <c r="B599" s="59" t="n"/>
      <c r="C599" s="59" t="n"/>
      <c r="D599" s="59" t="n"/>
      <c r="E599" s="59" t="n"/>
      <c r="F599" s="59" t="n"/>
      <c r="G599" s="60" t="n"/>
      <c r="H599" s="59" t="n"/>
      <c r="I599" s="59" t="n"/>
      <c r="J599" s="59" t="n"/>
      <c r="K599" s="59" t="n"/>
      <c r="L599" s="59" t="n"/>
      <c r="M599" s="59" t="n"/>
      <c r="N599" s="59" t="n"/>
      <c r="O599" s="59" t="n"/>
      <c r="P599" s="59" t="n"/>
      <c r="Q599" s="59" t="n"/>
      <c r="R599" s="59" t="n"/>
      <c r="S599" s="59" t="n"/>
      <c r="T599" s="59" t="n"/>
      <c r="U599" s="59" t="n"/>
      <c r="V599" s="59" t="n"/>
      <c r="W599" s="59" t="n"/>
      <c r="X599" s="59" t="n"/>
      <c r="Y599" s="59" t="n"/>
      <c r="Z599" s="59" t="n"/>
      <c r="AA599" s="59" t="n"/>
      <c r="AB599" s="59" t="n"/>
      <c r="AC599" s="59" t="n"/>
      <c r="AD599" s="59" t="n"/>
    </row>
    <row r="600">
      <c r="A600" s="59" t="n"/>
      <c r="B600" s="59" t="n"/>
      <c r="C600" s="59" t="n"/>
      <c r="D600" s="59" t="n"/>
      <c r="E600" s="59" t="n"/>
      <c r="F600" s="59" t="n"/>
      <c r="G600" s="60" t="n"/>
      <c r="H600" s="59" t="n"/>
      <c r="I600" s="59" t="n"/>
      <c r="J600" s="59" t="n"/>
      <c r="K600" s="59" t="n"/>
      <c r="L600" s="59" t="n"/>
      <c r="M600" s="59" t="n"/>
      <c r="N600" s="59" t="n"/>
      <c r="O600" s="59" t="n"/>
      <c r="P600" s="59" t="n"/>
      <c r="Q600" s="59" t="n"/>
      <c r="R600" s="59" t="n"/>
      <c r="S600" s="59" t="n"/>
      <c r="T600" s="59" t="n"/>
      <c r="U600" s="59" t="n"/>
      <c r="V600" s="59" t="n"/>
      <c r="W600" s="59" t="n"/>
      <c r="X600" s="59" t="n"/>
      <c r="Y600" s="59" t="n"/>
      <c r="Z600" s="59" t="n"/>
      <c r="AA600" s="59" t="n"/>
      <c r="AB600" s="59" t="n"/>
      <c r="AC600" s="59" t="n"/>
      <c r="AD600" s="59" t="n"/>
    </row>
    <row r="601">
      <c r="A601" s="59" t="n"/>
      <c r="B601" s="59" t="n"/>
      <c r="C601" s="59" t="n"/>
      <c r="D601" s="59" t="n"/>
      <c r="E601" s="59" t="n"/>
      <c r="F601" s="59" t="n"/>
      <c r="G601" s="60" t="n"/>
      <c r="H601" s="59" t="n"/>
      <c r="I601" s="59" t="n"/>
      <c r="J601" s="59" t="n"/>
      <c r="K601" s="59" t="n"/>
      <c r="L601" s="59" t="n"/>
      <c r="M601" s="59" t="n"/>
      <c r="N601" s="59" t="n"/>
      <c r="O601" s="59" t="n"/>
      <c r="P601" s="59" t="n"/>
      <c r="Q601" s="59" t="n"/>
      <c r="R601" s="59" t="n"/>
      <c r="S601" s="59" t="n"/>
      <c r="T601" s="59" t="n"/>
      <c r="U601" s="59" t="n"/>
      <c r="V601" s="59" t="n"/>
      <c r="W601" s="59" t="n"/>
      <c r="X601" s="59" t="n"/>
      <c r="Y601" s="59" t="n"/>
      <c r="Z601" s="59" t="n"/>
      <c r="AA601" s="59" t="n"/>
      <c r="AB601" s="59" t="n"/>
      <c r="AC601" s="59" t="n"/>
      <c r="AD601" s="59" t="n"/>
    </row>
    <row r="602">
      <c r="A602" s="59" t="n"/>
      <c r="B602" s="59" t="n"/>
      <c r="C602" s="59" t="n"/>
      <c r="D602" s="59" t="n"/>
      <c r="E602" s="59" t="n"/>
      <c r="F602" s="59" t="n"/>
      <c r="G602" s="60" t="n"/>
      <c r="H602" s="59" t="n"/>
      <c r="I602" s="59" t="n"/>
      <c r="J602" s="59" t="n"/>
      <c r="K602" s="59" t="n"/>
      <c r="L602" s="59" t="n"/>
      <c r="M602" s="59" t="n"/>
      <c r="N602" s="59" t="n"/>
      <c r="O602" s="59" t="n"/>
      <c r="P602" s="59" t="n"/>
      <c r="Q602" s="59" t="n"/>
      <c r="R602" s="59" t="n"/>
      <c r="S602" s="59" t="n"/>
      <c r="T602" s="59" t="n"/>
      <c r="U602" s="59" t="n"/>
      <c r="V602" s="59" t="n"/>
      <c r="W602" s="59" t="n"/>
      <c r="X602" s="59" t="n"/>
      <c r="Y602" s="59" t="n"/>
      <c r="Z602" s="59" t="n"/>
      <c r="AA602" s="59" t="n"/>
      <c r="AB602" s="59" t="n"/>
      <c r="AC602" s="59" t="n"/>
      <c r="AD602" s="59" t="n"/>
    </row>
    <row r="603">
      <c r="A603" s="59" t="n"/>
      <c r="B603" s="59" t="n"/>
      <c r="C603" s="59" t="n"/>
      <c r="D603" s="59" t="n"/>
      <c r="E603" s="59" t="n"/>
      <c r="F603" s="59" t="n"/>
      <c r="G603" s="60" t="n"/>
      <c r="H603" s="59" t="n"/>
      <c r="I603" s="59" t="n"/>
      <c r="J603" s="59" t="n"/>
      <c r="K603" s="59" t="n"/>
      <c r="L603" s="59" t="n"/>
      <c r="M603" s="59" t="n"/>
      <c r="N603" s="59" t="n"/>
      <c r="O603" s="59" t="n"/>
      <c r="P603" s="59" t="n"/>
      <c r="Q603" s="59" t="n"/>
      <c r="R603" s="59" t="n"/>
      <c r="S603" s="59" t="n"/>
      <c r="T603" s="59" t="n"/>
      <c r="U603" s="59" t="n"/>
      <c r="V603" s="59" t="n"/>
      <c r="W603" s="59" t="n"/>
      <c r="X603" s="59" t="n"/>
      <c r="Y603" s="59" t="n"/>
      <c r="Z603" s="59" t="n"/>
      <c r="AA603" s="59" t="n"/>
      <c r="AB603" s="59" t="n"/>
      <c r="AC603" s="59" t="n"/>
      <c r="AD603" s="59" t="n"/>
    </row>
    <row r="604">
      <c r="A604" s="59" t="n"/>
      <c r="B604" s="59" t="n"/>
      <c r="C604" s="59" t="n"/>
      <c r="D604" s="59" t="n"/>
      <c r="E604" s="59" t="n"/>
      <c r="F604" s="59" t="n"/>
      <c r="G604" s="60" t="n"/>
      <c r="H604" s="59" t="n"/>
      <c r="I604" s="59" t="n"/>
      <c r="J604" s="59" t="n"/>
      <c r="K604" s="59" t="n"/>
      <c r="L604" s="59" t="n"/>
      <c r="M604" s="59" t="n"/>
      <c r="N604" s="59" t="n"/>
      <c r="O604" s="59" t="n"/>
      <c r="P604" s="59" t="n"/>
      <c r="Q604" s="59" t="n"/>
      <c r="R604" s="59" t="n"/>
      <c r="S604" s="59" t="n"/>
      <c r="T604" s="59" t="n"/>
      <c r="U604" s="59" t="n"/>
      <c r="V604" s="59" t="n"/>
      <c r="W604" s="59" t="n"/>
      <c r="X604" s="59" t="n"/>
      <c r="Y604" s="59" t="n"/>
      <c r="Z604" s="59" t="n"/>
      <c r="AA604" s="59" t="n"/>
      <c r="AB604" s="59" t="n"/>
      <c r="AC604" s="59" t="n"/>
      <c r="AD604" s="59" t="n"/>
    </row>
    <row r="605">
      <c r="A605" s="59" t="n"/>
      <c r="B605" s="59" t="n"/>
      <c r="C605" s="59" t="n"/>
      <c r="D605" s="59" t="n"/>
      <c r="E605" s="59" t="n"/>
      <c r="F605" s="59" t="n"/>
      <c r="G605" s="60" t="n"/>
      <c r="H605" s="59" t="n"/>
      <c r="I605" s="59" t="n"/>
      <c r="J605" s="59" t="n"/>
      <c r="K605" s="59" t="n"/>
      <c r="L605" s="59" t="n"/>
      <c r="M605" s="59" t="n"/>
      <c r="N605" s="59" t="n"/>
      <c r="O605" s="59" t="n"/>
      <c r="P605" s="59" t="n"/>
      <c r="Q605" s="59" t="n"/>
      <c r="R605" s="59" t="n"/>
      <c r="S605" s="59" t="n"/>
      <c r="T605" s="59" t="n"/>
      <c r="U605" s="59" t="n"/>
      <c r="V605" s="59" t="n"/>
      <c r="W605" s="59" t="n"/>
      <c r="X605" s="59" t="n"/>
      <c r="Y605" s="59" t="n"/>
      <c r="Z605" s="59" t="n"/>
      <c r="AA605" s="59" t="n"/>
      <c r="AB605" s="59" t="n"/>
      <c r="AC605" s="59" t="n"/>
      <c r="AD605" s="59" t="n"/>
    </row>
    <row r="606">
      <c r="A606" s="59" t="n"/>
      <c r="B606" s="59" t="n"/>
      <c r="C606" s="59" t="n"/>
      <c r="D606" s="59" t="n"/>
      <c r="E606" s="59" t="n"/>
      <c r="F606" s="59" t="n"/>
      <c r="G606" s="60" t="n"/>
      <c r="H606" s="59" t="n"/>
      <c r="I606" s="59" t="n"/>
      <c r="J606" s="59" t="n"/>
      <c r="K606" s="59" t="n"/>
      <c r="L606" s="59" t="n"/>
      <c r="M606" s="59" t="n"/>
      <c r="N606" s="59" t="n"/>
      <c r="O606" s="59" t="n"/>
      <c r="P606" s="59" t="n"/>
      <c r="Q606" s="59" t="n"/>
      <c r="R606" s="59" t="n"/>
      <c r="S606" s="59" t="n"/>
      <c r="T606" s="59" t="n"/>
      <c r="U606" s="59" t="n"/>
      <c r="V606" s="59" t="n"/>
      <c r="W606" s="59" t="n"/>
      <c r="X606" s="59" t="n"/>
      <c r="Y606" s="59" t="n"/>
      <c r="Z606" s="59" t="n"/>
      <c r="AA606" s="59" t="n"/>
      <c r="AB606" s="59" t="n"/>
      <c r="AC606" s="59" t="n"/>
      <c r="AD606" s="59" t="n"/>
    </row>
    <row r="607">
      <c r="A607" s="59" t="n"/>
      <c r="B607" s="59" t="n"/>
      <c r="C607" s="59" t="n"/>
      <c r="D607" s="59" t="n"/>
      <c r="E607" s="59" t="n"/>
      <c r="F607" s="59" t="n"/>
      <c r="G607" s="60" t="n"/>
      <c r="H607" s="59" t="n"/>
      <c r="I607" s="59" t="n"/>
      <c r="J607" s="59" t="n"/>
      <c r="K607" s="59" t="n"/>
      <c r="L607" s="59" t="n"/>
      <c r="M607" s="59" t="n"/>
      <c r="N607" s="59" t="n"/>
      <c r="O607" s="59" t="n"/>
      <c r="P607" s="59" t="n"/>
      <c r="Q607" s="59" t="n"/>
      <c r="R607" s="59" t="n"/>
      <c r="S607" s="59" t="n"/>
      <c r="T607" s="59" t="n"/>
      <c r="U607" s="59" t="n"/>
      <c r="V607" s="59" t="n"/>
      <c r="W607" s="59" t="n"/>
      <c r="X607" s="59" t="n"/>
      <c r="Y607" s="59" t="n"/>
      <c r="Z607" s="59" t="n"/>
      <c r="AA607" s="59" t="n"/>
      <c r="AB607" s="59" t="n"/>
      <c r="AC607" s="59" t="n"/>
      <c r="AD607" s="59" t="n"/>
    </row>
    <row r="608">
      <c r="A608" s="59" t="n"/>
      <c r="B608" s="59" t="n"/>
      <c r="C608" s="59" t="n"/>
      <c r="D608" s="59" t="n"/>
      <c r="E608" s="59" t="n"/>
      <c r="F608" s="59" t="n"/>
      <c r="G608" s="60" t="n"/>
      <c r="H608" s="59" t="n"/>
      <c r="I608" s="59" t="n"/>
      <c r="J608" s="59" t="n"/>
      <c r="K608" s="59" t="n"/>
      <c r="L608" s="59" t="n"/>
      <c r="M608" s="59" t="n"/>
      <c r="N608" s="59" t="n"/>
      <c r="O608" s="59" t="n"/>
      <c r="P608" s="59" t="n"/>
      <c r="Q608" s="59" t="n"/>
      <c r="R608" s="59" t="n"/>
      <c r="S608" s="59" t="n"/>
      <c r="T608" s="59" t="n"/>
      <c r="U608" s="59" t="n"/>
      <c r="V608" s="59" t="n"/>
      <c r="W608" s="59" t="n"/>
      <c r="X608" s="59" t="n"/>
      <c r="Y608" s="59" t="n"/>
      <c r="Z608" s="59" t="n"/>
      <c r="AA608" s="59" t="n"/>
      <c r="AB608" s="59" t="n"/>
      <c r="AC608" s="59" t="n"/>
      <c r="AD608" s="59" t="n"/>
    </row>
    <row r="609">
      <c r="A609" s="59" t="n"/>
      <c r="B609" s="59" t="n"/>
      <c r="C609" s="59" t="n"/>
      <c r="D609" s="59" t="n"/>
      <c r="E609" s="59" t="n"/>
      <c r="F609" s="59" t="n"/>
      <c r="G609" s="60" t="n"/>
      <c r="H609" s="59" t="n"/>
      <c r="I609" s="59" t="n"/>
      <c r="J609" s="59" t="n"/>
      <c r="K609" s="59" t="n"/>
      <c r="L609" s="59" t="n"/>
      <c r="M609" s="59" t="n"/>
      <c r="N609" s="59" t="n"/>
      <c r="O609" s="59" t="n"/>
      <c r="P609" s="59" t="n"/>
      <c r="Q609" s="59" t="n"/>
      <c r="R609" s="59" t="n"/>
      <c r="S609" s="59" t="n"/>
      <c r="T609" s="59" t="n"/>
      <c r="U609" s="59" t="n"/>
      <c r="V609" s="59" t="n"/>
      <c r="W609" s="59" t="n"/>
      <c r="X609" s="59" t="n"/>
      <c r="Y609" s="59" t="n"/>
      <c r="Z609" s="59" t="n"/>
      <c r="AA609" s="59" t="n"/>
      <c r="AB609" s="59" t="n"/>
      <c r="AC609" s="59" t="n"/>
      <c r="AD609" s="59" t="n"/>
    </row>
    <row r="610">
      <c r="A610" s="59" t="n"/>
      <c r="B610" s="59" t="n"/>
      <c r="C610" s="59" t="n"/>
      <c r="D610" s="59" t="n"/>
      <c r="E610" s="59" t="n"/>
      <c r="F610" s="59" t="n"/>
      <c r="G610" s="60" t="n"/>
      <c r="H610" s="59" t="n"/>
      <c r="I610" s="59" t="n"/>
      <c r="J610" s="59" t="n"/>
      <c r="K610" s="59" t="n"/>
      <c r="L610" s="59" t="n"/>
      <c r="M610" s="59" t="n"/>
      <c r="N610" s="59" t="n"/>
      <c r="O610" s="59" t="n"/>
      <c r="P610" s="59" t="n"/>
      <c r="Q610" s="59" t="n"/>
      <c r="R610" s="59" t="n"/>
      <c r="S610" s="59" t="n"/>
      <c r="T610" s="59" t="n"/>
      <c r="U610" s="59" t="n"/>
      <c r="V610" s="59" t="n"/>
      <c r="W610" s="59" t="n"/>
      <c r="X610" s="59" t="n"/>
      <c r="Y610" s="59" t="n"/>
      <c r="Z610" s="59" t="n"/>
      <c r="AA610" s="59" t="n"/>
      <c r="AB610" s="59" t="n"/>
      <c r="AC610" s="59" t="n"/>
      <c r="AD610" s="59" t="n"/>
    </row>
    <row r="611">
      <c r="A611" s="59" t="n"/>
      <c r="B611" s="59" t="n"/>
      <c r="C611" s="59" t="n"/>
      <c r="D611" s="59" t="n"/>
      <c r="E611" s="59" t="n"/>
      <c r="F611" s="59" t="n"/>
      <c r="G611" s="60" t="n"/>
      <c r="H611" s="59" t="n"/>
      <c r="I611" s="59" t="n"/>
      <c r="J611" s="59" t="n"/>
      <c r="K611" s="59" t="n"/>
      <c r="L611" s="59" t="n"/>
      <c r="M611" s="59" t="n"/>
      <c r="N611" s="59" t="n"/>
      <c r="O611" s="59" t="n"/>
      <c r="P611" s="59" t="n"/>
      <c r="Q611" s="59" t="n"/>
      <c r="R611" s="59" t="n"/>
      <c r="S611" s="59" t="n"/>
      <c r="T611" s="59" t="n"/>
      <c r="U611" s="59" t="n"/>
      <c r="V611" s="59" t="n"/>
      <c r="W611" s="59" t="n"/>
      <c r="X611" s="59" t="n"/>
      <c r="Y611" s="59" t="n"/>
      <c r="Z611" s="59" t="n"/>
      <c r="AA611" s="59" t="n"/>
      <c r="AB611" s="59" t="n"/>
      <c r="AC611" s="59" t="n"/>
      <c r="AD611" s="59" t="n"/>
    </row>
    <row r="612">
      <c r="A612" s="59" t="n"/>
      <c r="B612" s="59" t="n"/>
      <c r="C612" s="59" t="n"/>
      <c r="D612" s="59" t="n"/>
      <c r="E612" s="59" t="n"/>
      <c r="F612" s="59" t="n"/>
      <c r="G612" s="60" t="n"/>
      <c r="H612" s="59" t="n"/>
      <c r="I612" s="59" t="n"/>
      <c r="J612" s="59" t="n"/>
      <c r="K612" s="59" t="n"/>
      <c r="L612" s="59" t="n"/>
      <c r="M612" s="59" t="n"/>
      <c r="N612" s="59" t="n"/>
      <c r="O612" s="59" t="n"/>
      <c r="P612" s="59" t="n"/>
      <c r="Q612" s="59" t="n"/>
      <c r="R612" s="59" t="n"/>
      <c r="S612" s="59" t="n"/>
      <c r="T612" s="59" t="n"/>
      <c r="U612" s="59" t="n"/>
      <c r="V612" s="59" t="n"/>
      <c r="W612" s="59" t="n"/>
      <c r="X612" s="59" t="n"/>
      <c r="Y612" s="59" t="n"/>
      <c r="Z612" s="59" t="n"/>
      <c r="AA612" s="59" t="n"/>
      <c r="AB612" s="59" t="n"/>
      <c r="AC612" s="59" t="n"/>
      <c r="AD612" s="59" t="n"/>
    </row>
    <row r="613">
      <c r="A613" s="59" t="n"/>
      <c r="B613" s="59" t="n"/>
      <c r="C613" s="59" t="n"/>
      <c r="D613" s="59" t="n"/>
      <c r="E613" s="59" t="n"/>
      <c r="F613" s="59" t="n"/>
      <c r="G613" s="60" t="n"/>
      <c r="H613" s="59" t="n"/>
      <c r="I613" s="59" t="n"/>
      <c r="J613" s="59" t="n"/>
      <c r="K613" s="59" t="n"/>
      <c r="L613" s="59" t="n"/>
      <c r="M613" s="59" t="n"/>
      <c r="N613" s="59" t="n"/>
      <c r="O613" s="59" t="n"/>
      <c r="P613" s="59" t="n"/>
      <c r="Q613" s="59" t="n"/>
      <c r="R613" s="59" t="n"/>
      <c r="S613" s="59" t="n"/>
      <c r="T613" s="59" t="n"/>
      <c r="U613" s="59" t="n"/>
      <c r="V613" s="59" t="n"/>
      <c r="W613" s="59" t="n"/>
      <c r="X613" s="59" t="n"/>
      <c r="Y613" s="59" t="n"/>
      <c r="Z613" s="59" t="n"/>
      <c r="AA613" s="59" t="n"/>
      <c r="AB613" s="59" t="n"/>
      <c r="AC613" s="59" t="n"/>
      <c r="AD613" s="59" t="n"/>
    </row>
    <row r="614">
      <c r="A614" s="59" t="n"/>
      <c r="B614" s="59" t="n"/>
      <c r="C614" s="59" t="n"/>
      <c r="D614" s="59" t="n"/>
      <c r="E614" s="59" t="n"/>
      <c r="F614" s="59" t="n"/>
      <c r="G614" s="60" t="n"/>
      <c r="H614" s="59" t="n"/>
      <c r="I614" s="59" t="n"/>
      <c r="J614" s="59" t="n"/>
      <c r="K614" s="59" t="n"/>
      <c r="L614" s="59" t="n"/>
      <c r="M614" s="59" t="n"/>
      <c r="N614" s="59" t="n"/>
      <c r="O614" s="59" t="n"/>
      <c r="P614" s="59" t="n"/>
      <c r="Q614" s="59" t="n"/>
      <c r="R614" s="59" t="n"/>
      <c r="S614" s="59" t="n"/>
      <c r="T614" s="59" t="n"/>
      <c r="U614" s="59" t="n"/>
      <c r="V614" s="59" t="n"/>
      <c r="W614" s="59" t="n"/>
      <c r="X614" s="59" t="n"/>
      <c r="Y614" s="59" t="n"/>
      <c r="Z614" s="59" t="n"/>
      <c r="AA614" s="59" t="n"/>
      <c r="AB614" s="59" t="n"/>
      <c r="AC614" s="59" t="n"/>
      <c r="AD614" s="59" t="n"/>
    </row>
    <row r="615">
      <c r="A615" s="59" t="n"/>
      <c r="B615" s="59" t="n"/>
      <c r="C615" s="59" t="n"/>
      <c r="D615" s="59" t="n"/>
      <c r="E615" s="59" t="n"/>
      <c r="F615" s="59" t="n"/>
      <c r="G615" s="60" t="n"/>
      <c r="H615" s="59" t="n"/>
      <c r="I615" s="59" t="n"/>
      <c r="J615" s="59" t="n"/>
      <c r="K615" s="59" t="n"/>
      <c r="L615" s="59" t="n"/>
      <c r="M615" s="59" t="n"/>
      <c r="N615" s="59" t="n"/>
      <c r="O615" s="59" t="n"/>
      <c r="P615" s="59" t="n"/>
      <c r="Q615" s="59" t="n"/>
      <c r="R615" s="59" t="n"/>
      <c r="S615" s="59" t="n"/>
      <c r="T615" s="59" t="n"/>
      <c r="U615" s="59" t="n"/>
      <c r="V615" s="59" t="n"/>
      <c r="W615" s="59" t="n"/>
      <c r="X615" s="59" t="n"/>
      <c r="Y615" s="59" t="n"/>
      <c r="Z615" s="59" t="n"/>
      <c r="AA615" s="59" t="n"/>
      <c r="AB615" s="59" t="n"/>
      <c r="AC615" s="59" t="n"/>
      <c r="AD615" s="59" t="n"/>
    </row>
    <row r="616">
      <c r="A616" s="59" t="n"/>
      <c r="B616" s="59" t="n"/>
      <c r="C616" s="59" t="n"/>
      <c r="D616" s="59" t="n"/>
      <c r="E616" s="59" t="n"/>
      <c r="F616" s="59" t="n"/>
      <c r="G616" s="60" t="n"/>
      <c r="H616" s="59" t="n"/>
      <c r="I616" s="59" t="n"/>
      <c r="J616" s="59" t="n"/>
      <c r="K616" s="59" t="n"/>
      <c r="L616" s="59" t="n"/>
      <c r="M616" s="59" t="n"/>
      <c r="N616" s="59" t="n"/>
      <c r="O616" s="59" t="n"/>
      <c r="P616" s="59" t="n"/>
      <c r="Q616" s="59" t="n"/>
      <c r="R616" s="59" t="n"/>
      <c r="S616" s="59" t="n"/>
      <c r="T616" s="59" t="n"/>
      <c r="U616" s="59" t="n"/>
      <c r="V616" s="59" t="n"/>
      <c r="W616" s="59" t="n"/>
      <c r="X616" s="59" t="n"/>
      <c r="Y616" s="59" t="n"/>
      <c r="Z616" s="59" t="n"/>
      <c r="AA616" s="59" t="n"/>
      <c r="AB616" s="59" t="n"/>
      <c r="AC616" s="59" t="n"/>
      <c r="AD616" s="59" t="n"/>
    </row>
    <row r="617">
      <c r="A617" s="59" t="n"/>
      <c r="B617" s="59" t="n"/>
      <c r="C617" s="59" t="n"/>
      <c r="D617" s="59" t="n"/>
      <c r="E617" s="59" t="n"/>
      <c r="F617" s="59" t="n"/>
      <c r="G617" s="60" t="n"/>
      <c r="H617" s="59" t="n"/>
      <c r="I617" s="59" t="n"/>
      <c r="J617" s="59" t="n"/>
      <c r="K617" s="59" t="n"/>
      <c r="L617" s="59" t="n"/>
      <c r="M617" s="59" t="n"/>
      <c r="N617" s="59" t="n"/>
      <c r="O617" s="59" t="n"/>
      <c r="P617" s="59" t="n"/>
      <c r="Q617" s="59" t="n"/>
      <c r="R617" s="59" t="n"/>
      <c r="S617" s="59" t="n"/>
      <c r="T617" s="59" t="n"/>
      <c r="U617" s="59" t="n"/>
      <c r="V617" s="59" t="n"/>
      <c r="W617" s="59" t="n"/>
      <c r="X617" s="59" t="n"/>
      <c r="Y617" s="59" t="n"/>
      <c r="Z617" s="59" t="n"/>
      <c r="AA617" s="59" t="n"/>
      <c r="AB617" s="59" t="n"/>
      <c r="AC617" s="59" t="n"/>
      <c r="AD617" s="59" t="n"/>
    </row>
    <row r="618">
      <c r="A618" s="59" t="n"/>
      <c r="B618" s="59" t="n"/>
      <c r="C618" s="59" t="n"/>
      <c r="D618" s="59" t="n"/>
      <c r="E618" s="59" t="n"/>
      <c r="F618" s="59" t="n"/>
      <c r="G618" s="60" t="n"/>
      <c r="H618" s="59" t="n"/>
      <c r="I618" s="59" t="n"/>
      <c r="J618" s="59" t="n"/>
      <c r="K618" s="59" t="n"/>
      <c r="L618" s="59" t="n"/>
      <c r="M618" s="59" t="n"/>
      <c r="N618" s="59" t="n"/>
      <c r="O618" s="59" t="n"/>
      <c r="P618" s="59" t="n"/>
      <c r="Q618" s="59" t="n"/>
      <c r="R618" s="59" t="n"/>
      <c r="S618" s="59" t="n"/>
      <c r="T618" s="59" t="n"/>
      <c r="U618" s="59" t="n"/>
      <c r="V618" s="59" t="n"/>
      <c r="W618" s="59" t="n"/>
      <c r="X618" s="59" t="n"/>
      <c r="Y618" s="59" t="n"/>
      <c r="Z618" s="59" t="n"/>
      <c r="AA618" s="59" t="n"/>
      <c r="AB618" s="59" t="n"/>
      <c r="AC618" s="59" t="n"/>
      <c r="AD618" s="59" t="n"/>
    </row>
    <row r="619">
      <c r="A619" s="59" t="n"/>
      <c r="B619" s="59" t="n"/>
      <c r="C619" s="59" t="n"/>
      <c r="D619" s="59" t="n"/>
      <c r="E619" s="59" t="n"/>
      <c r="F619" s="59" t="n"/>
      <c r="G619" s="60" t="n"/>
      <c r="H619" s="59" t="n"/>
      <c r="I619" s="59" t="n"/>
      <c r="J619" s="59" t="n"/>
      <c r="K619" s="59" t="n"/>
      <c r="L619" s="59" t="n"/>
      <c r="M619" s="59" t="n"/>
      <c r="N619" s="59" t="n"/>
      <c r="O619" s="59" t="n"/>
      <c r="P619" s="59" t="n"/>
      <c r="Q619" s="59" t="n"/>
      <c r="R619" s="59" t="n"/>
      <c r="S619" s="59" t="n"/>
      <c r="T619" s="59" t="n"/>
      <c r="U619" s="59" t="n"/>
      <c r="V619" s="59" t="n"/>
      <c r="W619" s="59" t="n"/>
      <c r="X619" s="59" t="n"/>
      <c r="Y619" s="59" t="n"/>
      <c r="Z619" s="59" t="n"/>
      <c r="AA619" s="59" t="n"/>
      <c r="AB619" s="59" t="n"/>
      <c r="AC619" s="59" t="n"/>
      <c r="AD619" s="59" t="n"/>
    </row>
    <row r="620">
      <c r="A620" s="59" t="n"/>
      <c r="B620" s="59" t="n"/>
      <c r="C620" s="59" t="n"/>
      <c r="D620" s="59" t="n"/>
      <c r="E620" s="59" t="n"/>
      <c r="F620" s="59" t="n"/>
      <c r="G620" s="60" t="n"/>
      <c r="H620" s="59" t="n"/>
      <c r="I620" s="59" t="n"/>
      <c r="J620" s="59" t="n"/>
      <c r="K620" s="59" t="n"/>
      <c r="L620" s="59" t="n"/>
      <c r="M620" s="59" t="n"/>
      <c r="N620" s="59" t="n"/>
      <c r="O620" s="59" t="n"/>
      <c r="P620" s="59" t="n"/>
      <c r="Q620" s="59" t="n"/>
      <c r="R620" s="59" t="n"/>
      <c r="S620" s="59" t="n"/>
      <c r="T620" s="59" t="n"/>
      <c r="U620" s="59" t="n"/>
      <c r="V620" s="59" t="n"/>
      <c r="W620" s="59" t="n"/>
      <c r="X620" s="59" t="n"/>
      <c r="Y620" s="59" t="n"/>
      <c r="Z620" s="59" t="n"/>
      <c r="AA620" s="59" t="n"/>
      <c r="AB620" s="59" t="n"/>
      <c r="AC620" s="59" t="n"/>
      <c r="AD620" s="59" t="n"/>
    </row>
    <row r="621">
      <c r="A621" s="59" t="n"/>
      <c r="B621" s="59" t="n"/>
      <c r="C621" s="59" t="n"/>
      <c r="D621" s="59" t="n"/>
      <c r="E621" s="59" t="n"/>
      <c r="F621" s="59" t="n"/>
      <c r="G621" s="60" t="n"/>
      <c r="H621" s="59" t="n"/>
      <c r="I621" s="59" t="n"/>
      <c r="J621" s="59" t="n"/>
      <c r="K621" s="59" t="n"/>
      <c r="L621" s="59" t="n"/>
      <c r="M621" s="59" t="n"/>
      <c r="N621" s="59" t="n"/>
      <c r="O621" s="59" t="n"/>
      <c r="P621" s="59" t="n"/>
      <c r="Q621" s="59" t="n"/>
      <c r="R621" s="59" t="n"/>
      <c r="S621" s="59" t="n"/>
      <c r="T621" s="59" t="n"/>
      <c r="U621" s="59" t="n"/>
      <c r="V621" s="59" t="n"/>
      <c r="W621" s="59" t="n"/>
      <c r="X621" s="59" t="n"/>
      <c r="Y621" s="59" t="n"/>
      <c r="Z621" s="59" t="n"/>
      <c r="AA621" s="59" t="n"/>
      <c r="AB621" s="59" t="n"/>
      <c r="AC621" s="59" t="n"/>
      <c r="AD621" s="59" t="n"/>
    </row>
    <row r="622">
      <c r="A622" s="59" t="n"/>
      <c r="B622" s="59" t="n"/>
      <c r="C622" s="59" t="n"/>
      <c r="D622" s="59" t="n"/>
      <c r="E622" s="59" t="n"/>
      <c r="F622" s="59" t="n"/>
      <c r="G622" s="60" t="n"/>
      <c r="H622" s="59" t="n"/>
      <c r="I622" s="59" t="n"/>
      <c r="J622" s="59" t="n"/>
      <c r="K622" s="59" t="n"/>
      <c r="L622" s="59" t="n"/>
      <c r="M622" s="59" t="n"/>
      <c r="N622" s="59" t="n"/>
      <c r="O622" s="59" t="n"/>
      <c r="P622" s="59" t="n"/>
      <c r="Q622" s="59" t="n"/>
      <c r="R622" s="59" t="n"/>
      <c r="S622" s="59" t="n"/>
      <c r="T622" s="59" t="n"/>
      <c r="U622" s="59" t="n"/>
      <c r="V622" s="59" t="n"/>
      <c r="W622" s="59" t="n"/>
      <c r="X622" s="59" t="n"/>
      <c r="Y622" s="59" t="n"/>
      <c r="Z622" s="59" t="n"/>
      <c r="AA622" s="59" t="n"/>
      <c r="AB622" s="59" t="n"/>
      <c r="AC622" s="59" t="n"/>
      <c r="AD622" s="59" t="n"/>
    </row>
    <row r="623">
      <c r="A623" s="59" t="n"/>
      <c r="B623" s="59" t="n"/>
      <c r="C623" s="59" t="n"/>
      <c r="D623" s="59" t="n"/>
      <c r="E623" s="59" t="n"/>
      <c r="F623" s="59" t="n"/>
      <c r="G623" s="60" t="n"/>
      <c r="H623" s="59" t="n"/>
      <c r="I623" s="59" t="n"/>
      <c r="J623" s="59" t="n"/>
      <c r="K623" s="59" t="n"/>
      <c r="L623" s="59" t="n"/>
      <c r="M623" s="59" t="n"/>
      <c r="N623" s="59" t="n"/>
      <c r="O623" s="59" t="n"/>
      <c r="P623" s="59" t="n"/>
      <c r="Q623" s="59" t="n"/>
      <c r="R623" s="59" t="n"/>
      <c r="S623" s="59" t="n"/>
      <c r="T623" s="59" t="n"/>
      <c r="U623" s="59" t="n"/>
      <c r="V623" s="59" t="n"/>
      <c r="W623" s="59" t="n"/>
      <c r="X623" s="59" t="n"/>
      <c r="Y623" s="59" t="n"/>
      <c r="Z623" s="59" t="n"/>
      <c r="AA623" s="59" t="n"/>
      <c r="AB623" s="59" t="n"/>
      <c r="AC623" s="59" t="n"/>
      <c r="AD623" s="59" t="n"/>
    </row>
    <row r="624">
      <c r="A624" s="59" t="n"/>
      <c r="B624" s="59" t="n"/>
      <c r="C624" s="59" t="n"/>
      <c r="D624" s="59" t="n"/>
      <c r="E624" s="59" t="n"/>
      <c r="F624" s="59" t="n"/>
      <c r="G624" s="60" t="n"/>
      <c r="H624" s="59" t="n"/>
      <c r="I624" s="59" t="n"/>
      <c r="J624" s="59" t="n"/>
      <c r="K624" s="59" t="n"/>
      <c r="L624" s="59" t="n"/>
      <c r="M624" s="59" t="n"/>
      <c r="N624" s="59" t="n"/>
      <c r="O624" s="59" t="n"/>
      <c r="P624" s="59" t="n"/>
      <c r="Q624" s="59" t="n"/>
      <c r="R624" s="59" t="n"/>
      <c r="S624" s="59" t="n"/>
      <c r="T624" s="59" t="n"/>
      <c r="U624" s="59" t="n"/>
      <c r="V624" s="59" t="n"/>
      <c r="W624" s="59" t="n"/>
      <c r="X624" s="59" t="n"/>
      <c r="Y624" s="59" t="n"/>
      <c r="Z624" s="59" t="n"/>
      <c r="AA624" s="59" t="n"/>
      <c r="AB624" s="59" t="n"/>
      <c r="AC624" s="59" t="n"/>
      <c r="AD624" s="59" t="n"/>
    </row>
    <row r="625">
      <c r="A625" s="59" t="n"/>
      <c r="B625" s="59" t="n"/>
      <c r="C625" s="59" t="n"/>
      <c r="D625" s="59" t="n"/>
      <c r="E625" s="59" t="n"/>
      <c r="F625" s="59" t="n"/>
      <c r="G625" s="60" t="n"/>
      <c r="H625" s="59" t="n"/>
      <c r="I625" s="59" t="n"/>
      <c r="J625" s="59" t="n"/>
      <c r="K625" s="59" t="n"/>
      <c r="L625" s="59" t="n"/>
      <c r="M625" s="59" t="n"/>
      <c r="N625" s="59" t="n"/>
      <c r="O625" s="59" t="n"/>
      <c r="P625" s="59" t="n"/>
      <c r="Q625" s="59" t="n"/>
      <c r="R625" s="59" t="n"/>
      <c r="S625" s="59" t="n"/>
      <c r="T625" s="59" t="n"/>
      <c r="U625" s="59" t="n"/>
      <c r="V625" s="59" t="n"/>
      <c r="W625" s="59" t="n"/>
      <c r="X625" s="59" t="n"/>
      <c r="Y625" s="59" t="n"/>
      <c r="Z625" s="59" t="n"/>
      <c r="AA625" s="59" t="n"/>
      <c r="AB625" s="59" t="n"/>
      <c r="AC625" s="59" t="n"/>
      <c r="AD625" s="59" t="n"/>
    </row>
    <row r="626">
      <c r="A626" s="59" t="n"/>
      <c r="B626" s="59" t="n"/>
      <c r="C626" s="59" t="n"/>
      <c r="D626" s="59" t="n"/>
      <c r="E626" s="59" t="n"/>
      <c r="F626" s="59" t="n"/>
      <c r="G626" s="60" t="n"/>
      <c r="H626" s="59" t="n"/>
      <c r="I626" s="59" t="n"/>
      <c r="J626" s="59" t="n"/>
      <c r="K626" s="59" t="n"/>
      <c r="L626" s="59" t="n"/>
      <c r="M626" s="59" t="n"/>
      <c r="N626" s="59" t="n"/>
      <c r="O626" s="59" t="n"/>
      <c r="P626" s="59" t="n"/>
      <c r="Q626" s="59" t="n"/>
      <c r="R626" s="59" t="n"/>
      <c r="S626" s="59" t="n"/>
      <c r="T626" s="59" t="n"/>
      <c r="U626" s="59" t="n"/>
      <c r="V626" s="59" t="n"/>
      <c r="W626" s="59" t="n"/>
      <c r="X626" s="59" t="n"/>
      <c r="Y626" s="59" t="n"/>
      <c r="Z626" s="59" t="n"/>
      <c r="AA626" s="59" t="n"/>
      <c r="AB626" s="59" t="n"/>
      <c r="AC626" s="59" t="n"/>
      <c r="AD626" s="59" t="n"/>
    </row>
    <row r="627">
      <c r="A627" s="59" t="n"/>
      <c r="B627" s="59" t="n"/>
      <c r="C627" s="59" t="n"/>
      <c r="D627" s="59" t="n"/>
      <c r="E627" s="59" t="n"/>
      <c r="F627" s="59" t="n"/>
      <c r="G627" s="60" t="n"/>
      <c r="H627" s="59" t="n"/>
      <c r="I627" s="59" t="n"/>
      <c r="J627" s="59" t="n"/>
      <c r="K627" s="59" t="n"/>
      <c r="L627" s="59" t="n"/>
      <c r="M627" s="59" t="n"/>
      <c r="N627" s="59" t="n"/>
      <c r="O627" s="59" t="n"/>
      <c r="P627" s="59" t="n"/>
      <c r="Q627" s="59" t="n"/>
      <c r="R627" s="59" t="n"/>
      <c r="S627" s="59" t="n"/>
      <c r="T627" s="59" t="n"/>
      <c r="U627" s="59" t="n"/>
      <c r="V627" s="59" t="n"/>
      <c r="W627" s="59" t="n"/>
      <c r="X627" s="59" t="n"/>
      <c r="Y627" s="59" t="n"/>
      <c r="Z627" s="59" t="n"/>
      <c r="AA627" s="59" t="n"/>
      <c r="AB627" s="59" t="n"/>
      <c r="AC627" s="59" t="n"/>
      <c r="AD627" s="59" t="n"/>
    </row>
    <row r="628">
      <c r="A628" s="59" t="n"/>
      <c r="B628" s="59" t="n"/>
      <c r="C628" s="59" t="n"/>
      <c r="D628" s="59" t="n"/>
      <c r="E628" s="59" t="n"/>
      <c r="F628" s="59" t="n"/>
      <c r="G628" s="60" t="n"/>
      <c r="H628" s="59" t="n"/>
      <c r="I628" s="59" t="n"/>
      <c r="J628" s="59" t="n"/>
      <c r="K628" s="59" t="n"/>
      <c r="L628" s="59" t="n"/>
      <c r="M628" s="59" t="n"/>
      <c r="N628" s="59" t="n"/>
      <c r="O628" s="59" t="n"/>
      <c r="P628" s="59" t="n"/>
      <c r="Q628" s="59" t="n"/>
      <c r="R628" s="59" t="n"/>
      <c r="S628" s="59" t="n"/>
      <c r="T628" s="59" t="n"/>
      <c r="U628" s="59" t="n"/>
      <c r="V628" s="59" t="n"/>
      <c r="W628" s="59" t="n"/>
      <c r="X628" s="59" t="n"/>
      <c r="Y628" s="59" t="n"/>
      <c r="Z628" s="59" t="n"/>
      <c r="AA628" s="59" t="n"/>
      <c r="AB628" s="59" t="n"/>
      <c r="AC628" s="59" t="n"/>
      <c r="AD628" s="59" t="n"/>
    </row>
    <row r="629">
      <c r="A629" s="59" t="n"/>
      <c r="B629" s="59" t="n"/>
      <c r="C629" s="59" t="n"/>
      <c r="D629" s="59" t="n"/>
      <c r="E629" s="59" t="n"/>
      <c r="F629" s="59" t="n"/>
      <c r="G629" s="60" t="n"/>
      <c r="H629" s="59" t="n"/>
      <c r="I629" s="59" t="n"/>
      <c r="J629" s="59" t="n"/>
      <c r="K629" s="59" t="n"/>
      <c r="L629" s="59" t="n"/>
      <c r="M629" s="59" t="n"/>
      <c r="N629" s="59" t="n"/>
      <c r="O629" s="59" t="n"/>
      <c r="P629" s="59" t="n"/>
      <c r="Q629" s="59" t="n"/>
      <c r="R629" s="59" t="n"/>
      <c r="S629" s="59" t="n"/>
      <c r="T629" s="59" t="n"/>
      <c r="U629" s="59" t="n"/>
      <c r="V629" s="59" t="n"/>
      <c r="W629" s="59" t="n"/>
      <c r="X629" s="59" t="n"/>
      <c r="Y629" s="59" t="n"/>
      <c r="Z629" s="59" t="n"/>
      <c r="AA629" s="59" t="n"/>
      <c r="AB629" s="59" t="n"/>
      <c r="AC629" s="59" t="n"/>
      <c r="AD629" s="59" t="n"/>
    </row>
    <row r="630">
      <c r="A630" s="59" t="n"/>
      <c r="B630" s="59" t="n"/>
      <c r="C630" s="59" t="n"/>
      <c r="D630" s="59" t="n"/>
      <c r="E630" s="59" t="n"/>
      <c r="F630" s="59" t="n"/>
      <c r="G630" s="60" t="n"/>
      <c r="H630" s="59" t="n"/>
      <c r="I630" s="59" t="n"/>
      <c r="J630" s="59" t="n"/>
      <c r="K630" s="59" t="n"/>
      <c r="L630" s="59" t="n"/>
      <c r="M630" s="59" t="n"/>
      <c r="N630" s="59" t="n"/>
      <c r="O630" s="59" t="n"/>
      <c r="P630" s="59" t="n"/>
      <c r="Q630" s="59" t="n"/>
      <c r="R630" s="59" t="n"/>
      <c r="S630" s="59" t="n"/>
      <c r="T630" s="59" t="n"/>
      <c r="U630" s="59" t="n"/>
      <c r="V630" s="59" t="n"/>
      <c r="W630" s="59" t="n"/>
      <c r="X630" s="59" t="n"/>
      <c r="Y630" s="59" t="n"/>
      <c r="Z630" s="59" t="n"/>
      <c r="AA630" s="59" t="n"/>
      <c r="AB630" s="59" t="n"/>
      <c r="AC630" s="59" t="n"/>
      <c r="AD630" s="59" t="n"/>
    </row>
    <row r="631">
      <c r="A631" s="59" t="n"/>
      <c r="B631" s="59" t="n"/>
      <c r="C631" s="59" t="n"/>
      <c r="D631" s="59" t="n"/>
      <c r="E631" s="59" t="n"/>
      <c r="F631" s="59" t="n"/>
      <c r="G631" s="60" t="n"/>
      <c r="H631" s="59" t="n"/>
      <c r="I631" s="59" t="n"/>
      <c r="J631" s="59" t="n"/>
      <c r="K631" s="59" t="n"/>
      <c r="L631" s="59" t="n"/>
      <c r="M631" s="59" t="n"/>
      <c r="N631" s="59" t="n"/>
      <c r="O631" s="59" t="n"/>
      <c r="P631" s="59" t="n"/>
      <c r="Q631" s="59" t="n"/>
      <c r="R631" s="59" t="n"/>
      <c r="S631" s="59" t="n"/>
      <c r="T631" s="59" t="n"/>
      <c r="U631" s="59" t="n"/>
      <c r="V631" s="59" t="n"/>
      <c r="W631" s="59" t="n"/>
      <c r="X631" s="59" t="n"/>
      <c r="Y631" s="59" t="n"/>
      <c r="Z631" s="59" t="n"/>
      <c r="AA631" s="59" t="n"/>
      <c r="AB631" s="59" t="n"/>
      <c r="AC631" s="59" t="n"/>
      <c r="AD631" s="59" t="n"/>
    </row>
    <row r="632">
      <c r="A632" s="59" t="n"/>
      <c r="B632" s="59" t="n"/>
      <c r="C632" s="59" t="n"/>
      <c r="D632" s="59" t="n"/>
      <c r="E632" s="59" t="n"/>
      <c r="F632" s="59" t="n"/>
      <c r="G632" s="60" t="n"/>
      <c r="H632" s="59" t="n"/>
      <c r="I632" s="59" t="n"/>
      <c r="J632" s="59" t="n"/>
      <c r="K632" s="59" t="n"/>
      <c r="L632" s="59" t="n"/>
      <c r="M632" s="59" t="n"/>
      <c r="N632" s="59" t="n"/>
      <c r="O632" s="59" t="n"/>
      <c r="P632" s="59" t="n"/>
      <c r="Q632" s="59" t="n"/>
      <c r="R632" s="59" t="n"/>
      <c r="S632" s="59" t="n"/>
      <c r="T632" s="59" t="n"/>
      <c r="U632" s="59" t="n"/>
      <c r="V632" s="59" t="n"/>
      <c r="W632" s="59" t="n"/>
      <c r="X632" s="59" t="n"/>
      <c r="Y632" s="59" t="n"/>
      <c r="Z632" s="59" t="n"/>
      <c r="AA632" s="59" t="n"/>
      <c r="AB632" s="59" t="n"/>
      <c r="AC632" s="59" t="n"/>
      <c r="AD632" s="59" t="n"/>
    </row>
    <row r="633">
      <c r="A633" s="59" t="n"/>
      <c r="B633" s="59" t="n"/>
      <c r="C633" s="59" t="n"/>
      <c r="D633" s="59" t="n"/>
      <c r="E633" s="59" t="n"/>
      <c r="F633" s="59" t="n"/>
      <c r="G633" s="60" t="n"/>
      <c r="H633" s="59" t="n"/>
      <c r="I633" s="59" t="n"/>
      <c r="J633" s="59" t="n"/>
      <c r="K633" s="59" t="n"/>
      <c r="L633" s="59" t="n"/>
      <c r="M633" s="59" t="n"/>
      <c r="N633" s="59" t="n"/>
      <c r="O633" s="59" t="n"/>
      <c r="P633" s="59" t="n"/>
      <c r="Q633" s="59" t="n"/>
      <c r="R633" s="59" t="n"/>
      <c r="S633" s="59" t="n"/>
      <c r="T633" s="59" t="n"/>
      <c r="U633" s="59" t="n"/>
      <c r="V633" s="59" t="n"/>
      <c r="W633" s="59" t="n"/>
      <c r="X633" s="59" t="n"/>
      <c r="Y633" s="59" t="n"/>
      <c r="Z633" s="59" t="n"/>
      <c r="AA633" s="59" t="n"/>
      <c r="AB633" s="59" t="n"/>
      <c r="AC633" s="59" t="n"/>
      <c r="AD633" s="59" t="n"/>
    </row>
    <row r="634">
      <c r="A634" s="59" t="n"/>
      <c r="B634" s="59" t="n"/>
      <c r="C634" s="59" t="n"/>
      <c r="D634" s="59" t="n"/>
      <c r="E634" s="59" t="n"/>
      <c r="F634" s="59" t="n"/>
      <c r="G634" s="60" t="n"/>
      <c r="H634" s="59" t="n"/>
      <c r="I634" s="59" t="n"/>
      <c r="J634" s="59" t="n"/>
      <c r="K634" s="59" t="n"/>
      <c r="L634" s="59" t="n"/>
      <c r="M634" s="59" t="n"/>
      <c r="N634" s="59" t="n"/>
      <c r="O634" s="59" t="n"/>
      <c r="P634" s="59" t="n"/>
      <c r="Q634" s="59" t="n"/>
      <c r="R634" s="59" t="n"/>
      <c r="S634" s="59" t="n"/>
      <c r="T634" s="59" t="n"/>
      <c r="U634" s="59" t="n"/>
      <c r="V634" s="59" t="n"/>
      <c r="W634" s="59" t="n"/>
      <c r="X634" s="59" t="n"/>
      <c r="Y634" s="59" t="n"/>
      <c r="Z634" s="59" t="n"/>
      <c r="AA634" s="59" t="n"/>
      <c r="AB634" s="59" t="n"/>
      <c r="AC634" s="59" t="n"/>
      <c r="AD634" s="59" t="n"/>
    </row>
    <row r="635">
      <c r="A635" s="59" t="n"/>
      <c r="B635" s="59" t="n"/>
      <c r="C635" s="59" t="n"/>
      <c r="D635" s="59" t="n"/>
      <c r="E635" s="59" t="n"/>
      <c r="F635" s="59" t="n"/>
      <c r="G635" s="60" t="n"/>
      <c r="H635" s="59" t="n"/>
      <c r="I635" s="59" t="n"/>
      <c r="J635" s="59" t="n"/>
      <c r="K635" s="59" t="n"/>
      <c r="L635" s="59" t="n"/>
      <c r="M635" s="59" t="n"/>
      <c r="N635" s="59" t="n"/>
      <c r="O635" s="59" t="n"/>
      <c r="P635" s="59" t="n"/>
      <c r="Q635" s="59" t="n"/>
      <c r="R635" s="59" t="n"/>
      <c r="S635" s="59" t="n"/>
      <c r="T635" s="59" t="n"/>
      <c r="U635" s="59" t="n"/>
      <c r="V635" s="59" t="n"/>
      <c r="W635" s="59" t="n"/>
      <c r="X635" s="59" t="n"/>
      <c r="Y635" s="59" t="n"/>
      <c r="Z635" s="59" t="n"/>
      <c r="AA635" s="59" t="n"/>
      <c r="AB635" s="59" t="n"/>
      <c r="AC635" s="59" t="n"/>
      <c r="AD635" s="59" t="n"/>
    </row>
    <row r="636">
      <c r="A636" s="59" t="n"/>
      <c r="B636" s="59" t="n"/>
      <c r="C636" s="59" t="n"/>
      <c r="D636" s="59" t="n"/>
      <c r="E636" s="59" t="n"/>
      <c r="F636" s="59" t="n"/>
      <c r="G636" s="60" t="n"/>
      <c r="H636" s="59" t="n"/>
      <c r="I636" s="59" t="n"/>
      <c r="J636" s="59" t="n"/>
      <c r="K636" s="59" t="n"/>
      <c r="L636" s="59" t="n"/>
      <c r="M636" s="59" t="n"/>
      <c r="N636" s="59" t="n"/>
      <c r="O636" s="59" t="n"/>
      <c r="P636" s="59" t="n"/>
      <c r="Q636" s="59" t="n"/>
      <c r="R636" s="59" t="n"/>
      <c r="S636" s="59" t="n"/>
      <c r="T636" s="59" t="n"/>
      <c r="U636" s="59" t="n"/>
      <c r="V636" s="59" t="n"/>
      <c r="W636" s="59" t="n"/>
      <c r="X636" s="59" t="n"/>
      <c r="Y636" s="59" t="n"/>
      <c r="Z636" s="59" t="n"/>
      <c r="AA636" s="59" t="n"/>
      <c r="AB636" s="59" t="n"/>
      <c r="AC636" s="59" t="n"/>
      <c r="AD636" s="59" t="n"/>
    </row>
    <row r="637">
      <c r="A637" s="59" t="n"/>
      <c r="B637" s="59" t="n"/>
      <c r="C637" s="59" t="n"/>
      <c r="D637" s="59" t="n"/>
      <c r="E637" s="59" t="n"/>
      <c r="F637" s="59" t="n"/>
      <c r="G637" s="60" t="n"/>
      <c r="H637" s="59" t="n"/>
      <c r="I637" s="59" t="n"/>
      <c r="J637" s="59" t="n"/>
      <c r="K637" s="59" t="n"/>
      <c r="L637" s="59" t="n"/>
      <c r="M637" s="59" t="n"/>
      <c r="N637" s="59" t="n"/>
      <c r="O637" s="59" t="n"/>
      <c r="P637" s="59" t="n"/>
      <c r="Q637" s="59" t="n"/>
      <c r="R637" s="59" t="n"/>
      <c r="S637" s="59" t="n"/>
      <c r="T637" s="59" t="n"/>
      <c r="U637" s="59" t="n"/>
      <c r="V637" s="59" t="n"/>
      <c r="W637" s="59" t="n"/>
      <c r="X637" s="59" t="n"/>
      <c r="Y637" s="59" t="n"/>
      <c r="Z637" s="59" t="n"/>
      <c r="AA637" s="59" t="n"/>
      <c r="AB637" s="59" t="n"/>
      <c r="AC637" s="59" t="n"/>
      <c r="AD637" s="59" t="n"/>
    </row>
    <row r="638">
      <c r="A638" s="59" t="n"/>
      <c r="B638" s="59" t="n"/>
      <c r="C638" s="59" t="n"/>
      <c r="D638" s="59" t="n"/>
      <c r="E638" s="59" t="n"/>
      <c r="F638" s="59" t="n"/>
      <c r="G638" s="60" t="n"/>
      <c r="H638" s="59" t="n"/>
      <c r="I638" s="59" t="n"/>
      <c r="J638" s="59" t="n"/>
      <c r="K638" s="59" t="n"/>
      <c r="L638" s="59" t="n"/>
      <c r="M638" s="59" t="n"/>
      <c r="N638" s="59" t="n"/>
      <c r="O638" s="59" t="n"/>
      <c r="P638" s="59" t="n"/>
      <c r="Q638" s="59" t="n"/>
      <c r="R638" s="59" t="n"/>
      <c r="S638" s="59" t="n"/>
      <c r="T638" s="59" t="n"/>
      <c r="U638" s="59" t="n"/>
      <c r="V638" s="59" t="n"/>
      <c r="W638" s="59" t="n"/>
      <c r="X638" s="59" t="n"/>
      <c r="Y638" s="59" t="n"/>
      <c r="Z638" s="59" t="n"/>
      <c r="AA638" s="59" t="n"/>
      <c r="AB638" s="59" t="n"/>
      <c r="AC638" s="59" t="n"/>
      <c r="AD638" s="59" t="n"/>
    </row>
    <row r="639">
      <c r="A639" s="59" t="n"/>
      <c r="B639" s="59" t="n"/>
      <c r="C639" s="59" t="n"/>
      <c r="D639" s="59" t="n"/>
      <c r="E639" s="59" t="n"/>
      <c r="F639" s="59" t="n"/>
      <c r="G639" s="60" t="n"/>
      <c r="H639" s="59" t="n"/>
      <c r="I639" s="59" t="n"/>
      <c r="J639" s="59" t="n"/>
      <c r="K639" s="59" t="n"/>
      <c r="L639" s="59" t="n"/>
      <c r="M639" s="59" t="n"/>
      <c r="N639" s="59" t="n"/>
      <c r="O639" s="59" t="n"/>
      <c r="P639" s="59" t="n"/>
      <c r="Q639" s="59" t="n"/>
      <c r="R639" s="59" t="n"/>
      <c r="S639" s="59" t="n"/>
      <c r="T639" s="59" t="n"/>
      <c r="U639" s="59" t="n"/>
      <c r="V639" s="59" t="n"/>
      <c r="W639" s="59" t="n"/>
      <c r="X639" s="59" t="n"/>
      <c r="Y639" s="59" t="n"/>
      <c r="Z639" s="59" t="n"/>
      <c r="AA639" s="59" t="n"/>
      <c r="AB639" s="59" t="n"/>
      <c r="AC639" s="59" t="n"/>
      <c r="AD639" s="59" t="n"/>
    </row>
    <row r="640">
      <c r="A640" s="59" t="n"/>
      <c r="B640" s="59" t="n"/>
      <c r="C640" s="59" t="n"/>
      <c r="D640" s="59" t="n"/>
      <c r="E640" s="59" t="n"/>
      <c r="F640" s="59" t="n"/>
      <c r="G640" s="60" t="n"/>
      <c r="H640" s="59" t="n"/>
      <c r="I640" s="59" t="n"/>
      <c r="J640" s="59" t="n"/>
      <c r="K640" s="59" t="n"/>
      <c r="L640" s="59" t="n"/>
      <c r="M640" s="59" t="n"/>
      <c r="N640" s="59" t="n"/>
      <c r="O640" s="59" t="n"/>
      <c r="P640" s="59" t="n"/>
      <c r="Q640" s="59" t="n"/>
      <c r="R640" s="59" t="n"/>
      <c r="S640" s="59" t="n"/>
      <c r="T640" s="59" t="n"/>
      <c r="U640" s="59" t="n"/>
      <c r="V640" s="59" t="n"/>
      <c r="W640" s="59" t="n"/>
      <c r="X640" s="59" t="n"/>
      <c r="Y640" s="59" t="n"/>
      <c r="Z640" s="59" t="n"/>
      <c r="AA640" s="59" t="n"/>
      <c r="AB640" s="59" t="n"/>
      <c r="AC640" s="59" t="n"/>
      <c r="AD640" s="59" t="n"/>
    </row>
    <row r="641">
      <c r="A641" s="59" t="n"/>
      <c r="B641" s="59" t="n"/>
      <c r="C641" s="59" t="n"/>
      <c r="D641" s="59" t="n"/>
      <c r="E641" s="59" t="n"/>
      <c r="F641" s="59" t="n"/>
      <c r="G641" s="60" t="n"/>
      <c r="H641" s="59" t="n"/>
      <c r="I641" s="59" t="n"/>
      <c r="J641" s="59" t="n"/>
      <c r="K641" s="59" t="n"/>
      <c r="L641" s="59" t="n"/>
      <c r="M641" s="59" t="n"/>
      <c r="N641" s="59" t="n"/>
      <c r="O641" s="59" t="n"/>
      <c r="P641" s="59" t="n"/>
      <c r="Q641" s="59" t="n"/>
      <c r="R641" s="59" t="n"/>
      <c r="S641" s="59" t="n"/>
      <c r="T641" s="59" t="n"/>
      <c r="U641" s="59" t="n"/>
      <c r="V641" s="59" t="n"/>
      <c r="W641" s="59" t="n"/>
      <c r="X641" s="59" t="n"/>
      <c r="Y641" s="59" t="n"/>
      <c r="Z641" s="59" t="n"/>
      <c r="AA641" s="59" t="n"/>
      <c r="AB641" s="59" t="n"/>
      <c r="AC641" s="59" t="n"/>
      <c r="AD641" s="59" t="n"/>
    </row>
    <row r="642">
      <c r="A642" s="59" t="n"/>
      <c r="B642" s="59" t="n"/>
      <c r="C642" s="59" t="n"/>
      <c r="D642" s="59" t="n"/>
      <c r="E642" s="59" t="n"/>
      <c r="F642" s="59" t="n"/>
      <c r="G642" s="60" t="n"/>
      <c r="H642" s="59" t="n"/>
      <c r="I642" s="59" t="n"/>
      <c r="J642" s="59" t="n"/>
      <c r="K642" s="59" t="n"/>
      <c r="L642" s="59" t="n"/>
      <c r="M642" s="59" t="n"/>
      <c r="N642" s="59" t="n"/>
      <c r="O642" s="59" t="n"/>
      <c r="P642" s="59" t="n"/>
      <c r="Q642" s="59" t="n"/>
      <c r="R642" s="59" t="n"/>
      <c r="S642" s="59" t="n"/>
      <c r="T642" s="59" t="n"/>
      <c r="U642" s="59" t="n"/>
      <c r="V642" s="59" t="n"/>
      <c r="W642" s="59" t="n"/>
      <c r="X642" s="59" t="n"/>
      <c r="Y642" s="59" t="n"/>
      <c r="Z642" s="59" t="n"/>
      <c r="AA642" s="59" t="n"/>
      <c r="AB642" s="59" t="n"/>
      <c r="AC642" s="59" t="n"/>
      <c r="AD642" s="59" t="n"/>
    </row>
    <row r="643">
      <c r="A643" s="59" t="n"/>
      <c r="B643" s="59" t="n"/>
      <c r="C643" s="59" t="n"/>
      <c r="D643" s="59" t="n"/>
      <c r="E643" s="59" t="n"/>
      <c r="F643" s="59" t="n"/>
      <c r="G643" s="60" t="n"/>
      <c r="H643" s="59" t="n"/>
      <c r="I643" s="59" t="n"/>
      <c r="J643" s="59" t="n"/>
      <c r="K643" s="59" t="n"/>
      <c r="L643" s="59" t="n"/>
      <c r="M643" s="59" t="n"/>
      <c r="N643" s="59" t="n"/>
      <c r="O643" s="59" t="n"/>
      <c r="P643" s="59" t="n"/>
      <c r="Q643" s="59" t="n"/>
      <c r="R643" s="59" t="n"/>
      <c r="S643" s="59" t="n"/>
      <c r="T643" s="59" t="n"/>
      <c r="U643" s="59" t="n"/>
      <c r="V643" s="59" t="n"/>
      <c r="W643" s="59" t="n"/>
      <c r="X643" s="59" t="n"/>
      <c r="Y643" s="59" t="n"/>
      <c r="Z643" s="59" t="n"/>
      <c r="AA643" s="59" t="n"/>
      <c r="AB643" s="59" t="n"/>
      <c r="AC643" s="59" t="n"/>
      <c r="AD643" s="59" t="n"/>
    </row>
    <row r="644">
      <c r="A644" s="59" t="n"/>
      <c r="B644" s="59" t="n"/>
      <c r="C644" s="59" t="n"/>
      <c r="D644" s="59" t="n"/>
      <c r="E644" s="59" t="n"/>
      <c r="F644" s="59" t="n"/>
      <c r="G644" s="60" t="n"/>
      <c r="H644" s="59" t="n"/>
      <c r="I644" s="59" t="n"/>
      <c r="J644" s="59" t="n"/>
      <c r="K644" s="59" t="n"/>
      <c r="L644" s="59" t="n"/>
      <c r="M644" s="59" t="n"/>
      <c r="N644" s="59" t="n"/>
      <c r="O644" s="59" t="n"/>
      <c r="P644" s="59" t="n"/>
      <c r="Q644" s="59" t="n"/>
      <c r="R644" s="59" t="n"/>
      <c r="S644" s="59" t="n"/>
      <c r="T644" s="59" t="n"/>
      <c r="U644" s="59" t="n"/>
      <c r="V644" s="59" t="n"/>
      <c r="W644" s="59" t="n"/>
      <c r="X644" s="59" t="n"/>
      <c r="Y644" s="59" t="n"/>
      <c r="Z644" s="59" t="n"/>
      <c r="AA644" s="59" t="n"/>
      <c r="AB644" s="59" t="n"/>
      <c r="AC644" s="59" t="n"/>
      <c r="AD644" s="59" t="n"/>
    </row>
    <row r="645">
      <c r="A645" s="59" t="n"/>
      <c r="B645" s="59" t="n"/>
      <c r="C645" s="59" t="n"/>
      <c r="D645" s="59" t="n"/>
      <c r="E645" s="59" t="n"/>
      <c r="F645" s="59" t="n"/>
      <c r="G645" s="60" t="n"/>
      <c r="H645" s="59" t="n"/>
      <c r="I645" s="59" t="n"/>
      <c r="J645" s="59" t="n"/>
      <c r="K645" s="59" t="n"/>
      <c r="L645" s="59" t="n"/>
      <c r="M645" s="59" t="n"/>
      <c r="N645" s="59" t="n"/>
      <c r="O645" s="59" t="n"/>
      <c r="P645" s="59" t="n"/>
      <c r="Q645" s="59" t="n"/>
      <c r="R645" s="59" t="n"/>
      <c r="S645" s="59" t="n"/>
      <c r="T645" s="59" t="n"/>
      <c r="U645" s="59" t="n"/>
      <c r="V645" s="59" t="n"/>
      <c r="W645" s="59" t="n"/>
      <c r="X645" s="59" t="n"/>
      <c r="Y645" s="59" t="n"/>
      <c r="Z645" s="59" t="n"/>
      <c r="AA645" s="59" t="n"/>
      <c r="AB645" s="59" t="n"/>
      <c r="AC645" s="59" t="n"/>
      <c r="AD645" s="59" t="n"/>
    </row>
    <row r="646">
      <c r="A646" s="59" t="n"/>
      <c r="B646" s="59" t="n"/>
      <c r="C646" s="59" t="n"/>
      <c r="D646" s="59" t="n"/>
      <c r="E646" s="59" t="n"/>
      <c r="F646" s="59" t="n"/>
      <c r="G646" s="60" t="n"/>
      <c r="H646" s="59" t="n"/>
      <c r="I646" s="59" t="n"/>
      <c r="J646" s="59" t="n"/>
      <c r="K646" s="59" t="n"/>
      <c r="L646" s="59" t="n"/>
      <c r="M646" s="59" t="n"/>
      <c r="N646" s="59" t="n"/>
      <c r="O646" s="59" t="n"/>
      <c r="P646" s="59" t="n"/>
      <c r="Q646" s="59" t="n"/>
      <c r="R646" s="59" t="n"/>
      <c r="S646" s="59" t="n"/>
      <c r="T646" s="59" t="n"/>
      <c r="U646" s="59" t="n"/>
      <c r="V646" s="59" t="n"/>
      <c r="W646" s="59" t="n"/>
      <c r="X646" s="59" t="n"/>
      <c r="Y646" s="59" t="n"/>
      <c r="Z646" s="59" t="n"/>
      <c r="AA646" s="59" t="n"/>
      <c r="AB646" s="59" t="n"/>
      <c r="AC646" s="59" t="n"/>
      <c r="AD646" s="59" t="n"/>
    </row>
    <row r="647">
      <c r="A647" s="59" t="n"/>
      <c r="B647" s="59" t="n"/>
      <c r="C647" s="59" t="n"/>
      <c r="D647" s="59" t="n"/>
      <c r="E647" s="59" t="n"/>
      <c r="F647" s="59" t="n"/>
      <c r="G647" s="60" t="n"/>
      <c r="H647" s="59" t="n"/>
      <c r="I647" s="59" t="n"/>
      <c r="J647" s="59" t="n"/>
      <c r="K647" s="59" t="n"/>
      <c r="L647" s="59" t="n"/>
      <c r="M647" s="59" t="n"/>
      <c r="N647" s="59" t="n"/>
      <c r="O647" s="59" t="n"/>
      <c r="P647" s="59" t="n"/>
      <c r="Q647" s="59" t="n"/>
      <c r="R647" s="59" t="n"/>
      <c r="S647" s="59" t="n"/>
      <c r="T647" s="59" t="n"/>
      <c r="U647" s="59" t="n"/>
      <c r="V647" s="59" t="n"/>
      <c r="W647" s="59" t="n"/>
      <c r="X647" s="59" t="n"/>
      <c r="Y647" s="59" t="n"/>
      <c r="Z647" s="59" t="n"/>
      <c r="AA647" s="59" t="n"/>
      <c r="AB647" s="59" t="n"/>
      <c r="AC647" s="59" t="n"/>
      <c r="AD647" s="59" t="n"/>
    </row>
    <row r="648">
      <c r="A648" s="59" t="n"/>
      <c r="B648" s="59" t="n"/>
      <c r="C648" s="59" t="n"/>
      <c r="D648" s="59" t="n"/>
      <c r="E648" s="59" t="n"/>
      <c r="F648" s="59" t="n"/>
      <c r="G648" s="60" t="n"/>
      <c r="H648" s="59" t="n"/>
      <c r="I648" s="59" t="n"/>
      <c r="J648" s="59" t="n"/>
      <c r="K648" s="59" t="n"/>
      <c r="L648" s="59" t="n"/>
      <c r="M648" s="59" t="n"/>
      <c r="N648" s="59" t="n"/>
      <c r="O648" s="59" t="n"/>
      <c r="P648" s="59" t="n"/>
      <c r="Q648" s="59" t="n"/>
      <c r="R648" s="59" t="n"/>
      <c r="S648" s="59" t="n"/>
      <c r="T648" s="59" t="n"/>
      <c r="U648" s="59" t="n"/>
      <c r="V648" s="59" t="n"/>
      <c r="W648" s="59" t="n"/>
      <c r="X648" s="59" t="n"/>
      <c r="Y648" s="59" t="n"/>
      <c r="Z648" s="59" t="n"/>
      <c r="AA648" s="59" t="n"/>
      <c r="AB648" s="59" t="n"/>
      <c r="AC648" s="59" t="n"/>
      <c r="AD648" s="59" t="n"/>
    </row>
    <row r="649">
      <c r="A649" s="59" t="n"/>
      <c r="B649" s="59" t="n"/>
      <c r="C649" s="59" t="n"/>
      <c r="D649" s="59" t="n"/>
      <c r="E649" s="59" t="n"/>
      <c r="F649" s="59" t="n"/>
      <c r="G649" s="60" t="n"/>
      <c r="H649" s="59" t="n"/>
      <c r="I649" s="59" t="n"/>
      <c r="J649" s="59" t="n"/>
      <c r="K649" s="59" t="n"/>
      <c r="L649" s="59" t="n"/>
      <c r="M649" s="59" t="n"/>
      <c r="N649" s="59" t="n"/>
      <c r="O649" s="59" t="n"/>
      <c r="P649" s="59" t="n"/>
      <c r="Q649" s="59" t="n"/>
      <c r="R649" s="59" t="n"/>
      <c r="S649" s="59" t="n"/>
      <c r="T649" s="59" t="n"/>
      <c r="U649" s="59" t="n"/>
      <c r="V649" s="59" t="n"/>
      <c r="W649" s="59" t="n"/>
      <c r="X649" s="59" t="n"/>
      <c r="Y649" s="59" t="n"/>
      <c r="Z649" s="59" t="n"/>
      <c r="AA649" s="59" t="n"/>
      <c r="AB649" s="59" t="n"/>
      <c r="AC649" s="59" t="n"/>
      <c r="AD649" s="59" t="n"/>
    </row>
    <row r="650">
      <c r="A650" s="59" t="n"/>
      <c r="B650" s="59" t="n"/>
      <c r="C650" s="59" t="n"/>
      <c r="D650" s="59" t="n"/>
      <c r="E650" s="59" t="n"/>
      <c r="F650" s="59" t="n"/>
      <c r="G650" s="60" t="n"/>
      <c r="H650" s="59" t="n"/>
      <c r="I650" s="59" t="n"/>
      <c r="J650" s="59" t="n"/>
      <c r="K650" s="59" t="n"/>
      <c r="L650" s="59" t="n"/>
      <c r="M650" s="59" t="n"/>
      <c r="N650" s="59" t="n"/>
      <c r="O650" s="59" t="n"/>
      <c r="P650" s="59" t="n"/>
      <c r="Q650" s="59" t="n"/>
      <c r="R650" s="59" t="n"/>
      <c r="S650" s="59" t="n"/>
      <c r="T650" s="59" t="n"/>
      <c r="U650" s="59" t="n"/>
      <c r="V650" s="59" t="n"/>
      <c r="W650" s="59" t="n"/>
      <c r="X650" s="59" t="n"/>
      <c r="Y650" s="59" t="n"/>
      <c r="Z650" s="59" t="n"/>
      <c r="AA650" s="59" t="n"/>
      <c r="AB650" s="59" t="n"/>
      <c r="AC650" s="59" t="n"/>
      <c r="AD650" s="59" t="n"/>
    </row>
    <row r="651">
      <c r="A651" s="59" t="n"/>
      <c r="B651" s="59" t="n"/>
      <c r="C651" s="59" t="n"/>
      <c r="D651" s="59" t="n"/>
      <c r="E651" s="59" t="n"/>
      <c r="F651" s="59" t="n"/>
      <c r="G651" s="60" t="n"/>
      <c r="H651" s="59" t="n"/>
      <c r="I651" s="59" t="n"/>
      <c r="J651" s="59" t="n"/>
      <c r="K651" s="59" t="n"/>
      <c r="L651" s="59" t="n"/>
      <c r="M651" s="59" t="n"/>
      <c r="N651" s="59" t="n"/>
      <c r="O651" s="59" t="n"/>
      <c r="P651" s="59" t="n"/>
      <c r="Q651" s="59" t="n"/>
      <c r="R651" s="59" t="n"/>
      <c r="S651" s="59" t="n"/>
      <c r="T651" s="59" t="n"/>
      <c r="U651" s="59" t="n"/>
      <c r="V651" s="59" t="n"/>
      <c r="W651" s="59" t="n"/>
      <c r="X651" s="59" t="n"/>
      <c r="Y651" s="59" t="n"/>
      <c r="Z651" s="59" t="n"/>
      <c r="AA651" s="59" t="n"/>
      <c r="AB651" s="59" t="n"/>
      <c r="AC651" s="59" t="n"/>
      <c r="AD651" s="59" t="n"/>
    </row>
    <row r="652">
      <c r="A652" s="59" t="n"/>
      <c r="B652" s="59" t="n"/>
      <c r="C652" s="59" t="n"/>
      <c r="D652" s="59" t="n"/>
      <c r="E652" s="59" t="n"/>
      <c r="F652" s="59" t="n"/>
      <c r="G652" s="60" t="n"/>
      <c r="H652" s="59" t="n"/>
      <c r="I652" s="59" t="n"/>
      <c r="J652" s="59" t="n"/>
      <c r="K652" s="59" t="n"/>
      <c r="L652" s="59" t="n"/>
      <c r="M652" s="59" t="n"/>
      <c r="N652" s="59" t="n"/>
      <c r="O652" s="59" t="n"/>
      <c r="P652" s="59" t="n"/>
      <c r="Q652" s="59" t="n"/>
      <c r="R652" s="59" t="n"/>
      <c r="S652" s="59" t="n"/>
      <c r="T652" s="59" t="n"/>
      <c r="U652" s="59" t="n"/>
      <c r="V652" s="59" t="n"/>
      <c r="W652" s="59" t="n"/>
      <c r="X652" s="59" t="n"/>
      <c r="Y652" s="59" t="n"/>
      <c r="Z652" s="59" t="n"/>
      <c r="AA652" s="59" t="n"/>
      <c r="AB652" s="59" t="n"/>
      <c r="AC652" s="59" t="n"/>
      <c r="AD652" s="59" t="n"/>
    </row>
    <row r="653">
      <c r="A653" s="59" t="n"/>
      <c r="B653" s="59" t="n"/>
      <c r="C653" s="59" t="n"/>
      <c r="D653" s="59" t="n"/>
      <c r="E653" s="59" t="n"/>
      <c r="F653" s="59" t="n"/>
      <c r="G653" s="60" t="n"/>
      <c r="H653" s="59" t="n"/>
      <c r="I653" s="59" t="n"/>
      <c r="J653" s="59" t="n"/>
      <c r="K653" s="59" t="n"/>
      <c r="L653" s="59" t="n"/>
      <c r="M653" s="59" t="n"/>
      <c r="N653" s="59" t="n"/>
      <c r="O653" s="59" t="n"/>
      <c r="P653" s="59" t="n"/>
      <c r="Q653" s="59" t="n"/>
      <c r="R653" s="59" t="n"/>
      <c r="S653" s="59" t="n"/>
      <c r="T653" s="59" t="n"/>
      <c r="U653" s="59" t="n"/>
      <c r="V653" s="59" t="n"/>
      <c r="W653" s="59" t="n"/>
      <c r="X653" s="59" t="n"/>
      <c r="Y653" s="59" t="n"/>
      <c r="Z653" s="59" t="n"/>
      <c r="AA653" s="59" t="n"/>
      <c r="AB653" s="59" t="n"/>
      <c r="AC653" s="59" t="n"/>
      <c r="AD653" s="59" t="n"/>
    </row>
    <row r="654">
      <c r="A654" s="59" t="n"/>
      <c r="B654" s="59" t="n"/>
      <c r="C654" s="59" t="n"/>
      <c r="D654" s="59" t="n"/>
      <c r="E654" s="59" t="n"/>
      <c r="F654" s="59" t="n"/>
      <c r="G654" s="60" t="n"/>
      <c r="H654" s="59" t="n"/>
      <c r="I654" s="59" t="n"/>
      <c r="J654" s="59" t="n"/>
      <c r="K654" s="59" t="n"/>
      <c r="L654" s="59" t="n"/>
      <c r="M654" s="59" t="n"/>
      <c r="N654" s="59" t="n"/>
      <c r="O654" s="59" t="n"/>
      <c r="P654" s="59" t="n"/>
      <c r="Q654" s="59" t="n"/>
      <c r="R654" s="59" t="n"/>
      <c r="S654" s="59" t="n"/>
      <c r="T654" s="59" t="n"/>
      <c r="U654" s="59" t="n"/>
      <c r="V654" s="59" t="n"/>
      <c r="W654" s="59" t="n"/>
      <c r="X654" s="59" t="n"/>
      <c r="Y654" s="59" t="n"/>
      <c r="Z654" s="59" t="n"/>
      <c r="AA654" s="59" t="n"/>
      <c r="AB654" s="59" t="n"/>
      <c r="AC654" s="59" t="n"/>
      <c r="AD654" s="59" t="n"/>
    </row>
    <row r="655">
      <c r="A655" s="59" t="n"/>
      <c r="B655" s="59" t="n"/>
      <c r="C655" s="59" t="n"/>
      <c r="D655" s="59" t="n"/>
      <c r="E655" s="59" t="n"/>
      <c r="F655" s="59" t="n"/>
      <c r="G655" s="60" t="n"/>
      <c r="H655" s="59" t="n"/>
      <c r="I655" s="59" t="n"/>
      <c r="J655" s="59" t="n"/>
      <c r="K655" s="59" t="n"/>
      <c r="L655" s="59" t="n"/>
      <c r="M655" s="59" t="n"/>
      <c r="N655" s="59" t="n"/>
      <c r="O655" s="59" t="n"/>
      <c r="P655" s="59" t="n"/>
      <c r="Q655" s="59" t="n"/>
      <c r="R655" s="59" t="n"/>
      <c r="S655" s="59" t="n"/>
      <c r="T655" s="59" t="n"/>
      <c r="U655" s="59" t="n"/>
      <c r="V655" s="59" t="n"/>
      <c r="W655" s="59" t="n"/>
      <c r="X655" s="59" t="n"/>
      <c r="Y655" s="59" t="n"/>
      <c r="Z655" s="59" t="n"/>
      <c r="AA655" s="59" t="n"/>
      <c r="AB655" s="59" t="n"/>
      <c r="AC655" s="59" t="n"/>
      <c r="AD655" s="59" t="n"/>
    </row>
    <row r="656">
      <c r="A656" s="59" t="n"/>
      <c r="B656" s="59" t="n"/>
      <c r="C656" s="59" t="n"/>
      <c r="D656" s="59" t="n"/>
      <c r="E656" s="59" t="n"/>
      <c r="F656" s="59" t="n"/>
      <c r="G656" s="60" t="n"/>
      <c r="H656" s="59" t="n"/>
      <c r="I656" s="59" t="n"/>
      <c r="J656" s="59" t="n"/>
      <c r="K656" s="59" t="n"/>
      <c r="L656" s="59" t="n"/>
      <c r="M656" s="59" t="n"/>
      <c r="N656" s="59" t="n"/>
      <c r="O656" s="59" t="n"/>
      <c r="P656" s="59" t="n"/>
      <c r="Q656" s="59" t="n"/>
      <c r="R656" s="59" t="n"/>
      <c r="S656" s="59" t="n"/>
      <c r="T656" s="59" t="n"/>
      <c r="U656" s="59" t="n"/>
      <c r="V656" s="59" t="n"/>
      <c r="W656" s="59" t="n"/>
      <c r="X656" s="59" t="n"/>
      <c r="Y656" s="59" t="n"/>
      <c r="Z656" s="59" t="n"/>
      <c r="AA656" s="59" t="n"/>
      <c r="AB656" s="59" t="n"/>
      <c r="AC656" s="59" t="n"/>
      <c r="AD656" s="59" t="n"/>
    </row>
    <row r="657">
      <c r="A657" s="59" t="n"/>
      <c r="B657" s="59" t="n"/>
      <c r="C657" s="59" t="n"/>
      <c r="D657" s="59" t="n"/>
      <c r="E657" s="59" t="n"/>
      <c r="F657" s="59" t="n"/>
      <c r="G657" s="60" t="n"/>
      <c r="H657" s="59" t="n"/>
      <c r="I657" s="59" t="n"/>
      <c r="J657" s="59" t="n"/>
      <c r="K657" s="59" t="n"/>
      <c r="L657" s="59" t="n"/>
      <c r="M657" s="59" t="n"/>
      <c r="N657" s="59" t="n"/>
      <c r="O657" s="59" t="n"/>
      <c r="P657" s="59" t="n"/>
      <c r="Q657" s="59" t="n"/>
      <c r="R657" s="59" t="n"/>
      <c r="S657" s="59" t="n"/>
      <c r="T657" s="59" t="n"/>
      <c r="U657" s="59" t="n"/>
      <c r="V657" s="59" t="n"/>
      <c r="W657" s="59" t="n"/>
      <c r="X657" s="59" t="n"/>
      <c r="Y657" s="59" t="n"/>
      <c r="Z657" s="59" t="n"/>
      <c r="AA657" s="59" t="n"/>
      <c r="AB657" s="59" t="n"/>
      <c r="AC657" s="59" t="n"/>
      <c r="AD657" s="59" t="n"/>
    </row>
    <row r="658">
      <c r="A658" s="59" t="n"/>
      <c r="B658" s="59" t="n"/>
      <c r="C658" s="59" t="n"/>
      <c r="D658" s="59" t="n"/>
      <c r="E658" s="59" t="n"/>
      <c r="F658" s="59" t="n"/>
      <c r="G658" s="60" t="n"/>
      <c r="H658" s="59" t="n"/>
      <c r="I658" s="59" t="n"/>
      <c r="J658" s="59" t="n"/>
      <c r="K658" s="59" t="n"/>
      <c r="L658" s="59" t="n"/>
      <c r="M658" s="59" t="n"/>
      <c r="N658" s="59" t="n"/>
      <c r="O658" s="59" t="n"/>
      <c r="P658" s="59" t="n"/>
      <c r="Q658" s="59" t="n"/>
      <c r="R658" s="59" t="n"/>
      <c r="S658" s="59" t="n"/>
      <c r="T658" s="59" t="n"/>
      <c r="U658" s="59" t="n"/>
      <c r="V658" s="59" t="n"/>
      <c r="W658" s="59" t="n"/>
      <c r="X658" s="59" t="n"/>
      <c r="Y658" s="59" t="n"/>
      <c r="Z658" s="59" t="n"/>
      <c r="AA658" s="59" t="n"/>
      <c r="AB658" s="59" t="n"/>
      <c r="AC658" s="59" t="n"/>
      <c r="AD658" s="59" t="n"/>
    </row>
    <row r="659">
      <c r="A659" s="59" t="n"/>
      <c r="B659" s="59" t="n"/>
      <c r="C659" s="59" t="n"/>
      <c r="D659" s="59" t="n"/>
      <c r="E659" s="59" t="n"/>
      <c r="F659" s="59" t="n"/>
      <c r="G659" s="60" t="n"/>
      <c r="H659" s="59" t="n"/>
      <c r="I659" s="59" t="n"/>
      <c r="J659" s="59" t="n"/>
      <c r="K659" s="59" t="n"/>
      <c r="L659" s="59" t="n"/>
      <c r="M659" s="59" t="n"/>
      <c r="N659" s="59" t="n"/>
      <c r="O659" s="59" t="n"/>
      <c r="P659" s="59" t="n"/>
      <c r="Q659" s="59" t="n"/>
      <c r="R659" s="59" t="n"/>
      <c r="S659" s="59" t="n"/>
      <c r="T659" s="59" t="n"/>
      <c r="U659" s="59" t="n"/>
      <c r="V659" s="59" t="n"/>
      <c r="W659" s="59" t="n"/>
      <c r="X659" s="59" t="n"/>
      <c r="Y659" s="59" t="n"/>
      <c r="Z659" s="59" t="n"/>
      <c r="AA659" s="59" t="n"/>
      <c r="AB659" s="59" t="n"/>
      <c r="AC659" s="59" t="n"/>
      <c r="AD659" s="59" t="n"/>
    </row>
    <row r="660">
      <c r="A660" s="59" t="n"/>
      <c r="B660" s="59" t="n"/>
      <c r="C660" s="59" t="n"/>
      <c r="D660" s="59" t="n"/>
      <c r="E660" s="59" t="n"/>
      <c r="F660" s="59" t="n"/>
      <c r="G660" s="60" t="n"/>
      <c r="H660" s="59" t="n"/>
      <c r="I660" s="59" t="n"/>
      <c r="J660" s="59" t="n"/>
      <c r="K660" s="59" t="n"/>
      <c r="L660" s="59" t="n"/>
      <c r="M660" s="59" t="n"/>
      <c r="N660" s="59" t="n"/>
      <c r="O660" s="59" t="n"/>
      <c r="P660" s="59" t="n"/>
      <c r="Q660" s="59" t="n"/>
      <c r="R660" s="59" t="n"/>
      <c r="S660" s="59" t="n"/>
      <c r="T660" s="59" t="n"/>
      <c r="U660" s="59" t="n"/>
      <c r="V660" s="59" t="n"/>
      <c r="W660" s="59" t="n"/>
      <c r="X660" s="59" t="n"/>
      <c r="Y660" s="59" t="n"/>
      <c r="Z660" s="59" t="n"/>
      <c r="AA660" s="59" t="n"/>
      <c r="AB660" s="59" t="n"/>
      <c r="AC660" s="59" t="n"/>
      <c r="AD660" s="59" t="n"/>
    </row>
    <row r="661">
      <c r="A661" s="59" t="n"/>
      <c r="B661" s="59" t="n"/>
      <c r="C661" s="59" t="n"/>
      <c r="D661" s="59" t="n"/>
      <c r="E661" s="59" t="n"/>
      <c r="F661" s="59" t="n"/>
      <c r="G661" s="60" t="n"/>
      <c r="H661" s="59" t="n"/>
      <c r="I661" s="59" t="n"/>
      <c r="J661" s="59" t="n"/>
      <c r="K661" s="59" t="n"/>
      <c r="L661" s="59" t="n"/>
      <c r="M661" s="59" t="n"/>
      <c r="N661" s="59" t="n"/>
      <c r="O661" s="59" t="n"/>
      <c r="P661" s="59" t="n"/>
      <c r="Q661" s="59" t="n"/>
      <c r="R661" s="59" t="n"/>
      <c r="S661" s="59" t="n"/>
      <c r="T661" s="59" t="n"/>
      <c r="U661" s="59" t="n"/>
      <c r="V661" s="59" t="n"/>
      <c r="W661" s="59" t="n"/>
      <c r="X661" s="59" t="n"/>
      <c r="Y661" s="59" t="n"/>
      <c r="Z661" s="59" t="n"/>
      <c r="AA661" s="59" t="n"/>
      <c r="AB661" s="59" t="n"/>
      <c r="AC661" s="59" t="n"/>
      <c r="AD661" s="59" t="n"/>
    </row>
    <row r="662">
      <c r="A662" s="59" t="n"/>
      <c r="B662" s="59" t="n"/>
      <c r="C662" s="59" t="n"/>
      <c r="D662" s="59" t="n"/>
      <c r="E662" s="59" t="n"/>
      <c r="F662" s="59" t="n"/>
      <c r="G662" s="60" t="n"/>
      <c r="H662" s="59" t="n"/>
      <c r="I662" s="59" t="n"/>
      <c r="J662" s="59" t="n"/>
      <c r="K662" s="59" t="n"/>
      <c r="L662" s="59" t="n"/>
      <c r="M662" s="59" t="n"/>
      <c r="N662" s="59" t="n"/>
      <c r="O662" s="59" t="n"/>
      <c r="P662" s="59" t="n"/>
      <c r="Q662" s="59" t="n"/>
      <c r="R662" s="59" t="n"/>
      <c r="S662" s="59" t="n"/>
      <c r="T662" s="59" t="n"/>
      <c r="U662" s="59" t="n"/>
      <c r="V662" s="59" t="n"/>
      <c r="W662" s="59" t="n"/>
      <c r="X662" s="59" t="n"/>
      <c r="Y662" s="59" t="n"/>
      <c r="Z662" s="59" t="n"/>
      <c r="AA662" s="59" t="n"/>
      <c r="AB662" s="59" t="n"/>
      <c r="AC662" s="59" t="n"/>
      <c r="AD662" s="59" t="n"/>
    </row>
    <row r="663">
      <c r="A663" s="59" t="n"/>
      <c r="B663" s="59" t="n"/>
      <c r="C663" s="59" t="n"/>
      <c r="D663" s="59" t="n"/>
      <c r="E663" s="59" t="n"/>
      <c r="F663" s="59" t="n"/>
      <c r="G663" s="60" t="n"/>
      <c r="H663" s="59" t="n"/>
      <c r="I663" s="59" t="n"/>
      <c r="J663" s="59" t="n"/>
      <c r="K663" s="59" t="n"/>
      <c r="L663" s="59" t="n"/>
      <c r="M663" s="59" t="n"/>
      <c r="N663" s="59" t="n"/>
      <c r="O663" s="59" t="n"/>
      <c r="P663" s="59" t="n"/>
      <c r="Q663" s="59" t="n"/>
      <c r="R663" s="59" t="n"/>
      <c r="S663" s="59" t="n"/>
      <c r="T663" s="59" t="n"/>
      <c r="U663" s="59" t="n"/>
      <c r="V663" s="59" t="n"/>
      <c r="W663" s="59" t="n"/>
      <c r="X663" s="59" t="n"/>
      <c r="Y663" s="59" t="n"/>
      <c r="Z663" s="59" t="n"/>
      <c r="AA663" s="59" t="n"/>
      <c r="AB663" s="59" t="n"/>
      <c r="AC663" s="59" t="n"/>
      <c r="AD663" s="59" t="n"/>
    </row>
    <row r="664">
      <c r="A664" s="59" t="n"/>
      <c r="B664" s="59" t="n"/>
      <c r="C664" s="59" t="n"/>
      <c r="D664" s="59" t="n"/>
      <c r="E664" s="59" t="n"/>
      <c r="F664" s="59" t="n"/>
      <c r="G664" s="60" t="n"/>
      <c r="H664" s="59" t="n"/>
      <c r="I664" s="59" t="n"/>
      <c r="J664" s="59" t="n"/>
      <c r="K664" s="59" t="n"/>
      <c r="L664" s="59" t="n"/>
      <c r="M664" s="59" t="n"/>
      <c r="N664" s="59" t="n"/>
      <c r="O664" s="59" t="n"/>
      <c r="P664" s="59" t="n"/>
      <c r="Q664" s="59" t="n"/>
      <c r="R664" s="59" t="n"/>
      <c r="S664" s="59" t="n"/>
      <c r="T664" s="59" t="n"/>
      <c r="U664" s="59" t="n"/>
      <c r="V664" s="59" t="n"/>
      <c r="W664" s="59" t="n"/>
      <c r="X664" s="59" t="n"/>
      <c r="Y664" s="59" t="n"/>
      <c r="Z664" s="59" t="n"/>
      <c r="AA664" s="59" t="n"/>
      <c r="AB664" s="59" t="n"/>
      <c r="AC664" s="59" t="n"/>
      <c r="AD664" s="59" t="n"/>
    </row>
    <row r="665">
      <c r="A665" s="59" t="n"/>
      <c r="B665" s="59" t="n"/>
      <c r="C665" s="59" t="n"/>
      <c r="D665" s="59" t="n"/>
      <c r="E665" s="59" t="n"/>
      <c r="F665" s="59" t="n"/>
      <c r="G665" s="60" t="n"/>
      <c r="H665" s="59" t="n"/>
      <c r="I665" s="59" t="n"/>
      <c r="J665" s="59" t="n"/>
      <c r="K665" s="59" t="n"/>
      <c r="L665" s="59" t="n"/>
      <c r="M665" s="59" t="n"/>
      <c r="N665" s="59" t="n"/>
      <c r="O665" s="59" t="n"/>
      <c r="P665" s="59" t="n"/>
      <c r="Q665" s="59" t="n"/>
      <c r="R665" s="59" t="n"/>
      <c r="S665" s="59" t="n"/>
      <c r="T665" s="59" t="n"/>
      <c r="U665" s="59" t="n"/>
      <c r="V665" s="59" t="n"/>
      <c r="W665" s="59" t="n"/>
      <c r="X665" s="59" t="n"/>
      <c r="Y665" s="59" t="n"/>
      <c r="Z665" s="59" t="n"/>
      <c r="AA665" s="59" t="n"/>
      <c r="AB665" s="59" t="n"/>
      <c r="AC665" s="59" t="n"/>
      <c r="AD665" s="59" t="n"/>
    </row>
    <row r="666">
      <c r="A666" s="59" t="n"/>
      <c r="B666" s="59" t="n"/>
      <c r="C666" s="59" t="n"/>
      <c r="D666" s="59" t="n"/>
      <c r="E666" s="59" t="n"/>
      <c r="F666" s="59" t="n"/>
      <c r="G666" s="60" t="n"/>
      <c r="H666" s="59" t="n"/>
      <c r="I666" s="59" t="n"/>
      <c r="J666" s="59" t="n"/>
      <c r="K666" s="59" t="n"/>
      <c r="L666" s="59" t="n"/>
      <c r="M666" s="59" t="n"/>
      <c r="N666" s="59" t="n"/>
      <c r="O666" s="59" t="n"/>
      <c r="P666" s="59" t="n"/>
      <c r="Q666" s="59" t="n"/>
      <c r="R666" s="59" t="n"/>
      <c r="S666" s="59" t="n"/>
      <c r="T666" s="59" t="n"/>
      <c r="U666" s="59" t="n"/>
      <c r="V666" s="59" t="n"/>
      <c r="W666" s="59" t="n"/>
      <c r="X666" s="59" t="n"/>
      <c r="Y666" s="59" t="n"/>
      <c r="Z666" s="59" t="n"/>
      <c r="AA666" s="59" t="n"/>
      <c r="AB666" s="59" t="n"/>
      <c r="AC666" s="59" t="n"/>
      <c r="AD666" s="59" t="n"/>
    </row>
    <row r="667">
      <c r="A667" s="59" t="n"/>
      <c r="B667" s="59" t="n"/>
      <c r="C667" s="59" t="n"/>
      <c r="D667" s="59" t="n"/>
      <c r="E667" s="59" t="n"/>
      <c r="F667" s="59" t="n"/>
      <c r="G667" s="60" t="n"/>
      <c r="H667" s="59" t="n"/>
      <c r="I667" s="59" t="n"/>
      <c r="J667" s="59" t="n"/>
      <c r="K667" s="59" t="n"/>
      <c r="L667" s="59" t="n"/>
      <c r="M667" s="59" t="n"/>
      <c r="N667" s="59" t="n"/>
      <c r="O667" s="59" t="n"/>
      <c r="P667" s="59" t="n"/>
      <c r="Q667" s="59" t="n"/>
      <c r="R667" s="59" t="n"/>
      <c r="S667" s="59" t="n"/>
      <c r="T667" s="59" t="n"/>
      <c r="U667" s="59" t="n"/>
      <c r="V667" s="59" t="n"/>
      <c r="W667" s="59" t="n"/>
      <c r="X667" s="59" t="n"/>
      <c r="Y667" s="59" t="n"/>
      <c r="Z667" s="59" t="n"/>
      <c r="AA667" s="59" t="n"/>
      <c r="AB667" s="59" t="n"/>
      <c r="AC667" s="59" t="n"/>
      <c r="AD667" s="59" t="n"/>
    </row>
    <row r="668">
      <c r="A668" s="59" t="n"/>
      <c r="B668" s="59" t="n"/>
      <c r="C668" s="59" t="n"/>
      <c r="D668" s="59" t="n"/>
      <c r="E668" s="59" t="n"/>
      <c r="F668" s="59" t="n"/>
      <c r="G668" s="60" t="n"/>
      <c r="H668" s="59" t="n"/>
      <c r="I668" s="59" t="n"/>
      <c r="J668" s="59" t="n"/>
      <c r="K668" s="59" t="n"/>
      <c r="L668" s="59" t="n"/>
      <c r="M668" s="59" t="n"/>
      <c r="N668" s="59" t="n"/>
      <c r="O668" s="59" t="n"/>
      <c r="P668" s="59" t="n"/>
      <c r="Q668" s="59" t="n"/>
      <c r="R668" s="59" t="n"/>
      <c r="S668" s="59" t="n"/>
      <c r="T668" s="59" t="n"/>
      <c r="U668" s="59" t="n"/>
      <c r="V668" s="59" t="n"/>
      <c r="W668" s="59" t="n"/>
      <c r="X668" s="59" t="n"/>
      <c r="Y668" s="59" t="n"/>
      <c r="Z668" s="59" t="n"/>
      <c r="AA668" s="59" t="n"/>
      <c r="AB668" s="59" t="n"/>
      <c r="AC668" s="59" t="n"/>
      <c r="AD668" s="59" t="n"/>
    </row>
    <row r="669">
      <c r="A669" s="59" t="n"/>
      <c r="B669" s="59" t="n"/>
      <c r="C669" s="59" t="n"/>
      <c r="D669" s="59" t="n"/>
      <c r="E669" s="59" t="n"/>
      <c r="F669" s="59" t="n"/>
      <c r="G669" s="60" t="n"/>
      <c r="H669" s="59" t="n"/>
      <c r="I669" s="59" t="n"/>
      <c r="J669" s="59" t="n"/>
      <c r="K669" s="59" t="n"/>
      <c r="L669" s="59" t="n"/>
      <c r="M669" s="59" t="n"/>
      <c r="N669" s="59" t="n"/>
      <c r="O669" s="59" t="n"/>
      <c r="P669" s="59" t="n"/>
      <c r="Q669" s="59" t="n"/>
      <c r="R669" s="59" t="n"/>
      <c r="S669" s="59" t="n"/>
      <c r="T669" s="59" t="n"/>
      <c r="U669" s="59" t="n"/>
      <c r="V669" s="59" t="n"/>
      <c r="W669" s="59" t="n"/>
      <c r="X669" s="59" t="n"/>
      <c r="Y669" s="59" t="n"/>
      <c r="Z669" s="59" t="n"/>
      <c r="AA669" s="59" t="n"/>
      <c r="AB669" s="59" t="n"/>
      <c r="AC669" s="59" t="n"/>
      <c r="AD669" s="59" t="n"/>
    </row>
    <row r="670">
      <c r="A670" s="59" t="n"/>
      <c r="B670" s="59" t="n"/>
      <c r="C670" s="59" t="n"/>
      <c r="D670" s="59" t="n"/>
      <c r="E670" s="59" t="n"/>
      <c r="F670" s="59" t="n"/>
      <c r="G670" s="60" t="n"/>
      <c r="H670" s="59" t="n"/>
      <c r="I670" s="59" t="n"/>
      <c r="J670" s="59" t="n"/>
      <c r="K670" s="59" t="n"/>
      <c r="L670" s="59" t="n"/>
      <c r="M670" s="59" t="n"/>
      <c r="N670" s="59" t="n"/>
      <c r="O670" s="59" t="n"/>
      <c r="P670" s="59" t="n"/>
      <c r="Q670" s="59" t="n"/>
      <c r="R670" s="59" t="n"/>
      <c r="S670" s="59" t="n"/>
      <c r="T670" s="59" t="n"/>
      <c r="U670" s="59" t="n"/>
      <c r="V670" s="59" t="n"/>
      <c r="W670" s="59" t="n"/>
      <c r="X670" s="59" t="n"/>
      <c r="Y670" s="59" t="n"/>
      <c r="Z670" s="59" t="n"/>
      <c r="AA670" s="59" t="n"/>
      <c r="AB670" s="59" t="n"/>
      <c r="AC670" s="59" t="n"/>
      <c r="AD670" s="59" t="n"/>
    </row>
    <row r="671">
      <c r="A671" s="59" t="n"/>
      <c r="B671" s="59" t="n"/>
      <c r="C671" s="59" t="n"/>
      <c r="D671" s="59" t="n"/>
      <c r="E671" s="59" t="n"/>
      <c r="F671" s="59" t="n"/>
      <c r="G671" s="60" t="n"/>
      <c r="H671" s="59" t="n"/>
      <c r="I671" s="59" t="n"/>
      <c r="J671" s="59" t="n"/>
      <c r="K671" s="59" t="n"/>
      <c r="L671" s="59" t="n"/>
      <c r="M671" s="59" t="n"/>
      <c r="N671" s="59" t="n"/>
      <c r="O671" s="59" t="n"/>
      <c r="P671" s="59" t="n"/>
      <c r="Q671" s="59" t="n"/>
      <c r="R671" s="59" t="n"/>
      <c r="S671" s="59" t="n"/>
      <c r="T671" s="59" t="n"/>
      <c r="U671" s="59" t="n"/>
      <c r="V671" s="59" t="n"/>
      <c r="W671" s="59" t="n"/>
      <c r="X671" s="59" t="n"/>
      <c r="Y671" s="59" t="n"/>
      <c r="Z671" s="59" t="n"/>
      <c r="AA671" s="59" t="n"/>
      <c r="AB671" s="59" t="n"/>
      <c r="AC671" s="59" t="n"/>
      <c r="AD671" s="59" t="n"/>
    </row>
    <row r="672">
      <c r="A672" s="59" t="n"/>
      <c r="B672" s="59" t="n"/>
      <c r="C672" s="59" t="n"/>
      <c r="D672" s="59" t="n"/>
      <c r="E672" s="59" t="n"/>
      <c r="F672" s="59" t="n"/>
      <c r="G672" s="60" t="n"/>
      <c r="H672" s="59" t="n"/>
      <c r="I672" s="59" t="n"/>
      <c r="J672" s="59" t="n"/>
      <c r="K672" s="59" t="n"/>
      <c r="L672" s="59" t="n"/>
      <c r="M672" s="59" t="n"/>
      <c r="N672" s="59" t="n"/>
      <c r="O672" s="59" t="n"/>
      <c r="P672" s="59" t="n"/>
      <c r="Q672" s="59" t="n"/>
      <c r="R672" s="59" t="n"/>
      <c r="S672" s="59" t="n"/>
      <c r="T672" s="59" t="n"/>
      <c r="U672" s="59" t="n"/>
      <c r="V672" s="59" t="n"/>
      <c r="W672" s="59" t="n"/>
      <c r="X672" s="59" t="n"/>
      <c r="Y672" s="59" t="n"/>
      <c r="Z672" s="59" t="n"/>
      <c r="AA672" s="59" t="n"/>
      <c r="AB672" s="59" t="n"/>
      <c r="AC672" s="59" t="n"/>
      <c r="AD672" s="59" t="n"/>
    </row>
    <row r="673">
      <c r="A673" s="59" t="n"/>
      <c r="B673" s="59" t="n"/>
      <c r="C673" s="59" t="n"/>
      <c r="D673" s="59" t="n"/>
      <c r="E673" s="59" t="n"/>
      <c r="F673" s="59" t="n"/>
      <c r="G673" s="60" t="n"/>
      <c r="H673" s="59" t="n"/>
      <c r="I673" s="59" t="n"/>
      <c r="J673" s="59" t="n"/>
      <c r="K673" s="59" t="n"/>
      <c r="L673" s="59" t="n"/>
      <c r="M673" s="59" t="n"/>
      <c r="N673" s="59" t="n"/>
      <c r="O673" s="59" t="n"/>
      <c r="P673" s="59" t="n"/>
      <c r="Q673" s="59" t="n"/>
      <c r="R673" s="59" t="n"/>
      <c r="S673" s="59" t="n"/>
      <c r="T673" s="59" t="n"/>
      <c r="U673" s="59" t="n"/>
      <c r="V673" s="59" t="n"/>
      <c r="W673" s="59" t="n"/>
      <c r="X673" s="59" t="n"/>
      <c r="Y673" s="59" t="n"/>
      <c r="Z673" s="59" t="n"/>
      <c r="AA673" s="59" t="n"/>
      <c r="AB673" s="59" t="n"/>
      <c r="AC673" s="59" t="n"/>
      <c r="AD673" s="59" t="n"/>
    </row>
    <row r="674">
      <c r="A674" s="59" t="n"/>
      <c r="B674" s="59" t="n"/>
      <c r="C674" s="59" t="n"/>
      <c r="D674" s="59" t="n"/>
      <c r="E674" s="59" t="n"/>
      <c r="F674" s="59" t="n"/>
      <c r="G674" s="60" t="n"/>
      <c r="H674" s="59" t="n"/>
      <c r="I674" s="59" t="n"/>
      <c r="J674" s="59" t="n"/>
      <c r="K674" s="59" t="n"/>
      <c r="L674" s="59" t="n"/>
      <c r="M674" s="59" t="n"/>
      <c r="N674" s="59" t="n"/>
      <c r="O674" s="59" t="n"/>
      <c r="P674" s="59" t="n"/>
      <c r="Q674" s="59" t="n"/>
      <c r="R674" s="59" t="n"/>
      <c r="S674" s="59" t="n"/>
      <c r="T674" s="59" t="n"/>
      <c r="U674" s="59" t="n"/>
      <c r="V674" s="59" t="n"/>
      <c r="W674" s="59" t="n"/>
      <c r="X674" s="59" t="n"/>
      <c r="Y674" s="59" t="n"/>
      <c r="Z674" s="59" t="n"/>
      <c r="AA674" s="59" t="n"/>
      <c r="AB674" s="59" t="n"/>
      <c r="AC674" s="59" t="n"/>
      <c r="AD674" s="59" t="n"/>
    </row>
    <row r="675">
      <c r="A675" s="59" t="n"/>
      <c r="B675" s="59" t="n"/>
      <c r="C675" s="59" t="n"/>
      <c r="D675" s="59" t="n"/>
      <c r="E675" s="59" t="n"/>
      <c r="F675" s="59" t="n"/>
      <c r="G675" s="60" t="n"/>
      <c r="H675" s="59" t="n"/>
      <c r="I675" s="59" t="n"/>
      <c r="J675" s="59" t="n"/>
      <c r="K675" s="59" t="n"/>
      <c r="L675" s="59" t="n"/>
      <c r="M675" s="59" t="n"/>
      <c r="N675" s="59" t="n"/>
      <c r="O675" s="59" t="n"/>
      <c r="P675" s="59" t="n"/>
      <c r="Q675" s="59" t="n"/>
      <c r="R675" s="59" t="n"/>
      <c r="S675" s="59" t="n"/>
      <c r="T675" s="59" t="n"/>
      <c r="U675" s="59" t="n"/>
      <c r="V675" s="59" t="n"/>
      <c r="W675" s="59" t="n"/>
      <c r="X675" s="59" t="n"/>
      <c r="Y675" s="59" t="n"/>
      <c r="Z675" s="59" t="n"/>
      <c r="AA675" s="59" t="n"/>
      <c r="AB675" s="59" t="n"/>
      <c r="AC675" s="59" t="n"/>
      <c r="AD675" s="59" t="n"/>
    </row>
    <row r="676">
      <c r="A676" s="59" t="n"/>
      <c r="B676" s="59" t="n"/>
      <c r="C676" s="59" t="n"/>
      <c r="D676" s="59" t="n"/>
      <c r="E676" s="59" t="n"/>
      <c r="F676" s="59" t="n"/>
      <c r="G676" s="60" t="n"/>
      <c r="H676" s="59" t="n"/>
      <c r="I676" s="59" t="n"/>
      <c r="J676" s="59" t="n"/>
      <c r="K676" s="59" t="n"/>
      <c r="L676" s="59" t="n"/>
      <c r="M676" s="59" t="n"/>
      <c r="N676" s="59" t="n"/>
      <c r="O676" s="59" t="n"/>
      <c r="P676" s="59" t="n"/>
      <c r="Q676" s="59" t="n"/>
      <c r="R676" s="59" t="n"/>
      <c r="S676" s="59" t="n"/>
      <c r="T676" s="59" t="n"/>
      <c r="U676" s="59" t="n"/>
      <c r="V676" s="59" t="n"/>
      <c r="W676" s="59" t="n"/>
      <c r="X676" s="59" t="n"/>
      <c r="Y676" s="59" t="n"/>
      <c r="Z676" s="59" t="n"/>
      <c r="AA676" s="59" t="n"/>
      <c r="AB676" s="59" t="n"/>
      <c r="AC676" s="59" t="n"/>
      <c r="AD676" s="59" t="n"/>
    </row>
    <row r="677">
      <c r="A677" s="59" t="n"/>
      <c r="B677" s="59" t="n"/>
      <c r="C677" s="59" t="n"/>
      <c r="D677" s="59" t="n"/>
      <c r="E677" s="59" t="n"/>
      <c r="F677" s="59" t="n"/>
      <c r="G677" s="60" t="n"/>
      <c r="H677" s="59" t="n"/>
      <c r="I677" s="59" t="n"/>
      <c r="J677" s="59" t="n"/>
      <c r="K677" s="59" t="n"/>
      <c r="L677" s="59" t="n"/>
      <c r="M677" s="59" t="n"/>
      <c r="N677" s="59" t="n"/>
      <c r="O677" s="59" t="n"/>
      <c r="P677" s="59" t="n"/>
      <c r="Q677" s="59" t="n"/>
      <c r="R677" s="59" t="n"/>
      <c r="S677" s="59" t="n"/>
      <c r="T677" s="59" t="n"/>
      <c r="U677" s="59" t="n"/>
      <c r="V677" s="59" t="n"/>
      <c r="W677" s="59" t="n"/>
      <c r="X677" s="59" t="n"/>
      <c r="Y677" s="59" t="n"/>
      <c r="Z677" s="59" t="n"/>
      <c r="AA677" s="59" t="n"/>
      <c r="AB677" s="59" t="n"/>
      <c r="AC677" s="59" t="n"/>
      <c r="AD677" s="59" t="n"/>
    </row>
    <row r="678">
      <c r="A678" s="59" t="n"/>
      <c r="B678" s="59" t="n"/>
      <c r="C678" s="59" t="n"/>
      <c r="D678" s="59" t="n"/>
      <c r="E678" s="59" t="n"/>
      <c r="F678" s="59" t="n"/>
      <c r="G678" s="60" t="n"/>
      <c r="H678" s="59" t="n"/>
      <c r="I678" s="59" t="n"/>
      <c r="J678" s="59" t="n"/>
      <c r="K678" s="59" t="n"/>
      <c r="L678" s="59" t="n"/>
      <c r="M678" s="59" t="n"/>
      <c r="N678" s="59" t="n"/>
      <c r="O678" s="59" t="n"/>
      <c r="P678" s="59" t="n"/>
      <c r="Q678" s="59" t="n"/>
      <c r="R678" s="59" t="n"/>
      <c r="S678" s="59" t="n"/>
      <c r="T678" s="59" t="n"/>
      <c r="U678" s="59" t="n"/>
      <c r="V678" s="59" t="n"/>
      <c r="W678" s="59" t="n"/>
      <c r="X678" s="59" t="n"/>
      <c r="Y678" s="59" t="n"/>
      <c r="Z678" s="59" t="n"/>
      <c r="AA678" s="59" t="n"/>
      <c r="AB678" s="59" t="n"/>
      <c r="AC678" s="59" t="n"/>
      <c r="AD678" s="59" t="n"/>
    </row>
    <row r="679">
      <c r="A679" s="59" t="n"/>
      <c r="B679" s="59" t="n"/>
      <c r="C679" s="59" t="n"/>
      <c r="D679" s="59" t="n"/>
      <c r="E679" s="59" t="n"/>
      <c r="F679" s="59" t="n"/>
      <c r="G679" s="60" t="n"/>
      <c r="H679" s="59" t="n"/>
      <c r="I679" s="59" t="n"/>
      <c r="J679" s="59" t="n"/>
      <c r="K679" s="59" t="n"/>
      <c r="L679" s="59" t="n"/>
      <c r="M679" s="59" t="n"/>
      <c r="N679" s="59" t="n"/>
      <c r="O679" s="59" t="n"/>
      <c r="P679" s="59" t="n"/>
      <c r="Q679" s="59" t="n"/>
      <c r="R679" s="59" t="n"/>
      <c r="S679" s="59" t="n"/>
      <c r="T679" s="59" t="n"/>
      <c r="U679" s="59" t="n"/>
      <c r="V679" s="59" t="n"/>
      <c r="W679" s="59" t="n"/>
      <c r="X679" s="59" t="n"/>
      <c r="Y679" s="59" t="n"/>
      <c r="Z679" s="59" t="n"/>
      <c r="AA679" s="59" t="n"/>
      <c r="AB679" s="59" t="n"/>
      <c r="AC679" s="59" t="n"/>
      <c r="AD679" s="59" t="n"/>
    </row>
    <row r="680">
      <c r="A680" s="59" t="n"/>
      <c r="B680" s="59" t="n"/>
      <c r="C680" s="59" t="n"/>
      <c r="D680" s="59" t="n"/>
      <c r="E680" s="59" t="n"/>
      <c r="F680" s="59" t="n"/>
      <c r="G680" s="60" t="n"/>
      <c r="H680" s="59" t="n"/>
      <c r="I680" s="59" t="n"/>
      <c r="J680" s="59" t="n"/>
      <c r="K680" s="59" t="n"/>
      <c r="L680" s="59" t="n"/>
      <c r="M680" s="59" t="n"/>
      <c r="N680" s="59" t="n"/>
      <c r="O680" s="59" t="n"/>
      <c r="P680" s="59" t="n"/>
      <c r="Q680" s="59" t="n"/>
      <c r="R680" s="59" t="n"/>
      <c r="S680" s="59" t="n"/>
      <c r="T680" s="59" t="n"/>
      <c r="U680" s="59" t="n"/>
      <c r="V680" s="59" t="n"/>
      <c r="W680" s="59" t="n"/>
      <c r="X680" s="59" t="n"/>
      <c r="Y680" s="59" t="n"/>
      <c r="Z680" s="59" t="n"/>
      <c r="AA680" s="59" t="n"/>
      <c r="AB680" s="59" t="n"/>
      <c r="AC680" s="59" t="n"/>
      <c r="AD680" s="59" t="n"/>
    </row>
    <row r="681">
      <c r="A681" s="59" t="n"/>
      <c r="B681" s="59" t="n"/>
      <c r="C681" s="59" t="n"/>
      <c r="D681" s="59" t="n"/>
      <c r="E681" s="59" t="n"/>
      <c r="F681" s="59" t="n"/>
      <c r="G681" s="60" t="n"/>
      <c r="H681" s="59" t="n"/>
      <c r="I681" s="59" t="n"/>
      <c r="J681" s="59" t="n"/>
      <c r="K681" s="59" t="n"/>
      <c r="L681" s="59" t="n"/>
      <c r="M681" s="59" t="n"/>
      <c r="N681" s="59" t="n"/>
      <c r="O681" s="59" t="n"/>
      <c r="P681" s="59" t="n"/>
      <c r="Q681" s="59" t="n"/>
      <c r="R681" s="59" t="n"/>
      <c r="S681" s="59" t="n"/>
      <c r="T681" s="59" t="n"/>
      <c r="U681" s="59" t="n"/>
      <c r="V681" s="59" t="n"/>
      <c r="W681" s="59" t="n"/>
      <c r="X681" s="59" t="n"/>
      <c r="Y681" s="59" t="n"/>
      <c r="Z681" s="59" t="n"/>
      <c r="AA681" s="59" t="n"/>
      <c r="AB681" s="59" t="n"/>
      <c r="AC681" s="59" t="n"/>
      <c r="AD681" s="59" t="n"/>
    </row>
    <row r="682">
      <c r="A682" s="59" t="n"/>
      <c r="B682" s="59" t="n"/>
      <c r="C682" s="59" t="n"/>
      <c r="D682" s="59" t="n"/>
      <c r="E682" s="59" t="n"/>
      <c r="F682" s="59" t="n"/>
      <c r="G682" s="60" t="n"/>
      <c r="H682" s="59" t="n"/>
      <c r="I682" s="59" t="n"/>
      <c r="J682" s="59" t="n"/>
      <c r="K682" s="59" t="n"/>
      <c r="L682" s="59" t="n"/>
      <c r="M682" s="59" t="n"/>
      <c r="N682" s="59" t="n"/>
      <c r="O682" s="59" t="n"/>
      <c r="P682" s="59" t="n"/>
      <c r="Q682" s="59" t="n"/>
      <c r="R682" s="59" t="n"/>
      <c r="S682" s="59" t="n"/>
      <c r="T682" s="59" t="n"/>
      <c r="U682" s="59" t="n"/>
      <c r="V682" s="59" t="n"/>
      <c r="W682" s="59" t="n"/>
      <c r="X682" s="59" t="n"/>
      <c r="Y682" s="59" t="n"/>
      <c r="Z682" s="59" t="n"/>
      <c r="AA682" s="59" t="n"/>
      <c r="AB682" s="59" t="n"/>
      <c r="AC682" s="59" t="n"/>
      <c r="AD682" s="59" t="n"/>
    </row>
    <row r="683">
      <c r="A683" s="59" t="n"/>
      <c r="B683" s="59" t="n"/>
      <c r="C683" s="59" t="n"/>
      <c r="D683" s="59" t="n"/>
      <c r="E683" s="59" t="n"/>
      <c r="F683" s="59" t="n"/>
      <c r="G683" s="60" t="n"/>
      <c r="H683" s="59" t="n"/>
      <c r="I683" s="59" t="n"/>
      <c r="J683" s="59" t="n"/>
      <c r="K683" s="59" t="n"/>
      <c r="L683" s="59" t="n"/>
      <c r="M683" s="59" t="n"/>
      <c r="N683" s="59" t="n"/>
      <c r="O683" s="59" t="n"/>
      <c r="P683" s="59" t="n"/>
      <c r="Q683" s="59" t="n"/>
      <c r="R683" s="59" t="n"/>
      <c r="S683" s="59" t="n"/>
      <c r="T683" s="59" t="n"/>
      <c r="U683" s="59" t="n"/>
      <c r="V683" s="59" t="n"/>
      <c r="W683" s="59" t="n"/>
      <c r="X683" s="59" t="n"/>
      <c r="Y683" s="59" t="n"/>
      <c r="Z683" s="59" t="n"/>
      <c r="AA683" s="59" t="n"/>
      <c r="AB683" s="59" t="n"/>
      <c r="AC683" s="59" t="n"/>
      <c r="AD683" s="59" t="n"/>
    </row>
    <row r="684">
      <c r="A684" s="59" t="n"/>
      <c r="B684" s="59" t="n"/>
      <c r="C684" s="59" t="n"/>
      <c r="D684" s="59" t="n"/>
      <c r="E684" s="59" t="n"/>
      <c r="F684" s="59" t="n"/>
      <c r="G684" s="60" t="n"/>
      <c r="H684" s="59" t="n"/>
      <c r="I684" s="59" t="n"/>
      <c r="J684" s="59" t="n"/>
      <c r="K684" s="59" t="n"/>
      <c r="L684" s="59" t="n"/>
      <c r="M684" s="59" t="n"/>
      <c r="N684" s="59" t="n"/>
      <c r="O684" s="59" t="n"/>
      <c r="P684" s="59" t="n"/>
      <c r="Q684" s="59" t="n"/>
      <c r="R684" s="59" t="n"/>
      <c r="S684" s="59" t="n"/>
      <c r="T684" s="59" t="n"/>
      <c r="U684" s="59" t="n"/>
      <c r="V684" s="59" t="n"/>
      <c r="W684" s="59" t="n"/>
      <c r="X684" s="59" t="n"/>
      <c r="Y684" s="59" t="n"/>
      <c r="Z684" s="59" t="n"/>
      <c r="AA684" s="59" t="n"/>
      <c r="AB684" s="59" t="n"/>
      <c r="AC684" s="59" t="n"/>
      <c r="AD684" s="59" t="n"/>
    </row>
    <row r="685">
      <c r="A685" s="59" t="n"/>
      <c r="B685" s="59" t="n"/>
      <c r="C685" s="59" t="n"/>
      <c r="D685" s="59" t="n"/>
      <c r="E685" s="59" t="n"/>
      <c r="F685" s="59" t="n"/>
      <c r="G685" s="60" t="n"/>
      <c r="H685" s="59" t="n"/>
      <c r="I685" s="59" t="n"/>
      <c r="J685" s="59" t="n"/>
      <c r="K685" s="59" t="n"/>
      <c r="L685" s="59" t="n"/>
      <c r="M685" s="59" t="n"/>
      <c r="N685" s="59" t="n"/>
      <c r="O685" s="59" t="n"/>
      <c r="P685" s="59" t="n"/>
      <c r="Q685" s="59" t="n"/>
      <c r="R685" s="59" t="n"/>
      <c r="S685" s="59" t="n"/>
      <c r="T685" s="59" t="n"/>
      <c r="U685" s="59" t="n"/>
      <c r="V685" s="59" t="n"/>
      <c r="W685" s="59" t="n"/>
      <c r="X685" s="59" t="n"/>
      <c r="Y685" s="59" t="n"/>
      <c r="Z685" s="59" t="n"/>
      <c r="AA685" s="59" t="n"/>
      <c r="AB685" s="59" t="n"/>
      <c r="AC685" s="59" t="n"/>
      <c r="AD685" s="59" t="n"/>
    </row>
    <row r="686">
      <c r="A686" s="59" t="n"/>
      <c r="B686" s="59" t="n"/>
      <c r="C686" s="59" t="n"/>
      <c r="D686" s="59" t="n"/>
      <c r="E686" s="59" t="n"/>
      <c r="F686" s="59" t="n"/>
      <c r="G686" s="60" t="n"/>
      <c r="H686" s="59" t="n"/>
      <c r="I686" s="59" t="n"/>
      <c r="J686" s="59" t="n"/>
      <c r="K686" s="59" t="n"/>
      <c r="L686" s="59" t="n"/>
      <c r="M686" s="59" t="n"/>
      <c r="N686" s="59" t="n"/>
      <c r="O686" s="59" t="n"/>
      <c r="P686" s="59" t="n"/>
      <c r="Q686" s="59" t="n"/>
      <c r="R686" s="59" t="n"/>
      <c r="S686" s="59" t="n"/>
      <c r="T686" s="59" t="n"/>
      <c r="U686" s="59" t="n"/>
      <c r="V686" s="59" t="n"/>
      <c r="W686" s="59" t="n"/>
      <c r="X686" s="59" t="n"/>
      <c r="Y686" s="59" t="n"/>
      <c r="Z686" s="59" t="n"/>
      <c r="AA686" s="59" t="n"/>
      <c r="AB686" s="59" t="n"/>
      <c r="AC686" s="59" t="n"/>
      <c r="AD686" s="59" t="n"/>
    </row>
    <row r="687">
      <c r="A687" s="59" t="n"/>
      <c r="B687" s="59" t="n"/>
      <c r="C687" s="59" t="n"/>
      <c r="D687" s="59" t="n"/>
      <c r="E687" s="59" t="n"/>
      <c r="F687" s="59" t="n"/>
      <c r="G687" s="60" t="n"/>
      <c r="H687" s="59" t="n"/>
      <c r="I687" s="59" t="n"/>
      <c r="J687" s="59" t="n"/>
      <c r="K687" s="59" t="n"/>
      <c r="L687" s="59" t="n"/>
      <c r="M687" s="59" t="n"/>
      <c r="N687" s="59" t="n"/>
      <c r="O687" s="59" t="n"/>
      <c r="P687" s="59" t="n"/>
      <c r="Q687" s="59" t="n"/>
      <c r="R687" s="59" t="n"/>
      <c r="S687" s="59" t="n"/>
      <c r="T687" s="59" t="n"/>
      <c r="U687" s="59" t="n"/>
      <c r="V687" s="59" t="n"/>
      <c r="W687" s="59" t="n"/>
      <c r="X687" s="59" t="n"/>
      <c r="Y687" s="59" t="n"/>
      <c r="Z687" s="59" t="n"/>
      <c r="AA687" s="59" t="n"/>
      <c r="AB687" s="59" t="n"/>
      <c r="AC687" s="59" t="n"/>
      <c r="AD687" s="59" t="n"/>
    </row>
    <row r="688">
      <c r="A688" s="59" t="n"/>
      <c r="B688" s="59" t="n"/>
      <c r="C688" s="59" t="n"/>
      <c r="D688" s="59" t="n"/>
      <c r="E688" s="59" t="n"/>
      <c r="F688" s="59" t="n"/>
      <c r="G688" s="60" t="n"/>
      <c r="H688" s="59" t="n"/>
      <c r="I688" s="59" t="n"/>
      <c r="J688" s="59" t="n"/>
      <c r="K688" s="59" t="n"/>
      <c r="L688" s="59" t="n"/>
      <c r="M688" s="59" t="n"/>
      <c r="N688" s="59" t="n"/>
      <c r="O688" s="59" t="n"/>
      <c r="P688" s="59" t="n"/>
      <c r="Q688" s="59" t="n"/>
      <c r="R688" s="59" t="n"/>
      <c r="S688" s="59" t="n"/>
      <c r="T688" s="59" t="n"/>
      <c r="U688" s="59" t="n"/>
      <c r="V688" s="59" t="n"/>
      <c r="W688" s="59" t="n"/>
      <c r="X688" s="59" t="n"/>
      <c r="Y688" s="59" t="n"/>
      <c r="Z688" s="59" t="n"/>
      <c r="AA688" s="59" t="n"/>
      <c r="AB688" s="59" t="n"/>
      <c r="AC688" s="59" t="n"/>
      <c r="AD688" s="59" t="n"/>
    </row>
    <row r="689">
      <c r="A689" s="59" t="n"/>
      <c r="B689" s="59" t="n"/>
      <c r="C689" s="59" t="n"/>
      <c r="D689" s="59" t="n"/>
      <c r="E689" s="59" t="n"/>
      <c r="F689" s="59" t="n"/>
      <c r="G689" s="60" t="n"/>
      <c r="H689" s="59" t="n"/>
      <c r="I689" s="59" t="n"/>
      <c r="J689" s="59" t="n"/>
      <c r="K689" s="59" t="n"/>
      <c r="L689" s="59" t="n"/>
      <c r="M689" s="59" t="n"/>
      <c r="N689" s="59" t="n"/>
      <c r="O689" s="59" t="n"/>
      <c r="P689" s="59" t="n"/>
      <c r="Q689" s="59" t="n"/>
      <c r="R689" s="59" t="n"/>
      <c r="S689" s="59" t="n"/>
      <c r="T689" s="59" t="n"/>
      <c r="U689" s="59" t="n"/>
      <c r="V689" s="59" t="n"/>
      <c r="W689" s="59" t="n"/>
      <c r="X689" s="59" t="n"/>
      <c r="Y689" s="59" t="n"/>
      <c r="Z689" s="59" t="n"/>
      <c r="AA689" s="59" t="n"/>
      <c r="AB689" s="59" t="n"/>
      <c r="AC689" s="59" t="n"/>
      <c r="AD689" s="59" t="n"/>
    </row>
    <row r="690">
      <c r="A690" s="59" t="n"/>
      <c r="B690" s="59" t="n"/>
      <c r="C690" s="59" t="n"/>
      <c r="D690" s="59" t="n"/>
      <c r="E690" s="59" t="n"/>
      <c r="F690" s="59" t="n"/>
      <c r="G690" s="60" t="n"/>
      <c r="H690" s="59" t="n"/>
      <c r="I690" s="59" t="n"/>
      <c r="J690" s="59" t="n"/>
      <c r="K690" s="59" t="n"/>
      <c r="L690" s="59" t="n"/>
      <c r="M690" s="59" t="n"/>
      <c r="N690" s="59" t="n"/>
      <c r="O690" s="59" t="n"/>
      <c r="P690" s="59" t="n"/>
      <c r="Q690" s="59" t="n"/>
      <c r="R690" s="59" t="n"/>
      <c r="S690" s="59" t="n"/>
      <c r="T690" s="59" t="n"/>
      <c r="U690" s="59" t="n"/>
      <c r="V690" s="59" t="n"/>
      <c r="W690" s="59" t="n"/>
      <c r="X690" s="59" t="n"/>
      <c r="Y690" s="59" t="n"/>
      <c r="Z690" s="59" t="n"/>
      <c r="AA690" s="59" t="n"/>
      <c r="AB690" s="59" t="n"/>
      <c r="AC690" s="59" t="n"/>
      <c r="AD690" s="59" t="n"/>
    </row>
    <row r="691">
      <c r="A691" s="59" t="n"/>
      <c r="B691" s="59" t="n"/>
      <c r="C691" s="59" t="n"/>
      <c r="D691" s="59" t="n"/>
      <c r="E691" s="59" t="n"/>
      <c r="F691" s="59" t="n"/>
      <c r="G691" s="60" t="n"/>
      <c r="H691" s="59" t="n"/>
      <c r="I691" s="59" t="n"/>
      <c r="J691" s="59" t="n"/>
      <c r="K691" s="59" t="n"/>
      <c r="L691" s="59" t="n"/>
      <c r="M691" s="59" t="n"/>
      <c r="N691" s="59" t="n"/>
      <c r="O691" s="59" t="n"/>
      <c r="P691" s="59" t="n"/>
      <c r="Q691" s="59" t="n"/>
      <c r="R691" s="59" t="n"/>
      <c r="S691" s="59" t="n"/>
      <c r="T691" s="59" t="n"/>
      <c r="U691" s="59" t="n"/>
      <c r="V691" s="59" t="n"/>
      <c r="W691" s="59" t="n"/>
      <c r="X691" s="59" t="n"/>
      <c r="Y691" s="59" t="n"/>
      <c r="Z691" s="59" t="n"/>
      <c r="AA691" s="59" t="n"/>
      <c r="AB691" s="59" t="n"/>
      <c r="AC691" s="59" t="n"/>
      <c r="AD691" s="59" t="n"/>
    </row>
    <row r="692">
      <c r="A692" s="59" t="n"/>
      <c r="B692" s="59" t="n"/>
      <c r="C692" s="59" t="n"/>
      <c r="D692" s="59" t="n"/>
      <c r="E692" s="59" t="n"/>
      <c r="F692" s="59" t="n"/>
      <c r="G692" s="60" t="n"/>
      <c r="H692" s="59" t="n"/>
      <c r="I692" s="59" t="n"/>
      <c r="J692" s="59" t="n"/>
      <c r="K692" s="59" t="n"/>
      <c r="L692" s="59" t="n"/>
      <c r="M692" s="59" t="n"/>
      <c r="N692" s="59" t="n"/>
      <c r="O692" s="59" t="n"/>
      <c r="P692" s="59" t="n"/>
      <c r="Q692" s="59" t="n"/>
      <c r="R692" s="59" t="n"/>
      <c r="S692" s="59" t="n"/>
      <c r="T692" s="59" t="n"/>
      <c r="U692" s="59" t="n"/>
      <c r="V692" s="59" t="n"/>
      <c r="W692" s="59" t="n"/>
      <c r="X692" s="59" t="n"/>
      <c r="Y692" s="59" t="n"/>
      <c r="Z692" s="59" t="n"/>
      <c r="AA692" s="59" t="n"/>
      <c r="AB692" s="59" t="n"/>
      <c r="AC692" s="59" t="n"/>
      <c r="AD692" s="59" t="n"/>
    </row>
    <row r="693">
      <c r="A693" s="59" t="n"/>
      <c r="B693" s="59" t="n"/>
      <c r="C693" s="59" t="n"/>
      <c r="D693" s="59" t="n"/>
      <c r="E693" s="59" t="n"/>
      <c r="F693" s="59" t="n"/>
      <c r="G693" s="60" t="n"/>
      <c r="H693" s="59" t="n"/>
      <c r="I693" s="59" t="n"/>
      <c r="J693" s="59" t="n"/>
      <c r="K693" s="59" t="n"/>
      <c r="L693" s="59" t="n"/>
      <c r="M693" s="59" t="n"/>
      <c r="N693" s="59" t="n"/>
      <c r="O693" s="59" t="n"/>
      <c r="P693" s="59" t="n"/>
      <c r="Q693" s="59" t="n"/>
      <c r="R693" s="59" t="n"/>
      <c r="S693" s="59" t="n"/>
      <c r="T693" s="59" t="n"/>
      <c r="U693" s="59" t="n"/>
      <c r="V693" s="59" t="n"/>
      <c r="W693" s="59" t="n"/>
      <c r="X693" s="59" t="n"/>
      <c r="Y693" s="59" t="n"/>
      <c r="Z693" s="59" t="n"/>
      <c r="AA693" s="59" t="n"/>
      <c r="AB693" s="59" t="n"/>
      <c r="AC693" s="59" t="n"/>
      <c r="AD693" s="59" t="n"/>
    </row>
    <row r="694">
      <c r="A694" s="59" t="n"/>
      <c r="B694" s="59" t="n"/>
      <c r="C694" s="59" t="n"/>
      <c r="D694" s="59" t="n"/>
      <c r="E694" s="59" t="n"/>
      <c r="F694" s="59" t="n"/>
      <c r="G694" s="60" t="n"/>
      <c r="H694" s="59" t="n"/>
      <c r="I694" s="59" t="n"/>
      <c r="J694" s="59" t="n"/>
      <c r="K694" s="59" t="n"/>
      <c r="L694" s="59" t="n"/>
      <c r="M694" s="59" t="n"/>
      <c r="N694" s="59" t="n"/>
      <c r="O694" s="59" t="n"/>
      <c r="P694" s="59" t="n"/>
      <c r="Q694" s="59" t="n"/>
      <c r="R694" s="59" t="n"/>
      <c r="S694" s="59" t="n"/>
      <c r="T694" s="59" t="n"/>
      <c r="U694" s="59" t="n"/>
      <c r="V694" s="59" t="n"/>
      <c r="W694" s="59" t="n"/>
      <c r="X694" s="59" t="n"/>
      <c r="Y694" s="59" t="n"/>
      <c r="Z694" s="59" t="n"/>
      <c r="AA694" s="59" t="n"/>
      <c r="AB694" s="59" t="n"/>
      <c r="AC694" s="59" t="n"/>
      <c r="AD694" s="59" t="n"/>
    </row>
    <row r="695">
      <c r="A695" s="59" t="n"/>
      <c r="B695" s="59" t="n"/>
      <c r="C695" s="59" t="n"/>
      <c r="D695" s="59" t="n"/>
      <c r="E695" s="59" t="n"/>
      <c r="F695" s="59" t="n"/>
      <c r="G695" s="60" t="n"/>
      <c r="H695" s="59" t="n"/>
      <c r="I695" s="59" t="n"/>
      <c r="J695" s="59" t="n"/>
      <c r="K695" s="59" t="n"/>
      <c r="L695" s="59" t="n"/>
      <c r="M695" s="59" t="n"/>
      <c r="N695" s="59" t="n"/>
      <c r="O695" s="59" t="n"/>
      <c r="P695" s="59" t="n"/>
      <c r="Q695" s="59" t="n"/>
      <c r="R695" s="59" t="n"/>
      <c r="S695" s="59" t="n"/>
      <c r="T695" s="59" t="n"/>
      <c r="U695" s="59" t="n"/>
      <c r="V695" s="59" t="n"/>
      <c r="W695" s="59" t="n"/>
      <c r="X695" s="59" t="n"/>
      <c r="Y695" s="59" t="n"/>
      <c r="Z695" s="59" t="n"/>
      <c r="AA695" s="59" t="n"/>
      <c r="AB695" s="59" t="n"/>
      <c r="AC695" s="59" t="n"/>
      <c r="AD695" s="59" t="n"/>
    </row>
    <row r="696">
      <c r="A696" s="59" t="n"/>
      <c r="B696" s="59" t="n"/>
      <c r="C696" s="59" t="n"/>
      <c r="D696" s="59" t="n"/>
      <c r="E696" s="59" t="n"/>
      <c r="F696" s="59" t="n"/>
      <c r="G696" s="60" t="n"/>
      <c r="H696" s="59" t="n"/>
      <c r="I696" s="59" t="n"/>
      <c r="J696" s="59" t="n"/>
      <c r="K696" s="59" t="n"/>
      <c r="L696" s="59" t="n"/>
      <c r="M696" s="59" t="n"/>
      <c r="N696" s="59" t="n"/>
      <c r="O696" s="59" t="n"/>
      <c r="P696" s="59" t="n"/>
      <c r="Q696" s="59" t="n"/>
      <c r="R696" s="59" t="n"/>
      <c r="S696" s="59" t="n"/>
      <c r="T696" s="59" t="n"/>
      <c r="U696" s="59" t="n"/>
      <c r="V696" s="59" t="n"/>
      <c r="W696" s="59" t="n"/>
      <c r="X696" s="59" t="n"/>
      <c r="Y696" s="59" t="n"/>
      <c r="Z696" s="59" t="n"/>
      <c r="AA696" s="59" t="n"/>
      <c r="AB696" s="59" t="n"/>
      <c r="AC696" s="59" t="n"/>
      <c r="AD696" s="59" t="n"/>
    </row>
    <row r="697">
      <c r="A697" s="59" t="n"/>
      <c r="B697" s="59" t="n"/>
      <c r="C697" s="59" t="n"/>
      <c r="D697" s="59" t="n"/>
      <c r="E697" s="59" t="n"/>
      <c r="F697" s="59" t="n"/>
      <c r="G697" s="60" t="n"/>
      <c r="H697" s="59" t="n"/>
      <c r="I697" s="59" t="n"/>
      <c r="J697" s="59" t="n"/>
      <c r="K697" s="59" t="n"/>
      <c r="L697" s="59" t="n"/>
      <c r="M697" s="59" t="n"/>
      <c r="N697" s="59" t="n"/>
      <c r="O697" s="59" t="n"/>
      <c r="P697" s="59" t="n"/>
      <c r="Q697" s="59" t="n"/>
      <c r="R697" s="59" t="n"/>
      <c r="S697" s="59" t="n"/>
      <c r="T697" s="59" t="n"/>
      <c r="U697" s="59" t="n"/>
      <c r="V697" s="59" t="n"/>
      <c r="W697" s="59" t="n"/>
      <c r="X697" s="59" t="n"/>
      <c r="Y697" s="59" t="n"/>
      <c r="Z697" s="59" t="n"/>
      <c r="AA697" s="59" t="n"/>
      <c r="AB697" s="59" t="n"/>
      <c r="AC697" s="59" t="n"/>
      <c r="AD697" s="59" t="n"/>
    </row>
    <row r="698">
      <c r="A698" s="59" t="n"/>
      <c r="B698" s="59" t="n"/>
      <c r="C698" s="59" t="n"/>
      <c r="D698" s="59" t="n"/>
      <c r="E698" s="59" t="n"/>
      <c r="F698" s="59" t="n"/>
      <c r="G698" s="60" t="n"/>
      <c r="H698" s="59" t="n"/>
      <c r="I698" s="59" t="n"/>
      <c r="J698" s="59" t="n"/>
      <c r="K698" s="59" t="n"/>
      <c r="L698" s="59" t="n"/>
      <c r="M698" s="59" t="n"/>
      <c r="N698" s="59" t="n"/>
      <c r="O698" s="59" t="n"/>
      <c r="P698" s="59" t="n"/>
      <c r="Q698" s="59" t="n"/>
      <c r="R698" s="59" t="n"/>
      <c r="S698" s="59" t="n"/>
      <c r="T698" s="59" t="n"/>
      <c r="U698" s="59" t="n"/>
      <c r="V698" s="59" t="n"/>
      <c r="W698" s="59" t="n"/>
      <c r="X698" s="59" t="n"/>
      <c r="Y698" s="59" t="n"/>
      <c r="Z698" s="59" t="n"/>
      <c r="AA698" s="59" t="n"/>
      <c r="AB698" s="59" t="n"/>
      <c r="AC698" s="59" t="n"/>
      <c r="AD698" s="59" t="n"/>
    </row>
    <row r="699">
      <c r="A699" s="59" t="n"/>
      <c r="B699" s="59" t="n"/>
      <c r="C699" s="59" t="n"/>
      <c r="D699" s="59" t="n"/>
      <c r="E699" s="59" t="n"/>
      <c r="F699" s="59" t="n"/>
      <c r="G699" s="60" t="n"/>
      <c r="H699" s="59" t="n"/>
      <c r="I699" s="59" t="n"/>
      <c r="J699" s="59" t="n"/>
      <c r="K699" s="59" t="n"/>
      <c r="L699" s="59" t="n"/>
      <c r="M699" s="59" t="n"/>
      <c r="N699" s="59" t="n"/>
      <c r="O699" s="59" t="n"/>
      <c r="P699" s="59" t="n"/>
      <c r="Q699" s="59" t="n"/>
      <c r="R699" s="59" t="n"/>
      <c r="S699" s="59" t="n"/>
      <c r="T699" s="59" t="n"/>
      <c r="U699" s="59" t="n"/>
      <c r="V699" s="59" t="n"/>
      <c r="W699" s="59" t="n"/>
      <c r="X699" s="59" t="n"/>
      <c r="Y699" s="59" t="n"/>
      <c r="Z699" s="59" t="n"/>
      <c r="AA699" s="59" t="n"/>
      <c r="AB699" s="59" t="n"/>
      <c r="AC699" s="59" t="n"/>
      <c r="AD699" s="59" t="n"/>
    </row>
    <row r="700">
      <c r="A700" s="59" t="n"/>
      <c r="B700" s="59" t="n"/>
      <c r="C700" s="59" t="n"/>
      <c r="D700" s="59" t="n"/>
      <c r="E700" s="59" t="n"/>
      <c r="F700" s="59" t="n"/>
      <c r="G700" s="60" t="n"/>
      <c r="H700" s="59" t="n"/>
      <c r="I700" s="59" t="n"/>
      <c r="J700" s="59" t="n"/>
      <c r="K700" s="59" t="n"/>
      <c r="L700" s="59" t="n"/>
      <c r="M700" s="59" t="n"/>
      <c r="N700" s="59" t="n"/>
      <c r="O700" s="59" t="n"/>
      <c r="P700" s="59" t="n"/>
      <c r="Q700" s="59" t="n"/>
      <c r="R700" s="59" t="n"/>
      <c r="S700" s="59" t="n"/>
      <c r="T700" s="59" t="n"/>
      <c r="U700" s="59" t="n"/>
      <c r="V700" s="59" t="n"/>
      <c r="W700" s="59" t="n"/>
      <c r="X700" s="59" t="n"/>
      <c r="Y700" s="59" t="n"/>
      <c r="Z700" s="59" t="n"/>
      <c r="AA700" s="59" t="n"/>
      <c r="AB700" s="59" t="n"/>
      <c r="AC700" s="59" t="n"/>
      <c r="AD700" s="59" t="n"/>
    </row>
    <row r="701">
      <c r="A701" s="59" t="n"/>
      <c r="B701" s="59" t="n"/>
      <c r="C701" s="59" t="n"/>
      <c r="D701" s="59" t="n"/>
      <c r="E701" s="59" t="n"/>
      <c r="F701" s="59" t="n"/>
      <c r="G701" s="60" t="n"/>
      <c r="H701" s="59" t="n"/>
      <c r="I701" s="59" t="n"/>
      <c r="J701" s="59" t="n"/>
      <c r="K701" s="59" t="n"/>
      <c r="L701" s="59" t="n"/>
      <c r="M701" s="59" t="n"/>
      <c r="N701" s="59" t="n"/>
      <c r="O701" s="59" t="n"/>
      <c r="P701" s="59" t="n"/>
      <c r="Q701" s="59" t="n"/>
      <c r="R701" s="59" t="n"/>
      <c r="S701" s="59" t="n"/>
      <c r="T701" s="59" t="n"/>
      <c r="U701" s="59" t="n"/>
      <c r="V701" s="59" t="n"/>
      <c r="W701" s="59" t="n"/>
      <c r="X701" s="59" t="n"/>
      <c r="Y701" s="59" t="n"/>
      <c r="Z701" s="59" t="n"/>
      <c r="AA701" s="59" t="n"/>
      <c r="AB701" s="59" t="n"/>
      <c r="AC701" s="59" t="n"/>
      <c r="AD701" s="59" t="n"/>
    </row>
    <row r="702">
      <c r="A702" s="59" t="n"/>
      <c r="B702" s="59" t="n"/>
      <c r="C702" s="59" t="n"/>
      <c r="D702" s="59" t="n"/>
      <c r="E702" s="59" t="n"/>
      <c r="F702" s="59" t="n"/>
      <c r="G702" s="60" t="n"/>
      <c r="H702" s="59" t="n"/>
      <c r="I702" s="59" t="n"/>
      <c r="J702" s="59" t="n"/>
      <c r="K702" s="59" t="n"/>
      <c r="L702" s="59" t="n"/>
      <c r="M702" s="59" t="n"/>
      <c r="N702" s="59" t="n"/>
      <c r="O702" s="59" t="n"/>
      <c r="P702" s="59" t="n"/>
      <c r="Q702" s="59" t="n"/>
      <c r="R702" s="59" t="n"/>
      <c r="S702" s="59" t="n"/>
      <c r="T702" s="59" t="n"/>
      <c r="U702" s="59" t="n"/>
      <c r="V702" s="59" t="n"/>
      <c r="W702" s="59" t="n"/>
      <c r="X702" s="59" t="n"/>
      <c r="Y702" s="59" t="n"/>
      <c r="Z702" s="59" t="n"/>
      <c r="AA702" s="59" t="n"/>
      <c r="AB702" s="59" t="n"/>
      <c r="AC702" s="59" t="n"/>
      <c r="AD702" s="59" t="n"/>
    </row>
    <row r="703">
      <c r="A703" s="59" t="n"/>
      <c r="B703" s="59" t="n"/>
      <c r="C703" s="59" t="n"/>
      <c r="D703" s="59" t="n"/>
      <c r="E703" s="59" t="n"/>
      <c r="F703" s="59" t="n"/>
      <c r="G703" s="60" t="n"/>
      <c r="H703" s="59" t="n"/>
      <c r="I703" s="59" t="n"/>
      <c r="J703" s="59" t="n"/>
      <c r="K703" s="59" t="n"/>
      <c r="L703" s="59" t="n"/>
      <c r="M703" s="59" t="n"/>
      <c r="N703" s="59" t="n"/>
      <c r="O703" s="59" t="n"/>
      <c r="P703" s="59" t="n"/>
      <c r="Q703" s="59" t="n"/>
      <c r="R703" s="59" t="n"/>
      <c r="S703" s="59" t="n"/>
      <c r="T703" s="59" t="n"/>
      <c r="U703" s="59" t="n"/>
      <c r="V703" s="59" t="n"/>
      <c r="W703" s="59" t="n"/>
      <c r="X703" s="59" t="n"/>
      <c r="Y703" s="59" t="n"/>
      <c r="Z703" s="59" t="n"/>
      <c r="AA703" s="59" t="n"/>
      <c r="AB703" s="59" t="n"/>
      <c r="AC703" s="59" t="n"/>
      <c r="AD703" s="59" t="n"/>
    </row>
    <row r="704">
      <c r="A704" s="59" t="n"/>
      <c r="B704" s="59" t="n"/>
      <c r="C704" s="59" t="n"/>
      <c r="D704" s="59" t="n"/>
      <c r="E704" s="59" t="n"/>
      <c r="F704" s="59" t="n"/>
      <c r="G704" s="60" t="n"/>
      <c r="H704" s="59" t="n"/>
      <c r="I704" s="59" t="n"/>
      <c r="J704" s="59" t="n"/>
      <c r="K704" s="59" t="n"/>
      <c r="L704" s="59" t="n"/>
      <c r="M704" s="59" t="n"/>
      <c r="N704" s="59" t="n"/>
      <c r="O704" s="59" t="n"/>
      <c r="P704" s="59" t="n"/>
      <c r="Q704" s="59" t="n"/>
      <c r="R704" s="59" t="n"/>
      <c r="S704" s="59" t="n"/>
      <c r="T704" s="59" t="n"/>
      <c r="U704" s="59" t="n"/>
      <c r="V704" s="59" t="n"/>
      <c r="W704" s="59" t="n"/>
      <c r="X704" s="59" t="n"/>
      <c r="Y704" s="59" t="n"/>
      <c r="Z704" s="59" t="n"/>
      <c r="AA704" s="59" t="n"/>
      <c r="AB704" s="59" t="n"/>
      <c r="AC704" s="59" t="n"/>
      <c r="AD704" s="59" t="n"/>
    </row>
    <row r="705">
      <c r="A705" s="59" t="n"/>
      <c r="B705" s="59" t="n"/>
      <c r="C705" s="59" t="n"/>
      <c r="D705" s="59" t="n"/>
      <c r="E705" s="59" t="n"/>
      <c r="F705" s="59" t="n"/>
      <c r="G705" s="60" t="n"/>
      <c r="H705" s="59" t="n"/>
      <c r="I705" s="59" t="n"/>
      <c r="J705" s="59" t="n"/>
      <c r="K705" s="59" t="n"/>
      <c r="L705" s="59" t="n"/>
      <c r="M705" s="59" t="n"/>
      <c r="N705" s="59" t="n"/>
      <c r="O705" s="59" t="n"/>
      <c r="P705" s="59" t="n"/>
      <c r="Q705" s="59" t="n"/>
      <c r="R705" s="59" t="n"/>
      <c r="S705" s="59" t="n"/>
      <c r="T705" s="59" t="n"/>
      <c r="U705" s="59" t="n"/>
      <c r="V705" s="59" t="n"/>
      <c r="W705" s="59" t="n"/>
      <c r="X705" s="59" t="n"/>
      <c r="Y705" s="59" t="n"/>
      <c r="Z705" s="59" t="n"/>
      <c r="AA705" s="59" t="n"/>
      <c r="AB705" s="59" t="n"/>
      <c r="AC705" s="59" t="n"/>
      <c r="AD705" s="59" t="n"/>
    </row>
    <row r="706">
      <c r="A706" s="59" t="n"/>
      <c r="B706" s="59" t="n"/>
      <c r="C706" s="59" t="n"/>
      <c r="D706" s="59" t="n"/>
      <c r="E706" s="59" t="n"/>
      <c r="F706" s="59" t="n"/>
      <c r="G706" s="60" t="n"/>
      <c r="H706" s="59" t="n"/>
      <c r="I706" s="59" t="n"/>
      <c r="J706" s="59" t="n"/>
      <c r="K706" s="59" t="n"/>
      <c r="L706" s="59" t="n"/>
      <c r="M706" s="59" t="n"/>
      <c r="N706" s="59" t="n"/>
      <c r="O706" s="59" t="n"/>
      <c r="P706" s="59" t="n"/>
      <c r="Q706" s="59" t="n"/>
      <c r="R706" s="59" t="n"/>
      <c r="S706" s="59" t="n"/>
      <c r="T706" s="59" t="n"/>
      <c r="U706" s="59" t="n"/>
      <c r="V706" s="59" t="n"/>
      <c r="W706" s="59" t="n"/>
      <c r="X706" s="59" t="n"/>
      <c r="Y706" s="59" t="n"/>
      <c r="Z706" s="59" t="n"/>
      <c r="AA706" s="59" t="n"/>
      <c r="AB706" s="59" t="n"/>
      <c r="AC706" s="59" t="n"/>
      <c r="AD706" s="59" t="n"/>
    </row>
    <row r="707">
      <c r="A707" s="59" t="n"/>
      <c r="B707" s="59" t="n"/>
      <c r="C707" s="59" t="n"/>
      <c r="D707" s="59" t="n"/>
      <c r="E707" s="59" t="n"/>
      <c r="F707" s="59" t="n"/>
      <c r="G707" s="60" t="n"/>
      <c r="H707" s="59" t="n"/>
      <c r="I707" s="59" t="n"/>
      <c r="J707" s="59" t="n"/>
      <c r="K707" s="59" t="n"/>
      <c r="L707" s="59" t="n"/>
      <c r="M707" s="59" t="n"/>
      <c r="N707" s="59" t="n"/>
      <c r="O707" s="59" t="n"/>
      <c r="P707" s="59" t="n"/>
      <c r="Q707" s="59" t="n"/>
      <c r="R707" s="59" t="n"/>
      <c r="S707" s="59" t="n"/>
      <c r="T707" s="59" t="n"/>
      <c r="U707" s="59" t="n"/>
      <c r="V707" s="59" t="n"/>
      <c r="W707" s="59" t="n"/>
      <c r="X707" s="59" t="n"/>
      <c r="Y707" s="59" t="n"/>
      <c r="Z707" s="59" t="n"/>
      <c r="AA707" s="59" t="n"/>
      <c r="AB707" s="59" t="n"/>
      <c r="AC707" s="59" t="n"/>
      <c r="AD707" s="59" t="n"/>
    </row>
    <row r="708">
      <c r="A708" s="59" t="n"/>
      <c r="B708" s="59" t="n"/>
      <c r="C708" s="59" t="n"/>
      <c r="D708" s="59" t="n"/>
      <c r="E708" s="59" t="n"/>
      <c r="F708" s="59" t="n"/>
      <c r="G708" s="60" t="n"/>
      <c r="H708" s="59" t="n"/>
      <c r="I708" s="59" t="n"/>
      <c r="J708" s="59" t="n"/>
      <c r="K708" s="59" t="n"/>
      <c r="L708" s="59" t="n"/>
      <c r="M708" s="59" t="n"/>
      <c r="N708" s="59" t="n"/>
      <c r="O708" s="59" t="n"/>
      <c r="P708" s="59" t="n"/>
      <c r="Q708" s="59" t="n"/>
      <c r="R708" s="59" t="n"/>
      <c r="S708" s="59" t="n"/>
      <c r="T708" s="59" t="n"/>
      <c r="U708" s="59" t="n"/>
      <c r="V708" s="59" t="n"/>
      <c r="W708" s="59" t="n"/>
      <c r="X708" s="59" t="n"/>
      <c r="Y708" s="59" t="n"/>
      <c r="Z708" s="59" t="n"/>
      <c r="AA708" s="59" t="n"/>
      <c r="AB708" s="59" t="n"/>
      <c r="AC708" s="59" t="n"/>
      <c r="AD708" s="59" t="n"/>
    </row>
    <row r="709">
      <c r="A709" s="59" t="n"/>
      <c r="B709" s="59" t="n"/>
      <c r="C709" s="59" t="n"/>
      <c r="D709" s="59" t="n"/>
      <c r="E709" s="59" t="n"/>
      <c r="F709" s="59" t="n"/>
      <c r="G709" s="60" t="n"/>
      <c r="H709" s="59" t="n"/>
      <c r="I709" s="59" t="n"/>
      <c r="J709" s="59" t="n"/>
      <c r="K709" s="59" t="n"/>
      <c r="L709" s="59" t="n"/>
      <c r="M709" s="59" t="n"/>
      <c r="N709" s="59" t="n"/>
      <c r="O709" s="59" t="n"/>
      <c r="P709" s="59" t="n"/>
      <c r="Q709" s="59" t="n"/>
      <c r="R709" s="59" t="n"/>
      <c r="S709" s="59" t="n"/>
      <c r="T709" s="59" t="n"/>
      <c r="U709" s="59" t="n"/>
      <c r="V709" s="59" t="n"/>
      <c r="W709" s="59" t="n"/>
      <c r="X709" s="59" t="n"/>
      <c r="Y709" s="59" t="n"/>
      <c r="Z709" s="59" t="n"/>
      <c r="AA709" s="59" t="n"/>
      <c r="AB709" s="59" t="n"/>
      <c r="AC709" s="59" t="n"/>
      <c r="AD709" s="59" t="n"/>
    </row>
    <row r="710">
      <c r="A710" s="59" t="n"/>
      <c r="B710" s="59" t="n"/>
      <c r="C710" s="59" t="n"/>
      <c r="D710" s="59" t="n"/>
      <c r="E710" s="59" t="n"/>
      <c r="F710" s="59" t="n"/>
      <c r="G710" s="60" t="n"/>
      <c r="H710" s="59" t="n"/>
      <c r="I710" s="59" t="n"/>
      <c r="J710" s="59" t="n"/>
      <c r="K710" s="59" t="n"/>
      <c r="L710" s="59" t="n"/>
      <c r="M710" s="59" t="n"/>
      <c r="N710" s="59" t="n"/>
      <c r="O710" s="59" t="n"/>
      <c r="P710" s="59" t="n"/>
      <c r="Q710" s="59" t="n"/>
      <c r="R710" s="59" t="n"/>
      <c r="S710" s="59" t="n"/>
      <c r="T710" s="59" t="n"/>
      <c r="U710" s="59" t="n"/>
      <c r="V710" s="59" t="n"/>
      <c r="W710" s="59" t="n"/>
      <c r="X710" s="59" t="n"/>
      <c r="Y710" s="59" t="n"/>
      <c r="Z710" s="59" t="n"/>
      <c r="AA710" s="59" t="n"/>
      <c r="AB710" s="59" t="n"/>
      <c r="AC710" s="59" t="n"/>
      <c r="AD710" s="59" t="n"/>
    </row>
    <row r="711">
      <c r="A711" s="59" t="n"/>
      <c r="B711" s="59" t="n"/>
      <c r="C711" s="59" t="n"/>
      <c r="D711" s="59" t="n"/>
      <c r="E711" s="59" t="n"/>
      <c r="F711" s="59" t="n"/>
      <c r="G711" s="60" t="n"/>
      <c r="H711" s="59" t="n"/>
      <c r="I711" s="59" t="n"/>
      <c r="J711" s="59" t="n"/>
      <c r="K711" s="59" t="n"/>
      <c r="L711" s="59" t="n"/>
      <c r="M711" s="59" t="n"/>
      <c r="N711" s="59" t="n"/>
      <c r="O711" s="59" t="n"/>
      <c r="P711" s="59" t="n"/>
      <c r="Q711" s="59" t="n"/>
      <c r="R711" s="59" t="n"/>
      <c r="S711" s="59" t="n"/>
      <c r="T711" s="59" t="n"/>
      <c r="U711" s="59" t="n"/>
      <c r="V711" s="59" t="n"/>
      <c r="W711" s="59" t="n"/>
      <c r="X711" s="59" t="n"/>
      <c r="Y711" s="59" t="n"/>
      <c r="Z711" s="59" t="n"/>
      <c r="AA711" s="59" t="n"/>
      <c r="AB711" s="59" t="n"/>
      <c r="AC711" s="59" t="n"/>
      <c r="AD711" s="59" t="n"/>
    </row>
    <row r="712">
      <c r="A712" s="59" t="n"/>
      <c r="B712" s="59" t="n"/>
      <c r="C712" s="59" t="n"/>
      <c r="D712" s="59" t="n"/>
      <c r="E712" s="59" t="n"/>
      <c r="F712" s="59" t="n"/>
      <c r="G712" s="60" t="n"/>
      <c r="H712" s="59" t="n"/>
      <c r="I712" s="59" t="n"/>
      <c r="J712" s="59" t="n"/>
      <c r="K712" s="59" t="n"/>
      <c r="L712" s="59" t="n"/>
      <c r="M712" s="59" t="n"/>
      <c r="N712" s="59" t="n"/>
      <c r="O712" s="59" t="n"/>
      <c r="P712" s="59" t="n"/>
      <c r="Q712" s="59" t="n"/>
      <c r="R712" s="59" t="n"/>
      <c r="S712" s="59" t="n"/>
      <c r="T712" s="59" t="n"/>
      <c r="U712" s="59" t="n"/>
      <c r="V712" s="59" t="n"/>
      <c r="W712" s="59" t="n"/>
      <c r="X712" s="59" t="n"/>
      <c r="Y712" s="59" t="n"/>
      <c r="Z712" s="59" t="n"/>
      <c r="AA712" s="59" t="n"/>
      <c r="AB712" s="59" t="n"/>
      <c r="AC712" s="59" t="n"/>
      <c r="AD712" s="59" t="n"/>
    </row>
    <row r="713">
      <c r="A713" s="59" t="n"/>
      <c r="B713" s="59" t="n"/>
      <c r="C713" s="59" t="n"/>
      <c r="D713" s="59" t="n"/>
      <c r="E713" s="59" t="n"/>
      <c r="F713" s="59" t="n"/>
      <c r="G713" s="60" t="n"/>
      <c r="H713" s="59" t="n"/>
      <c r="I713" s="59" t="n"/>
      <c r="J713" s="59" t="n"/>
      <c r="K713" s="59" t="n"/>
      <c r="L713" s="59" t="n"/>
      <c r="M713" s="59" t="n"/>
      <c r="N713" s="59" t="n"/>
      <c r="O713" s="59" t="n"/>
      <c r="P713" s="59" t="n"/>
      <c r="Q713" s="59" t="n"/>
      <c r="R713" s="59" t="n"/>
      <c r="S713" s="59" t="n"/>
      <c r="T713" s="59" t="n"/>
      <c r="U713" s="59" t="n"/>
      <c r="V713" s="59" t="n"/>
      <c r="W713" s="59" t="n"/>
      <c r="X713" s="59" t="n"/>
      <c r="Y713" s="59" t="n"/>
      <c r="Z713" s="59" t="n"/>
      <c r="AA713" s="59" t="n"/>
      <c r="AB713" s="59" t="n"/>
      <c r="AC713" s="59" t="n"/>
      <c r="AD713" s="59" t="n"/>
    </row>
    <row r="714">
      <c r="A714" s="59" t="n"/>
      <c r="B714" s="59" t="n"/>
      <c r="C714" s="59" t="n"/>
      <c r="D714" s="59" t="n"/>
      <c r="E714" s="59" t="n"/>
      <c r="F714" s="59" t="n"/>
      <c r="G714" s="60" t="n"/>
      <c r="H714" s="59" t="n"/>
      <c r="I714" s="59" t="n"/>
      <c r="J714" s="59" t="n"/>
      <c r="K714" s="59" t="n"/>
      <c r="L714" s="59" t="n"/>
      <c r="M714" s="59" t="n"/>
      <c r="N714" s="59" t="n"/>
      <c r="O714" s="59" t="n"/>
      <c r="P714" s="59" t="n"/>
      <c r="Q714" s="59" t="n"/>
      <c r="R714" s="59" t="n"/>
      <c r="S714" s="59" t="n"/>
      <c r="T714" s="59" t="n"/>
      <c r="U714" s="59" t="n"/>
      <c r="V714" s="59" t="n"/>
      <c r="W714" s="59" t="n"/>
      <c r="X714" s="59" t="n"/>
      <c r="Y714" s="59" t="n"/>
      <c r="Z714" s="59" t="n"/>
      <c r="AA714" s="59" t="n"/>
      <c r="AB714" s="59" t="n"/>
      <c r="AC714" s="59" t="n"/>
      <c r="AD714" s="59" t="n"/>
    </row>
    <row r="715">
      <c r="A715" s="59" t="n"/>
      <c r="B715" s="59" t="n"/>
      <c r="C715" s="59" t="n"/>
      <c r="D715" s="59" t="n"/>
      <c r="E715" s="59" t="n"/>
      <c r="F715" s="59" t="n"/>
      <c r="G715" s="60" t="n"/>
      <c r="H715" s="59" t="n"/>
      <c r="I715" s="59" t="n"/>
      <c r="J715" s="59" t="n"/>
      <c r="K715" s="59" t="n"/>
      <c r="L715" s="59" t="n"/>
      <c r="M715" s="59" t="n"/>
      <c r="N715" s="59" t="n"/>
      <c r="O715" s="59" t="n"/>
      <c r="P715" s="59" t="n"/>
      <c r="Q715" s="59" t="n"/>
      <c r="R715" s="59" t="n"/>
      <c r="S715" s="59" t="n"/>
      <c r="T715" s="59" t="n"/>
      <c r="U715" s="59" t="n"/>
      <c r="V715" s="59" t="n"/>
      <c r="W715" s="59" t="n"/>
      <c r="X715" s="59" t="n"/>
      <c r="Y715" s="59" t="n"/>
      <c r="Z715" s="59" t="n"/>
      <c r="AA715" s="59" t="n"/>
      <c r="AB715" s="59" t="n"/>
      <c r="AC715" s="59" t="n"/>
      <c r="AD715" s="59" t="n"/>
    </row>
    <row r="716">
      <c r="A716" s="59" t="n"/>
      <c r="B716" s="59" t="n"/>
      <c r="C716" s="59" t="n"/>
      <c r="D716" s="59" t="n"/>
      <c r="E716" s="59" t="n"/>
      <c r="F716" s="59" t="n"/>
      <c r="G716" s="60" t="n"/>
      <c r="H716" s="59" t="n"/>
      <c r="I716" s="59" t="n"/>
      <c r="J716" s="59" t="n"/>
      <c r="K716" s="59" t="n"/>
      <c r="L716" s="59" t="n"/>
      <c r="M716" s="59" t="n"/>
      <c r="N716" s="59" t="n"/>
      <c r="O716" s="59" t="n"/>
      <c r="P716" s="59" t="n"/>
      <c r="Q716" s="59" t="n"/>
      <c r="R716" s="59" t="n"/>
      <c r="S716" s="59" t="n"/>
      <c r="T716" s="59" t="n"/>
      <c r="U716" s="59" t="n"/>
      <c r="V716" s="59" t="n"/>
      <c r="W716" s="59" t="n"/>
      <c r="X716" s="59" t="n"/>
      <c r="Y716" s="59" t="n"/>
      <c r="Z716" s="59" t="n"/>
      <c r="AA716" s="59" t="n"/>
      <c r="AB716" s="59" t="n"/>
      <c r="AC716" s="59" t="n"/>
      <c r="AD716" s="59" t="n"/>
    </row>
    <row r="717">
      <c r="A717" s="59" t="n"/>
      <c r="B717" s="59" t="n"/>
      <c r="C717" s="59" t="n"/>
      <c r="D717" s="59" t="n"/>
      <c r="E717" s="59" t="n"/>
      <c r="F717" s="59" t="n"/>
      <c r="G717" s="60" t="n"/>
      <c r="H717" s="59" t="n"/>
      <c r="I717" s="59" t="n"/>
      <c r="J717" s="59" t="n"/>
      <c r="K717" s="59" t="n"/>
      <c r="L717" s="59" t="n"/>
      <c r="M717" s="59" t="n"/>
      <c r="N717" s="59" t="n"/>
      <c r="O717" s="59" t="n"/>
      <c r="P717" s="59" t="n"/>
      <c r="Q717" s="59" t="n"/>
      <c r="R717" s="59" t="n"/>
      <c r="S717" s="59" t="n"/>
      <c r="T717" s="59" t="n"/>
      <c r="U717" s="59" t="n"/>
      <c r="V717" s="59" t="n"/>
      <c r="W717" s="59" t="n"/>
      <c r="X717" s="59" t="n"/>
      <c r="Y717" s="59" t="n"/>
      <c r="Z717" s="59" t="n"/>
      <c r="AA717" s="59" t="n"/>
      <c r="AB717" s="59" t="n"/>
      <c r="AC717" s="59" t="n"/>
      <c r="AD717" s="59" t="n"/>
    </row>
    <row r="718">
      <c r="A718" s="59" t="n"/>
      <c r="B718" s="59" t="n"/>
      <c r="C718" s="59" t="n"/>
      <c r="D718" s="59" t="n"/>
      <c r="E718" s="59" t="n"/>
      <c r="F718" s="59" t="n"/>
      <c r="G718" s="60" t="n"/>
      <c r="H718" s="59" t="n"/>
      <c r="I718" s="59" t="n"/>
      <c r="J718" s="59" t="n"/>
      <c r="K718" s="59" t="n"/>
      <c r="L718" s="59" t="n"/>
      <c r="M718" s="59" t="n"/>
      <c r="N718" s="59" t="n"/>
      <c r="O718" s="59" t="n"/>
      <c r="P718" s="59" t="n"/>
      <c r="Q718" s="59" t="n"/>
      <c r="R718" s="59" t="n"/>
      <c r="S718" s="59" t="n"/>
      <c r="T718" s="59" t="n"/>
      <c r="U718" s="59" t="n"/>
      <c r="V718" s="59" t="n"/>
      <c r="W718" s="59" t="n"/>
      <c r="X718" s="59" t="n"/>
      <c r="Y718" s="59" t="n"/>
      <c r="Z718" s="59" t="n"/>
      <c r="AA718" s="59" t="n"/>
      <c r="AB718" s="59" t="n"/>
      <c r="AC718" s="59" t="n"/>
      <c r="AD718" s="59" t="n"/>
    </row>
    <row r="719">
      <c r="A719" s="59" t="n"/>
      <c r="B719" s="59" t="n"/>
      <c r="C719" s="59" t="n"/>
      <c r="D719" s="59" t="n"/>
      <c r="E719" s="59" t="n"/>
      <c r="F719" s="59" t="n"/>
      <c r="G719" s="60" t="n"/>
      <c r="H719" s="59" t="n"/>
      <c r="I719" s="59" t="n"/>
      <c r="J719" s="59" t="n"/>
      <c r="K719" s="59" t="n"/>
      <c r="L719" s="59" t="n"/>
      <c r="M719" s="59" t="n"/>
      <c r="N719" s="59" t="n"/>
      <c r="O719" s="59" t="n"/>
      <c r="P719" s="59" t="n"/>
      <c r="Q719" s="59" t="n"/>
      <c r="R719" s="59" t="n"/>
      <c r="S719" s="59" t="n"/>
      <c r="T719" s="59" t="n"/>
      <c r="U719" s="59" t="n"/>
      <c r="V719" s="59" t="n"/>
      <c r="W719" s="59" t="n"/>
      <c r="X719" s="59" t="n"/>
      <c r="Y719" s="59" t="n"/>
      <c r="Z719" s="59" t="n"/>
      <c r="AA719" s="59" t="n"/>
      <c r="AB719" s="59" t="n"/>
      <c r="AC719" s="59" t="n"/>
      <c r="AD719" s="59" t="n"/>
    </row>
    <row r="720">
      <c r="A720" s="59" t="n"/>
      <c r="B720" s="59" t="n"/>
      <c r="C720" s="59" t="n"/>
      <c r="D720" s="59" t="n"/>
      <c r="E720" s="59" t="n"/>
      <c r="F720" s="59" t="n"/>
      <c r="G720" s="60" t="n"/>
      <c r="H720" s="59" t="n"/>
      <c r="I720" s="59" t="n"/>
      <c r="J720" s="59" t="n"/>
      <c r="K720" s="59" t="n"/>
      <c r="L720" s="59" t="n"/>
      <c r="M720" s="59" t="n"/>
      <c r="N720" s="59" t="n"/>
      <c r="O720" s="59" t="n"/>
      <c r="P720" s="59" t="n"/>
      <c r="Q720" s="59" t="n"/>
      <c r="R720" s="59" t="n"/>
      <c r="S720" s="59" t="n"/>
      <c r="T720" s="59" t="n"/>
      <c r="U720" s="59" t="n"/>
      <c r="V720" s="59" t="n"/>
      <c r="W720" s="59" t="n"/>
      <c r="X720" s="59" t="n"/>
      <c r="Y720" s="59" t="n"/>
      <c r="Z720" s="59" t="n"/>
      <c r="AA720" s="59" t="n"/>
      <c r="AB720" s="59" t="n"/>
      <c r="AC720" s="59" t="n"/>
      <c r="AD720" s="59" t="n"/>
    </row>
    <row r="721">
      <c r="A721" s="59" t="n"/>
      <c r="B721" s="59" t="n"/>
      <c r="C721" s="59" t="n"/>
      <c r="D721" s="59" t="n"/>
      <c r="E721" s="59" t="n"/>
      <c r="F721" s="59" t="n"/>
      <c r="G721" s="60" t="n"/>
      <c r="H721" s="59" t="n"/>
      <c r="I721" s="59" t="n"/>
      <c r="J721" s="59" t="n"/>
      <c r="K721" s="59" t="n"/>
      <c r="L721" s="59" t="n"/>
      <c r="M721" s="59" t="n"/>
      <c r="N721" s="59" t="n"/>
      <c r="O721" s="59" t="n"/>
      <c r="P721" s="59" t="n"/>
      <c r="Q721" s="59" t="n"/>
      <c r="R721" s="59" t="n"/>
      <c r="S721" s="59" t="n"/>
      <c r="T721" s="59" t="n"/>
      <c r="U721" s="59" t="n"/>
      <c r="V721" s="59" t="n"/>
      <c r="W721" s="59" t="n"/>
      <c r="X721" s="59" t="n"/>
      <c r="Y721" s="59" t="n"/>
      <c r="Z721" s="59" t="n"/>
      <c r="AA721" s="59" t="n"/>
      <c r="AB721" s="59" t="n"/>
      <c r="AC721" s="59" t="n"/>
      <c r="AD721" s="59" t="n"/>
    </row>
    <row r="722">
      <c r="A722" s="59" t="n"/>
      <c r="B722" s="59" t="n"/>
      <c r="C722" s="59" t="n"/>
      <c r="D722" s="59" t="n"/>
      <c r="E722" s="59" t="n"/>
      <c r="F722" s="59" t="n"/>
      <c r="G722" s="60" t="n"/>
      <c r="H722" s="59" t="n"/>
      <c r="I722" s="59" t="n"/>
      <c r="J722" s="59" t="n"/>
      <c r="K722" s="59" t="n"/>
      <c r="L722" s="59" t="n"/>
      <c r="M722" s="59" t="n"/>
      <c r="N722" s="59" t="n"/>
      <c r="O722" s="59" t="n"/>
      <c r="P722" s="59" t="n"/>
      <c r="Q722" s="59" t="n"/>
      <c r="R722" s="59" t="n"/>
      <c r="S722" s="59" t="n"/>
      <c r="T722" s="59" t="n"/>
      <c r="U722" s="59" t="n"/>
      <c r="V722" s="59" t="n"/>
      <c r="W722" s="59" t="n"/>
      <c r="X722" s="59" t="n"/>
      <c r="Y722" s="59" t="n"/>
      <c r="Z722" s="59" t="n"/>
      <c r="AA722" s="59" t="n"/>
      <c r="AB722" s="59" t="n"/>
      <c r="AC722" s="59" t="n"/>
      <c r="AD722" s="59" t="n"/>
    </row>
    <row r="723">
      <c r="A723" s="59" t="n"/>
      <c r="B723" s="59" t="n"/>
      <c r="C723" s="59" t="n"/>
      <c r="D723" s="59" t="n"/>
      <c r="E723" s="59" t="n"/>
      <c r="F723" s="59" t="n"/>
      <c r="G723" s="60" t="n"/>
      <c r="H723" s="59" t="n"/>
      <c r="I723" s="59" t="n"/>
      <c r="J723" s="59" t="n"/>
      <c r="K723" s="59" t="n"/>
      <c r="L723" s="59" t="n"/>
      <c r="M723" s="59" t="n"/>
      <c r="N723" s="59" t="n"/>
      <c r="O723" s="59" t="n"/>
      <c r="P723" s="59" t="n"/>
      <c r="Q723" s="59" t="n"/>
      <c r="R723" s="59" t="n"/>
      <c r="S723" s="59" t="n"/>
      <c r="T723" s="59" t="n"/>
      <c r="U723" s="59" t="n"/>
      <c r="V723" s="59" t="n"/>
      <c r="W723" s="59" t="n"/>
      <c r="X723" s="59" t="n"/>
      <c r="Y723" s="59" t="n"/>
      <c r="Z723" s="59" t="n"/>
      <c r="AA723" s="59" t="n"/>
      <c r="AB723" s="59" t="n"/>
      <c r="AC723" s="59" t="n"/>
      <c r="AD723" s="59" t="n"/>
    </row>
    <row r="724">
      <c r="A724" s="59" t="n"/>
      <c r="B724" s="59" t="n"/>
      <c r="C724" s="59" t="n"/>
      <c r="D724" s="59" t="n"/>
      <c r="E724" s="59" t="n"/>
      <c r="F724" s="59" t="n"/>
      <c r="G724" s="60" t="n"/>
      <c r="H724" s="59" t="n"/>
      <c r="I724" s="59" t="n"/>
      <c r="J724" s="59" t="n"/>
      <c r="K724" s="59" t="n"/>
      <c r="L724" s="59" t="n"/>
      <c r="M724" s="59" t="n"/>
      <c r="N724" s="59" t="n"/>
      <c r="O724" s="59" t="n"/>
      <c r="P724" s="59" t="n"/>
      <c r="Q724" s="59" t="n"/>
      <c r="R724" s="59" t="n"/>
      <c r="S724" s="59" t="n"/>
      <c r="T724" s="59" t="n"/>
      <c r="U724" s="59" t="n"/>
      <c r="V724" s="59" t="n"/>
      <c r="W724" s="59" t="n"/>
      <c r="X724" s="59" t="n"/>
      <c r="Y724" s="59" t="n"/>
      <c r="Z724" s="59" t="n"/>
      <c r="AA724" s="59" t="n"/>
      <c r="AB724" s="59" t="n"/>
      <c r="AC724" s="59" t="n"/>
      <c r="AD724" s="59" t="n"/>
    </row>
    <row r="725">
      <c r="A725" s="59" t="n"/>
      <c r="B725" s="59" t="n"/>
      <c r="C725" s="59" t="n"/>
      <c r="D725" s="59" t="n"/>
      <c r="E725" s="59" t="n"/>
      <c r="F725" s="59" t="n"/>
      <c r="G725" s="60" t="n"/>
      <c r="H725" s="59" t="n"/>
      <c r="I725" s="59" t="n"/>
      <c r="J725" s="59" t="n"/>
      <c r="K725" s="59" t="n"/>
      <c r="L725" s="59" t="n"/>
      <c r="M725" s="59" t="n"/>
      <c r="N725" s="59" t="n"/>
      <c r="O725" s="59" t="n"/>
      <c r="P725" s="59" t="n"/>
      <c r="Q725" s="59" t="n"/>
      <c r="R725" s="59" t="n"/>
      <c r="S725" s="59" t="n"/>
      <c r="T725" s="59" t="n"/>
      <c r="U725" s="59" t="n"/>
      <c r="V725" s="59" t="n"/>
      <c r="W725" s="59" t="n"/>
      <c r="X725" s="59" t="n"/>
      <c r="Y725" s="59" t="n"/>
      <c r="Z725" s="59" t="n"/>
      <c r="AA725" s="59" t="n"/>
      <c r="AB725" s="59" t="n"/>
      <c r="AC725" s="59" t="n"/>
      <c r="AD725" s="59" t="n"/>
    </row>
    <row r="726">
      <c r="A726" s="59" t="n"/>
      <c r="B726" s="59" t="n"/>
      <c r="C726" s="59" t="n"/>
      <c r="D726" s="59" t="n"/>
      <c r="E726" s="59" t="n"/>
      <c r="F726" s="59" t="n"/>
      <c r="G726" s="60" t="n"/>
      <c r="H726" s="59" t="n"/>
      <c r="I726" s="59" t="n"/>
      <c r="J726" s="59" t="n"/>
      <c r="K726" s="59" t="n"/>
      <c r="L726" s="59" t="n"/>
      <c r="M726" s="59" t="n"/>
      <c r="N726" s="59" t="n"/>
      <c r="O726" s="59" t="n"/>
      <c r="P726" s="59" t="n"/>
      <c r="Q726" s="59" t="n"/>
      <c r="R726" s="59" t="n"/>
      <c r="S726" s="59" t="n"/>
      <c r="T726" s="59" t="n"/>
      <c r="U726" s="59" t="n"/>
      <c r="V726" s="59" t="n"/>
      <c r="W726" s="59" t="n"/>
      <c r="X726" s="59" t="n"/>
      <c r="Y726" s="59" t="n"/>
      <c r="Z726" s="59" t="n"/>
      <c r="AA726" s="59" t="n"/>
      <c r="AB726" s="59" t="n"/>
      <c r="AC726" s="59" t="n"/>
      <c r="AD726" s="59" t="n"/>
    </row>
    <row r="727">
      <c r="A727" s="59" t="n"/>
      <c r="B727" s="59" t="n"/>
      <c r="C727" s="59" t="n"/>
      <c r="D727" s="59" t="n"/>
      <c r="E727" s="59" t="n"/>
      <c r="F727" s="59" t="n"/>
      <c r="G727" s="60" t="n"/>
      <c r="H727" s="59" t="n"/>
      <c r="I727" s="59" t="n"/>
      <c r="J727" s="59" t="n"/>
      <c r="K727" s="59" t="n"/>
      <c r="L727" s="59" t="n"/>
      <c r="M727" s="59" t="n"/>
      <c r="N727" s="59" t="n"/>
      <c r="O727" s="59" t="n"/>
      <c r="P727" s="59" t="n"/>
      <c r="Q727" s="59" t="n"/>
      <c r="R727" s="59" t="n"/>
      <c r="S727" s="59" t="n"/>
      <c r="T727" s="59" t="n"/>
      <c r="U727" s="59" t="n"/>
      <c r="V727" s="59" t="n"/>
      <c r="W727" s="59" t="n"/>
      <c r="X727" s="59" t="n"/>
      <c r="Y727" s="59" t="n"/>
      <c r="Z727" s="59" t="n"/>
      <c r="AA727" s="59" t="n"/>
      <c r="AB727" s="59" t="n"/>
      <c r="AC727" s="59" t="n"/>
      <c r="AD727" s="59" t="n"/>
    </row>
    <row r="728">
      <c r="A728" s="59" t="n"/>
      <c r="B728" s="59" t="n"/>
      <c r="C728" s="59" t="n"/>
      <c r="D728" s="59" t="n"/>
      <c r="E728" s="59" t="n"/>
      <c r="F728" s="59" t="n"/>
      <c r="G728" s="60" t="n"/>
      <c r="H728" s="59" t="n"/>
      <c r="I728" s="59" t="n"/>
      <c r="J728" s="59" t="n"/>
      <c r="K728" s="59" t="n"/>
      <c r="L728" s="59" t="n"/>
      <c r="M728" s="59" t="n"/>
      <c r="N728" s="59" t="n"/>
      <c r="O728" s="59" t="n"/>
      <c r="P728" s="59" t="n"/>
      <c r="Q728" s="59" t="n"/>
      <c r="R728" s="59" t="n"/>
      <c r="S728" s="59" t="n"/>
      <c r="T728" s="59" t="n"/>
      <c r="U728" s="59" t="n"/>
      <c r="V728" s="59" t="n"/>
      <c r="W728" s="59" t="n"/>
      <c r="X728" s="59" t="n"/>
      <c r="Y728" s="59" t="n"/>
      <c r="Z728" s="59" t="n"/>
      <c r="AA728" s="59" t="n"/>
      <c r="AB728" s="59" t="n"/>
      <c r="AC728" s="59" t="n"/>
      <c r="AD728" s="59" t="n"/>
    </row>
    <row r="729">
      <c r="A729" s="59" t="n"/>
      <c r="B729" s="59" t="n"/>
      <c r="C729" s="59" t="n"/>
      <c r="D729" s="59" t="n"/>
      <c r="E729" s="59" t="n"/>
      <c r="F729" s="59" t="n"/>
      <c r="G729" s="60" t="n"/>
      <c r="H729" s="59" t="n"/>
      <c r="I729" s="59" t="n"/>
      <c r="J729" s="59" t="n"/>
      <c r="K729" s="59" t="n"/>
      <c r="L729" s="59" t="n"/>
      <c r="M729" s="59" t="n"/>
      <c r="N729" s="59" t="n"/>
      <c r="O729" s="59" t="n"/>
      <c r="P729" s="59" t="n"/>
      <c r="Q729" s="59" t="n"/>
      <c r="R729" s="59" t="n"/>
      <c r="S729" s="59" t="n"/>
      <c r="T729" s="59" t="n"/>
      <c r="U729" s="59" t="n"/>
      <c r="V729" s="59" t="n"/>
      <c r="W729" s="59" t="n"/>
      <c r="X729" s="59" t="n"/>
      <c r="Y729" s="59" t="n"/>
      <c r="Z729" s="59" t="n"/>
      <c r="AA729" s="59" t="n"/>
      <c r="AB729" s="59" t="n"/>
      <c r="AC729" s="59" t="n"/>
      <c r="AD729" s="59" t="n"/>
    </row>
    <row r="730">
      <c r="A730" s="59" t="n"/>
      <c r="B730" s="59" t="n"/>
      <c r="C730" s="59" t="n"/>
      <c r="D730" s="59" t="n"/>
      <c r="E730" s="59" t="n"/>
      <c r="F730" s="59" t="n"/>
      <c r="G730" s="60" t="n"/>
      <c r="H730" s="59" t="n"/>
      <c r="I730" s="59" t="n"/>
      <c r="J730" s="59" t="n"/>
      <c r="K730" s="59" t="n"/>
      <c r="L730" s="59" t="n"/>
      <c r="M730" s="59" t="n"/>
      <c r="N730" s="59" t="n"/>
      <c r="O730" s="59" t="n"/>
      <c r="P730" s="59" t="n"/>
      <c r="Q730" s="59" t="n"/>
      <c r="R730" s="59" t="n"/>
      <c r="S730" s="59" t="n"/>
      <c r="T730" s="59" t="n"/>
      <c r="U730" s="59" t="n"/>
      <c r="V730" s="59" t="n"/>
      <c r="W730" s="59" t="n"/>
      <c r="X730" s="59" t="n"/>
      <c r="Y730" s="59" t="n"/>
      <c r="Z730" s="59" t="n"/>
      <c r="AA730" s="59" t="n"/>
      <c r="AB730" s="59" t="n"/>
      <c r="AC730" s="59" t="n"/>
      <c r="AD730" s="59" t="n"/>
    </row>
    <row r="731">
      <c r="A731" s="59" t="n"/>
      <c r="B731" s="59" t="n"/>
      <c r="C731" s="59" t="n"/>
      <c r="D731" s="59" t="n"/>
      <c r="E731" s="59" t="n"/>
      <c r="F731" s="59" t="n"/>
      <c r="G731" s="60" t="n"/>
      <c r="H731" s="59" t="n"/>
      <c r="I731" s="59" t="n"/>
      <c r="J731" s="59" t="n"/>
      <c r="K731" s="59" t="n"/>
      <c r="L731" s="59" t="n"/>
      <c r="M731" s="59" t="n"/>
      <c r="N731" s="59" t="n"/>
      <c r="O731" s="59" t="n"/>
      <c r="P731" s="59" t="n"/>
      <c r="Q731" s="59" t="n"/>
      <c r="R731" s="59" t="n"/>
      <c r="S731" s="59" t="n"/>
      <c r="T731" s="59" t="n"/>
      <c r="U731" s="59" t="n"/>
      <c r="V731" s="59" t="n"/>
      <c r="W731" s="59" t="n"/>
      <c r="X731" s="59" t="n"/>
      <c r="Y731" s="59" t="n"/>
      <c r="Z731" s="59" t="n"/>
      <c r="AA731" s="59" t="n"/>
      <c r="AB731" s="59" t="n"/>
      <c r="AC731" s="59" t="n"/>
      <c r="AD731" s="59" t="n"/>
    </row>
    <row r="732">
      <c r="A732" s="59" t="n"/>
      <c r="B732" s="59" t="n"/>
      <c r="C732" s="59" t="n"/>
      <c r="D732" s="59" t="n"/>
      <c r="E732" s="59" t="n"/>
      <c r="F732" s="59" t="n"/>
      <c r="G732" s="60" t="n"/>
      <c r="H732" s="59" t="n"/>
      <c r="I732" s="59" t="n"/>
      <c r="J732" s="59" t="n"/>
      <c r="K732" s="59" t="n"/>
      <c r="L732" s="59" t="n"/>
      <c r="M732" s="59" t="n"/>
      <c r="N732" s="59" t="n"/>
      <c r="O732" s="59" t="n"/>
      <c r="P732" s="59" t="n"/>
      <c r="Q732" s="59" t="n"/>
      <c r="R732" s="59" t="n"/>
      <c r="S732" s="59" t="n"/>
      <c r="T732" s="59" t="n"/>
      <c r="U732" s="59" t="n"/>
      <c r="V732" s="59" t="n"/>
      <c r="W732" s="59" t="n"/>
      <c r="X732" s="59" t="n"/>
      <c r="Y732" s="59" t="n"/>
      <c r="Z732" s="59" t="n"/>
      <c r="AA732" s="59" t="n"/>
      <c r="AB732" s="59" t="n"/>
      <c r="AC732" s="59" t="n"/>
      <c r="AD732" s="59" t="n"/>
    </row>
    <row r="733">
      <c r="A733" s="59" t="n"/>
      <c r="B733" s="59" t="n"/>
      <c r="C733" s="59" t="n"/>
      <c r="D733" s="59" t="n"/>
      <c r="E733" s="59" t="n"/>
      <c r="F733" s="59" t="n"/>
      <c r="G733" s="60" t="n"/>
      <c r="H733" s="59" t="n"/>
      <c r="I733" s="59" t="n"/>
      <c r="J733" s="59" t="n"/>
      <c r="K733" s="59" t="n"/>
      <c r="L733" s="59" t="n"/>
      <c r="M733" s="59" t="n"/>
      <c r="N733" s="59" t="n"/>
      <c r="O733" s="59" t="n"/>
      <c r="P733" s="59" t="n"/>
      <c r="Q733" s="59" t="n"/>
      <c r="R733" s="59" t="n"/>
      <c r="S733" s="59" t="n"/>
      <c r="T733" s="59" t="n"/>
      <c r="U733" s="59" t="n"/>
      <c r="V733" s="59" t="n"/>
      <c r="W733" s="59" t="n"/>
      <c r="X733" s="59" t="n"/>
      <c r="Y733" s="59" t="n"/>
      <c r="Z733" s="59" t="n"/>
      <c r="AA733" s="59" t="n"/>
      <c r="AB733" s="59" t="n"/>
      <c r="AC733" s="59" t="n"/>
      <c r="AD733" s="59" t="n"/>
    </row>
    <row r="734">
      <c r="A734" s="59" t="n"/>
      <c r="B734" s="59" t="n"/>
      <c r="C734" s="59" t="n"/>
      <c r="D734" s="59" t="n"/>
      <c r="E734" s="59" t="n"/>
      <c r="F734" s="59" t="n"/>
      <c r="G734" s="60" t="n"/>
      <c r="H734" s="59" t="n"/>
      <c r="I734" s="59" t="n"/>
      <c r="J734" s="59" t="n"/>
      <c r="K734" s="59" t="n"/>
      <c r="L734" s="59" t="n"/>
      <c r="M734" s="59" t="n"/>
      <c r="N734" s="59" t="n"/>
      <c r="O734" s="59" t="n"/>
      <c r="P734" s="59" t="n"/>
      <c r="Q734" s="59" t="n"/>
      <c r="R734" s="59" t="n"/>
      <c r="S734" s="59" t="n"/>
      <c r="T734" s="59" t="n"/>
      <c r="U734" s="59" t="n"/>
      <c r="V734" s="59" t="n"/>
      <c r="W734" s="59" t="n"/>
      <c r="X734" s="59" t="n"/>
      <c r="Y734" s="59" t="n"/>
      <c r="Z734" s="59" t="n"/>
      <c r="AA734" s="59" t="n"/>
      <c r="AB734" s="59" t="n"/>
      <c r="AC734" s="59" t="n"/>
      <c r="AD734" s="59" t="n"/>
    </row>
    <row r="735">
      <c r="A735" s="59" t="n"/>
      <c r="B735" s="59" t="n"/>
      <c r="C735" s="59" t="n"/>
      <c r="D735" s="59" t="n"/>
      <c r="E735" s="59" t="n"/>
      <c r="F735" s="59" t="n"/>
      <c r="G735" s="60" t="n"/>
      <c r="H735" s="59" t="n"/>
      <c r="I735" s="59" t="n"/>
      <c r="J735" s="59" t="n"/>
      <c r="K735" s="59" t="n"/>
      <c r="L735" s="59" t="n"/>
      <c r="M735" s="59" t="n"/>
      <c r="N735" s="59" t="n"/>
      <c r="O735" s="59" t="n"/>
      <c r="P735" s="59" t="n"/>
      <c r="Q735" s="59" t="n"/>
      <c r="R735" s="59" t="n"/>
      <c r="S735" s="59" t="n"/>
      <c r="T735" s="59" t="n"/>
      <c r="U735" s="59" t="n"/>
      <c r="V735" s="59" t="n"/>
      <c r="W735" s="59" t="n"/>
      <c r="X735" s="59" t="n"/>
      <c r="Y735" s="59" t="n"/>
      <c r="Z735" s="59" t="n"/>
      <c r="AA735" s="59" t="n"/>
      <c r="AB735" s="59" t="n"/>
      <c r="AC735" s="59" t="n"/>
      <c r="AD735" s="59" t="n"/>
    </row>
    <row r="736">
      <c r="A736" s="59" t="n"/>
      <c r="B736" s="59" t="n"/>
      <c r="C736" s="59" t="n"/>
      <c r="D736" s="59" t="n"/>
      <c r="E736" s="59" t="n"/>
      <c r="F736" s="59" t="n"/>
      <c r="G736" s="60" t="n"/>
      <c r="H736" s="59" t="n"/>
      <c r="I736" s="59" t="n"/>
      <c r="J736" s="59" t="n"/>
      <c r="K736" s="59" t="n"/>
      <c r="L736" s="59" t="n"/>
      <c r="M736" s="59" t="n"/>
      <c r="N736" s="59" t="n"/>
      <c r="O736" s="59" t="n"/>
      <c r="P736" s="59" t="n"/>
      <c r="Q736" s="59" t="n"/>
      <c r="R736" s="59" t="n"/>
      <c r="S736" s="59" t="n"/>
      <c r="T736" s="59" t="n"/>
      <c r="U736" s="59" t="n"/>
      <c r="V736" s="59" t="n"/>
      <c r="W736" s="59" t="n"/>
      <c r="X736" s="59" t="n"/>
      <c r="Y736" s="59" t="n"/>
      <c r="Z736" s="59" t="n"/>
      <c r="AA736" s="59" t="n"/>
      <c r="AB736" s="59" t="n"/>
      <c r="AC736" s="59" t="n"/>
      <c r="AD736" s="59" t="n"/>
    </row>
    <row r="737">
      <c r="A737" s="59" t="n"/>
      <c r="B737" s="59" t="n"/>
      <c r="C737" s="59" t="n"/>
      <c r="D737" s="59" t="n"/>
      <c r="E737" s="59" t="n"/>
      <c r="F737" s="59" t="n"/>
      <c r="G737" s="60" t="n"/>
      <c r="H737" s="59" t="n"/>
      <c r="I737" s="59" t="n"/>
      <c r="J737" s="59" t="n"/>
      <c r="K737" s="59" t="n"/>
      <c r="L737" s="59" t="n"/>
      <c r="M737" s="59" t="n"/>
      <c r="N737" s="59" t="n"/>
      <c r="O737" s="59" t="n"/>
      <c r="P737" s="59" t="n"/>
      <c r="Q737" s="59" t="n"/>
      <c r="R737" s="59" t="n"/>
      <c r="S737" s="59" t="n"/>
      <c r="T737" s="59" t="n"/>
      <c r="U737" s="59" t="n"/>
      <c r="V737" s="59" t="n"/>
      <c r="W737" s="59" t="n"/>
      <c r="X737" s="59" t="n"/>
      <c r="Y737" s="59" t="n"/>
      <c r="Z737" s="59" t="n"/>
      <c r="AA737" s="59" t="n"/>
      <c r="AB737" s="59" t="n"/>
      <c r="AC737" s="59" t="n"/>
      <c r="AD737" s="59" t="n"/>
    </row>
    <row r="738">
      <c r="A738" s="59" t="n"/>
      <c r="B738" s="59" t="n"/>
      <c r="C738" s="59" t="n"/>
      <c r="D738" s="59" t="n"/>
      <c r="E738" s="59" t="n"/>
      <c r="F738" s="59" t="n"/>
      <c r="G738" s="60" t="n"/>
      <c r="H738" s="59" t="n"/>
      <c r="I738" s="59" t="n"/>
      <c r="J738" s="59" t="n"/>
      <c r="K738" s="59" t="n"/>
      <c r="L738" s="59" t="n"/>
      <c r="M738" s="59" t="n"/>
      <c r="N738" s="59" t="n"/>
      <c r="O738" s="59" t="n"/>
      <c r="P738" s="59" t="n"/>
      <c r="Q738" s="59" t="n"/>
      <c r="R738" s="59" t="n"/>
      <c r="S738" s="59" t="n"/>
      <c r="T738" s="59" t="n"/>
      <c r="U738" s="59" t="n"/>
      <c r="V738" s="59" t="n"/>
      <c r="W738" s="59" t="n"/>
      <c r="X738" s="59" t="n"/>
      <c r="Y738" s="59" t="n"/>
      <c r="Z738" s="59" t="n"/>
      <c r="AA738" s="59" t="n"/>
      <c r="AB738" s="59" t="n"/>
      <c r="AC738" s="59" t="n"/>
      <c r="AD738" s="59" t="n"/>
    </row>
    <row r="739">
      <c r="A739" s="59" t="n"/>
      <c r="B739" s="59" t="n"/>
      <c r="C739" s="59" t="n"/>
      <c r="D739" s="59" t="n"/>
      <c r="E739" s="59" t="n"/>
      <c r="F739" s="59" t="n"/>
      <c r="G739" s="60" t="n"/>
      <c r="H739" s="59" t="n"/>
      <c r="I739" s="59" t="n"/>
      <c r="J739" s="59" t="n"/>
      <c r="K739" s="59" t="n"/>
      <c r="L739" s="59" t="n"/>
      <c r="M739" s="59" t="n"/>
      <c r="N739" s="59" t="n"/>
      <c r="O739" s="59" t="n"/>
      <c r="P739" s="59" t="n"/>
      <c r="Q739" s="59" t="n"/>
      <c r="R739" s="59" t="n"/>
      <c r="S739" s="59" t="n"/>
      <c r="T739" s="59" t="n"/>
      <c r="U739" s="59" t="n"/>
      <c r="V739" s="59" t="n"/>
      <c r="W739" s="59" t="n"/>
      <c r="X739" s="59" t="n"/>
      <c r="Y739" s="59" t="n"/>
      <c r="Z739" s="59" t="n"/>
      <c r="AA739" s="59" t="n"/>
      <c r="AB739" s="59" t="n"/>
      <c r="AC739" s="59" t="n"/>
      <c r="AD739" s="59" t="n"/>
    </row>
    <row r="740">
      <c r="A740" s="59" t="n"/>
      <c r="B740" s="59" t="n"/>
      <c r="C740" s="59" t="n"/>
      <c r="D740" s="59" t="n"/>
      <c r="E740" s="59" t="n"/>
      <c r="F740" s="59" t="n"/>
      <c r="G740" s="60" t="n"/>
      <c r="H740" s="59" t="n"/>
      <c r="I740" s="59" t="n"/>
      <c r="J740" s="59" t="n"/>
      <c r="K740" s="59" t="n"/>
      <c r="L740" s="59" t="n"/>
      <c r="M740" s="59" t="n"/>
      <c r="N740" s="59" t="n"/>
      <c r="O740" s="59" t="n"/>
      <c r="P740" s="59" t="n"/>
      <c r="Q740" s="59" t="n"/>
      <c r="R740" s="59" t="n"/>
      <c r="S740" s="59" t="n"/>
      <c r="T740" s="59" t="n"/>
      <c r="U740" s="59" t="n"/>
      <c r="V740" s="59" t="n"/>
      <c r="W740" s="59" t="n"/>
      <c r="X740" s="59" t="n"/>
      <c r="Y740" s="59" t="n"/>
      <c r="Z740" s="59" t="n"/>
      <c r="AA740" s="59" t="n"/>
      <c r="AB740" s="59" t="n"/>
      <c r="AC740" s="59" t="n"/>
      <c r="AD740" s="59" t="n"/>
    </row>
    <row r="741">
      <c r="A741" s="59" t="n"/>
      <c r="B741" s="59" t="n"/>
      <c r="C741" s="59" t="n"/>
      <c r="D741" s="59" t="n"/>
      <c r="E741" s="59" t="n"/>
      <c r="F741" s="59" t="n"/>
      <c r="G741" s="60" t="n"/>
      <c r="H741" s="59" t="n"/>
      <c r="I741" s="59" t="n"/>
      <c r="J741" s="59" t="n"/>
      <c r="K741" s="59" t="n"/>
      <c r="L741" s="59" t="n"/>
      <c r="M741" s="59" t="n"/>
      <c r="N741" s="59" t="n"/>
      <c r="O741" s="59" t="n"/>
      <c r="P741" s="59" t="n"/>
      <c r="Q741" s="59" t="n"/>
      <c r="R741" s="59" t="n"/>
      <c r="S741" s="59" t="n"/>
      <c r="T741" s="59" t="n"/>
      <c r="U741" s="59" t="n"/>
      <c r="V741" s="59" t="n"/>
      <c r="W741" s="59" t="n"/>
      <c r="X741" s="59" t="n"/>
      <c r="Y741" s="59" t="n"/>
      <c r="Z741" s="59" t="n"/>
      <c r="AA741" s="59" t="n"/>
      <c r="AB741" s="59" t="n"/>
      <c r="AC741" s="59" t="n"/>
      <c r="AD741" s="59" t="n"/>
    </row>
    <row r="742">
      <c r="A742" s="59" t="n"/>
      <c r="B742" s="59" t="n"/>
      <c r="C742" s="59" t="n"/>
      <c r="D742" s="59" t="n"/>
      <c r="E742" s="59" t="n"/>
      <c r="F742" s="59" t="n"/>
      <c r="G742" s="60" t="n"/>
      <c r="H742" s="59" t="n"/>
      <c r="I742" s="59" t="n"/>
      <c r="J742" s="59" t="n"/>
      <c r="K742" s="59" t="n"/>
      <c r="L742" s="59" t="n"/>
      <c r="M742" s="59" t="n"/>
      <c r="N742" s="59" t="n"/>
      <c r="O742" s="59" t="n"/>
      <c r="P742" s="59" t="n"/>
      <c r="Q742" s="59" t="n"/>
      <c r="R742" s="59" t="n"/>
      <c r="S742" s="59" t="n"/>
      <c r="T742" s="59" t="n"/>
      <c r="U742" s="59" t="n"/>
      <c r="V742" s="59" t="n"/>
      <c r="W742" s="59" t="n"/>
      <c r="X742" s="59" t="n"/>
      <c r="Y742" s="59" t="n"/>
      <c r="Z742" s="59" t="n"/>
      <c r="AA742" s="59" t="n"/>
      <c r="AB742" s="59" t="n"/>
      <c r="AC742" s="59" t="n"/>
      <c r="AD742" s="59" t="n"/>
    </row>
    <row r="743">
      <c r="A743" s="59" t="n"/>
      <c r="B743" s="59" t="n"/>
      <c r="C743" s="59" t="n"/>
      <c r="D743" s="59" t="n"/>
      <c r="E743" s="59" t="n"/>
      <c r="F743" s="59" t="n"/>
      <c r="G743" s="60" t="n"/>
      <c r="H743" s="59" t="n"/>
      <c r="I743" s="59" t="n"/>
      <c r="J743" s="59" t="n"/>
      <c r="K743" s="59" t="n"/>
      <c r="L743" s="59" t="n"/>
      <c r="M743" s="59" t="n"/>
      <c r="N743" s="59" t="n"/>
      <c r="O743" s="59" t="n"/>
      <c r="P743" s="59" t="n"/>
      <c r="Q743" s="59" t="n"/>
      <c r="R743" s="59" t="n"/>
      <c r="S743" s="59" t="n"/>
      <c r="T743" s="59" t="n"/>
      <c r="U743" s="59" t="n"/>
      <c r="V743" s="59" t="n"/>
      <c r="W743" s="59" t="n"/>
      <c r="X743" s="59" t="n"/>
      <c r="Y743" s="59" t="n"/>
      <c r="Z743" s="59" t="n"/>
      <c r="AA743" s="59" t="n"/>
      <c r="AB743" s="59" t="n"/>
      <c r="AC743" s="59" t="n"/>
      <c r="AD743" s="59" t="n"/>
    </row>
    <row r="744">
      <c r="A744" s="59" t="n"/>
      <c r="B744" s="59" t="n"/>
      <c r="C744" s="59" t="n"/>
      <c r="D744" s="59" t="n"/>
      <c r="E744" s="59" t="n"/>
      <c r="F744" s="59" t="n"/>
      <c r="G744" s="60" t="n"/>
      <c r="H744" s="59" t="n"/>
      <c r="I744" s="59" t="n"/>
      <c r="J744" s="59" t="n"/>
      <c r="K744" s="59" t="n"/>
      <c r="L744" s="59" t="n"/>
      <c r="M744" s="59" t="n"/>
      <c r="N744" s="59" t="n"/>
      <c r="O744" s="59" t="n"/>
      <c r="P744" s="59" t="n"/>
      <c r="Q744" s="59" t="n"/>
      <c r="R744" s="59" t="n"/>
      <c r="S744" s="59" t="n"/>
      <c r="T744" s="59" t="n"/>
      <c r="U744" s="59" t="n"/>
      <c r="V744" s="59" t="n"/>
      <c r="W744" s="59" t="n"/>
      <c r="X744" s="59" t="n"/>
      <c r="Y744" s="59" t="n"/>
      <c r="Z744" s="59" t="n"/>
      <c r="AA744" s="59" t="n"/>
      <c r="AB744" s="59" t="n"/>
      <c r="AC744" s="59" t="n"/>
      <c r="AD744" s="59" t="n"/>
    </row>
    <row r="745">
      <c r="A745" s="59" t="n"/>
      <c r="B745" s="59" t="n"/>
      <c r="C745" s="59" t="n"/>
      <c r="D745" s="59" t="n"/>
      <c r="E745" s="59" t="n"/>
      <c r="F745" s="59" t="n"/>
      <c r="G745" s="60" t="n"/>
      <c r="H745" s="59" t="n"/>
      <c r="I745" s="59" t="n"/>
      <c r="J745" s="59" t="n"/>
      <c r="K745" s="59" t="n"/>
      <c r="L745" s="59" t="n"/>
      <c r="M745" s="59" t="n"/>
      <c r="N745" s="59" t="n"/>
      <c r="O745" s="59" t="n"/>
      <c r="P745" s="59" t="n"/>
      <c r="Q745" s="59" t="n"/>
      <c r="R745" s="59" t="n"/>
      <c r="S745" s="59" t="n"/>
      <c r="T745" s="59" t="n"/>
      <c r="U745" s="59" t="n"/>
      <c r="V745" s="59" t="n"/>
      <c r="W745" s="59" t="n"/>
      <c r="X745" s="59" t="n"/>
      <c r="Y745" s="59" t="n"/>
      <c r="Z745" s="59" t="n"/>
      <c r="AA745" s="59" t="n"/>
      <c r="AB745" s="59" t="n"/>
      <c r="AC745" s="59" t="n"/>
      <c r="AD745" s="59" t="n"/>
    </row>
    <row r="746">
      <c r="A746" s="59" t="n"/>
      <c r="B746" s="59" t="n"/>
      <c r="C746" s="59" t="n"/>
      <c r="D746" s="59" t="n"/>
      <c r="E746" s="59" t="n"/>
      <c r="F746" s="59" t="n"/>
      <c r="G746" s="60" t="n"/>
      <c r="H746" s="59" t="n"/>
      <c r="I746" s="59" t="n"/>
      <c r="J746" s="59" t="n"/>
      <c r="K746" s="59" t="n"/>
      <c r="L746" s="59" t="n"/>
      <c r="M746" s="59" t="n"/>
      <c r="N746" s="59" t="n"/>
      <c r="O746" s="59" t="n"/>
      <c r="P746" s="59" t="n"/>
      <c r="Q746" s="59" t="n"/>
      <c r="R746" s="59" t="n"/>
      <c r="S746" s="59" t="n"/>
      <c r="T746" s="59" t="n"/>
      <c r="U746" s="59" t="n"/>
      <c r="V746" s="59" t="n"/>
      <c r="W746" s="59" t="n"/>
      <c r="X746" s="59" t="n"/>
      <c r="Y746" s="59" t="n"/>
      <c r="Z746" s="59" t="n"/>
      <c r="AA746" s="59" t="n"/>
      <c r="AB746" s="59" t="n"/>
      <c r="AC746" s="59" t="n"/>
      <c r="AD746" s="59" t="n"/>
    </row>
    <row r="747">
      <c r="A747" s="59" t="n"/>
      <c r="B747" s="59" t="n"/>
      <c r="C747" s="59" t="n"/>
      <c r="D747" s="59" t="n"/>
      <c r="E747" s="59" t="n"/>
      <c r="F747" s="59" t="n"/>
      <c r="G747" s="60" t="n"/>
      <c r="H747" s="59" t="n"/>
      <c r="I747" s="59" t="n"/>
      <c r="J747" s="59" t="n"/>
      <c r="K747" s="59" t="n"/>
      <c r="L747" s="59" t="n"/>
      <c r="M747" s="59" t="n"/>
      <c r="N747" s="59" t="n"/>
      <c r="O747" s="59" t="n"/>
      <c r="P747" s="59" t="n"/>
      <c r="Q747" s="59" t="n"/>
      <c r="R747" s="59" t="n"/>
      <c r="S747" s="59" t="n"/>
      <c r="T747" s="59" t="n"/>
      <c r="U747" s="59" t="n"/>
      <c r="V747" s="59" t="n"/>
      <c r="W747" s="59" t="n"/>
      <c r="X747" s="59" t="n"/>
      <c r="Y747" s="59" t="n"/>
      <c r="Z747" s="59" t="n"/>
      <c r="AA747" s="59" t="n"/>
      <c r="AB747" s="59" t="n"/>
      <c r="AC747" s="59" t="n"/>
      <c r="AD747" s="59" t="n"/>
    </row>
    <row r="748">
      <c r="A748" s="59" t="n"/>
      <c r="B748" s="59" t="n"/>
      <c r="C748" s="59" t="n"/>
      <c r="D748" s="59" t="n"/>
      <c r="E748" s="59" t="n"/>
      <c r="F748" s="59" t="n"/>
      <c r="G748" s="60" t="n"/>
      <c r="H748" s="59" t="n"/>
      <c r="I748" s="59" t="n"/>
      <c r="J748" s="59" t="n"/>
      <c r="K748" s="59" t="n"/>
      <c r="L748" s="59" t="n"/>
      <c r="M748" s="59" t="n"/>
      <c r="N748" s="59" t="n"/>
      <c r="O748" s="59" t="n"/>
      <c r="P748" s="59" t="n"/>
      <c r="Q748" s="59" t="n"/>
      <c r="R748" s="59" t="n"/>
      <c r="S748" s="59" t="n"/>
      <c r="T748" s="59" t="n"/>
      <c r="U748" s="59" t="n"/>
      <c r="V748" s="59" t="n"/>
      <c r="W748" s="59" t="n"/>
      <c r="X748" s="59" t="n"/>
      <c r="Y748" s="59" t="n"/>
      <c r="Z748" s="59" t="n"/>
      <c r="AA748" s="59" t="n"/>
      <c r="AB748" s="59" t="n"/>
      <c r="AC748" s="59" t="n"/>
      <c r="AD748" s="59" t="n"/>
    </row>
    <row r="749">
      <c r="A749" s="59" t="n"/>
      <c r="B749" s="59" t="n"/>
      <c r="C749" s="59" t="n"/>
      <c r="D749" s="59" t="n"/>
      <c r="E749" s="59" t="n"/>
      <c r="F749" s="59" t="n"/>
      <c r="G749" s="60" t="n"/>
      <c r="H749" s="59" t="n"/>
      <c r="I749" s="59" t="n"/>
      <c r="J749" s="59" t="n"/>
      <c r="K749" s="59" t="n"/>
      <c r="L749" s="59" t="n"/>
      <c r="M749" s="59" t="n"/>
      <c r="N749" s="59" t="n"/>
      <c r="O749" s="59" t="n"/>
      <c r="P749" s="59" t="n"/>
      <c r="Q749" s="59" t="n"/>
      <c r="R749" s="59" t="n"/>
      <c r="S749" s="59" t="n"/>
      <c r="T749" s="59" t="n"/>
      <c r="U749" s="59" t="n"/>
      <c r="V749" s="59" t="n"/>
      <c r="W749" s="59" t="n"/>
      <c r="X749" s="59" t="n"/>
      <c r="Y749" s="59" t="n"/>
      <c r="Z749" s="59" t="n"/>
      <c r="AA749" s="59" t="n"/>
      <c r="AB749" s="59" t="n"/>
      <c r="AC749" s="59" t="n"/>
      <c r="AD749" s="59" t="n"/>
    </row>
    <row r="750">
      <c r="A750" s="59" t="n"/>
      <c r="B750" s="59" t="n"/>
      <c r="C750" s="59" t="n"/>
      <c r="D750" s="59" t="n"/>
      <c r="E750" s="59" t="n"/>
      <c r="F750" s="59" t="n"/>
      <c r="G750" s="60" t="n"/>
      <c r="H750" s="59" t="n"/>
      <c r="I750" s="59" t="n"/>
      <c r="J750" s="59" t="n"/>
      <c r="K750" s="59" t="n"/>
      <c r="L750" s="59" t="n"/>
      <c r="M750" s="59" t="n"/>
      <c r="N750" s="59" t="n"/>
      <c r="O750" s="59" t="n"/>
      <c r="P750" s="59" t="n"/>
      <c r="Q750" s="59" t="n"/>
      <c r="R750" s="59" t="n"/>
      <c r="S750" s="59" t="n"/>
      <c r="T750" s="59" t="n"/>
      <c r="U750" s="59" t="n"/>
      <c r="V750" s="59" t="n"/>
      <c r="W750" s="59" t="n"/>
      <c r="X750" s="59" t="n"/>
      <c r="Y750" s="59" t="n"/>
      <c r="Z750" s="59" t="n"/>
      <c r="AA750" s="59" t="n"/>
      <c r="AB750" s="59" t="n"/>
      <c r="AC750" s="59" t="n"/>
      <c r="AD750" s="59" t="n"/>
    </row>
    <row r="751">
      <c r="A751" s="59" t="n"/>
      <c r="B751" s="59" t="n"/>
      <c r="C751" s="59" t="n"/>
      <c r="D751" s="59" t="n"/>
      <c r="E751" s="59" t="n"/>
      <c r="F751" s="59" t="n"/>
      <c r="G751" s="60" t="n"/>
      <c r="H751" s="59" t="n"/>
      <c r="I751" s="59" t="n"/>
      <c r="J751" s="59" t="n"/>
      <c r="K751" s="59" t="n"/>
      <c r="L751" s="59" t="n"/>
      <c r="M751" s="59" t="n"/>
      <c r="N751" s="59" t="n"/>
      <c r="O751" s="59" t="n"/>
      <c r="P751" s="59" t="n"/>
      <c r="Q751" s="59" t="n"/>
      <c r="R751" s="59" t="n"/>
      <c r="S751" s="59" t="n"/>
      <c r="T751" s="59" t="n"/>
      <c r="U751" s="59" t="n"/>
      <c r="V751" s="59" t="n"/>
      <c r="W751" s="59" t="n"/>
      <c r="X751" s="59" t="n"/>
      <c r="Y751" s="59" t="n"/>
      <c r="Z751" s="59" t="n"/>
      <c r="AA751" s="59" t="n"/>
      <c r="AB751" s="59" t="n"/>
      <c r="AC751" s="59" t="n"/>
      <c r="AD751" s="59" t="n"/>
    </row>
    <row r="752">
      <c r="A752" s="59" t="n"/>
      <c r="B752" s="59" t="n"/>
      <c r="C752" s="59" t="n"/>
      <c r="D752" s="59" t="n"/>
      <c r="E752" s="59" t="n"/>
      <c r="F752" s="59" t="n"/>
      <c r="G752" s="60" t="n"/>
      <c r="H752" s="59" t="n"/>
      <c r="I752" s="59" t="n"/>
      <c r="J752" s="59" t="n"/>
      <c r="K752" s="59" t="n"/>
      <c r="L752" s="59" t="n"/>
      <c r="M752" s="59" t="n"/>
      <c r="N752" s="59" t="n"/>
      <c r="O752" s="59" t="n"/>
      <c r="P752" s="59" t="n"/>
      <c r="Q752" s="59" t="n"/>
      <c r="R752" s="59" t="n"/>
      <c r="S752" s="59" t="n"/>
      <c r="T752" s="59" t="n"/>
      <c r="U752" s="59" t="n"/>
      <c r="V752" s="59" t="n"/>
      <c r="W752" s="59" t="n"/>
      <c r="X752" s="59" t="n"/>
      <c r="Y752" s="59" t="n"/>
      <c r="Z752" s="59" t="n"/>
      <c r="AA752" s="59" t="n"/>
      <c r="AB752" s="59" t="n"/>
      <c r="AC752" s="59" t="n"/>
      <c r="AD752" s="59" t="n"/>
    </row>
    <row r="753">
      <c r="A753" s="59" t="n"/>
      <c r="B753" s="59" t="n"/>
      <c r="C753" s="59" t="n"/>
      <c r="D753" s="59" t="n"/>
      <c r="E753" s="59" t="n"/>
      <c r="F753" s="59" t="n"/>
      <c r="G753" s="60" t="n"/>
      <c r="H753" s="59" t="n"/>
      <c r="I753" s="59" t="n"/>
      <c r="J753" s="59" t="n"/>
      <c r="K753" s="59" t="n"/>
      <c r="L753" s="59" t="n"/>
      <c r="M753" s="59" t="n"/>
      <c r="N753" s="59" t="n"/>
      <c r="O753" s="59" t="n"/>
      <c r="P753" s="59" t="n"/>
      <c r="Q753" s="59" t="n"/>
      <c r="R753" s="59" t="n"/>
      <c r="S753" s="59" t="n"/>
      <c r="T753" s="59" t="n"/>
      <c r="U753" s="59" t="n"/>
      <c r="V753" s="59" t="n"/>
      <c r="W753" s="59" t="n"/>
      <c r="X753" s="59" t="n"/>
      <c r="Y753" s="59" t="n"/>
      <c r="Z753" s="59" t="n"/>
      <c r="AA753" s="59" t="n"/>
      <c r="AB753" s="59" t="n"/>
      <c r="AC753" s="59" t="n"/>
      <c r="AD753" s="59" t="n"/>
    </row>
    <row r="754">
      <c r="A754" s="59" t="n"/>
      <c r="B754" s="59" t="n"/>
      <c r="C754" s="59" t="n"/>
      <c r="D754" s="59" t="n"/>
      <c r="E754" s="59" t="n"/>
      <c r="F754" s="59" t="n"/>
      <c r="G754" s="60" t="n"/>
      <c r="H754" s="59" t="n"/>
      <c r="I754" s="59" t="n"/>
      <c r="J754" s="59" t="n"/>
      <c r="K754" s="59" t="n"/>
      <c r="L754" s="59" t="n"/>
      <c r="M754" s="59" t="n"/>
      <c r="N754" s="59" t="n"/>
      <c r="O754" s="59" t="n"/>
      <c r="P754" s="59" t="n"/>
      <c r="Q754" s="59" t="n"/>
      <c r="R754" s="59" t="n"/>
      <c r="S754" s="59" t="n"/>
      <c r="T754" s="59" t="n"/>
      <c r="U754" s="59" t="n"/>
      <c r="V754" s="59" t="n"/>
      <c r="W754" s="59" t="n"/>
      <c r="X754" s="59" t="n"/>
      <c r="Y754" s="59" t="n"/>
      <c r="Z754" s="59" t="n"/>
      <c r="AA754" s="59" t="n"/>
      <c r="AB754" s="59" t="n"/>
      <c r="AC754" s="59" t="n"/>
      <c r="AD754" s="59" t="n"/>
    </row>
    <row r="755">
      <c r="A755" s="59" t="n"/>
      <c r="B755" s="59" t="n"/>
      <c r="C755" s="59" t="n"/>
      <c r="D755" s="59" t="n"/>
      <c r="E755" s="59" t="n"/>
      <c r="F755" s="59" t="n"/>
      <c r="G755" s="60" t="n"/>
      <c r="H755" s="59" t="n"/>
      <c r="I755" s="59" t="n"/>
      <c r="J755" s="59" t="n"/>
      <c r="K755" s="59" t="n"/>
      <c r="L755" s="59" t="n"/>
      <c r="M755" s="59" t="n"/>
      <c r="N755" s="59" t="n"/>
      <c r="O755" s="59" t="n"/>
      <c r="P755" s="59" t="n"/>
      <c r="Q755" s="59" t="n"/>
      <c r="R755" s="59" t="n"/>
      <c r="S755" s="59" t="n"/>
      <c r="T755" s="59" t="n"/>
      <c r="U755" s="59" t="n"/>
      <c r="V755" s="59" t="n"/>
      <c r="W755" s="59" t="n"/>
      <c r="X755" s="59" t="n"/>
      <c r="Y755" s="59" t="n"/>
      <c r="Z755" s="59" t="n"/>
      <c r="AA755" s="59" t="n"/>
      <c r="AB755" s="59" t="n"/>
      <c r="AC755" s="59" t="n"/>
      <c r="AD755" s="59" t="n"/>
    </row>
    <row r="756">
      <c r="A756" s="59" t="n"/>
      <c r="B756" s="59" t="n"/>
      <c r="C756" s="59" t="n"/>
      <c r="D756" s="59" t="n"/>
      <c r="E756" s="59" t="n"/>
      <c r="F756" s="59" t="n"/>
      <c r="G756" s="60" t="n"/>
      <c r="H756" s="59" t="n"/>
      <c r="I756" s="59" t="n"/>
      <c r="J756" s="59" t="n"/>
      <c r="K756" s="59" t="n"/>
      <c r="L756" s="59" t="n"/>
      <c r="M756" s="59" t="n"/>
      <c r="N756" s="59" t="n"/>
      <c r="O756" s="59" t="n"/>
      <c r="P756" s="59" t="n"/>
      <c r="Q756" s="59" t="n"/>
      <c r="R756" s="59" t="n"/>
      <c r="S756" s="59" t="n"/>
      <c r="T756" s="59" t="n"/>
      <c r="U756" s="59" t="n"/>
      <c r="V756" s="59" t="n"/>
      <c r="W756" s="59" t="n"/>
      <c r="X756" s="59" t="n"/>
      <c r="Y756" s="59" t="n"/>
      <c r="Z756" s="59" t="n"/>
      <c r="AA756" s="59" t="n"/>
      <c r="AB756" s="59" t="n"/>
      <c r="AC756" s="59" t="n"/>
      <c r="AD756" s="59" t="n"/>
    </row>
    <row r="757">
      <c r="A757" s="59" t="n"/>
      <c r="B757" s="59" t="n"/>
      <c r="C757" s="59" t="n"/>
      <c r="D757" s="59" t="n"/>
      <c r="E757" s="59" t="n"/>
      <c r="F757" s="59" t="n"/>
      <c r="G757" s="60" t="n"/>
      <c r="H757" s="59" t="n"/>
      <c r="I757" s="59" t="n"/>
      <c r="J757" s="59" t="n"/>
      <c r="K757" s="59" t="n"/>
      <c r="L757" s="59" t="n"/>
      <c r="M757" s="59" t="n"/>
      <c r="N757" s="59" t="n"/>
      <c r="O757" s="59" t="n"/>
      <c r="P757" s="59" t="n"/>
      <c r="Q757" s="59" t="n"/>
      <c r="R757" s="59" t="n"/>
      <c r="S757" s="59" t="n"/>
      <c r="T757" s="59" t="n"/>
      <c r="U757" s="59" t="n"/>
      <c r="V757" s="59" t="n"/>
      <c r="W757" s="59" t="n"/>
      <c r="X757" s="59" t="n"/>
      <c r="Y757" s="59" t="n"/>
      <c r="Z757" s="59" t="n"/>
      <c r="AA757" s="59" t="n"/>
      <c r="AB757" s="59" t="n"/>
      <c r="AC757" s="59" t="n"/>
      <c r="AD757" s="59" t="n"/>
    </row>
    <row r="758">
      <c r="A758" s="59" t="n"/>
      <c r="B758" s="59" t="n"/>
      <c r="C758" s="59" t="n"/>
      <c r="D758" s="59" t="n"/>
      <c r="E758" s="59" t="n"/>
      <c r="F758" s="59" t="n"/>
      <c r="G758" s="60" t="n"/>
      <c r="H758" s="59" t="n"/>
      <c r="I758" s="59" t="n"/>
      <c r="J758" s="59" t="n"/>
      <c r="K758" s="59" t="n"/>
      <c r="L758" s="59" t="n"/>
      <c r="M758" s="59" t="n"/>
      <c r="N758" s="59" t="n"/>
      <c r="O758" s="59" t="n"/>
      <c r="P758" s="59" t="n"/>
      <c r="Q758" s="59" t="n"/>
      <c r="R758" s="59" t="n"/>
      <c r="S758" s="59" t="n"/>
      <c r="T758" s="59" t="n"/>
      <c r="U758" s="59" t="n"/>
      <c r="V758" s="59" t="n"/>
      <c r="W758" s="59" t="n"/>
      <c r="X758" s="59" t="n"/>
      <c r="Y758" s="59" t="n"/>
      <c r="Z758" s="59" t="n"/>
      <c r="AA758" s="59" t="n"/>
      <c r="AB758" s="59" t="n"/>
      <c r="AC758" s="59" t="n"/>
      <c r="AD758" s="59" t="n"/>
    </row>
    <row r="759">
      <c r="A759" s="59" t="n"/>
      <c r="B759" s="59" t="n"/>
      <c r="C759" s="59" t="n"/>
      <c r="D759" s="59" t="n"/>
      <c r="E759" s="59" t="n"/>
      <c r="F759" s="59" t="n"/>
      <c r="G759" s="60" t="n"/>
      <c r="H759" s="59" t="n"/>
      <c r="I759" s="59" t="n"/>
      <c r="J759" s="59" t="n"/>
      <c r="K759" s="59" t="n"/>
      <c r="L759" s="59" t="n"/>
      <c r="M759" s="59" t="n"/>
      <c r="N759" s="59" t="n"/>
      <c r="O759" s="59" t="n"/>
      <c r="P759" s="59" t="n"/>
      <c r="Q759" s="59" t="n"/>
      <c r="R759" s="59" t="n"/>
      <c r="S759" s="59" t="n"/>
      <c r="T759" s="59" t="n"/>
      <c r="U759" s="59" t="n"/>
      <c r="V759" s="59" t="n"/>
      <c r="W759" s="59" t="n"/>
      <c r="X759" s="59" t="n"/>
      <c r="Y759" s="59" t="n"/>
      <c r="Z759" s="59" t="n"/>
      <c r="AA759" s="59" t="n"/>
      <c r="AB759" s="59" t="n"/>
      <c r="AC759" s="59" t="n"/>
      <c r="AD759" s="59" t="n"/>
    </row>
    <row r="760">
      <c r="A760" s="59" t="n"/>
      <c r="B760" s="59" t="n"/>
      <c r="C760" s="59" t="n"/>
      <c r="D760" s="59" t="n"/>
      <c r="E760" s="59" t="n"/>
      <c r="F760" s="59" t="n"/>
      <c r="G760" s="60" t="n"/>
      <c r="H760" s="59" t="n"/>
      <c r="I760" s="59" t="n"/>
      <c r="J760" s="59" t="n"/>
      <c r="K760" s="59" t="n"/>
      <c r="L760" s="59" t="n"/>
      <c r="M760" s="59" t="n"/>
      <c r="N760" s="59" t="n"/>
      <c r="O760" s="59" t="n"/>
      <c r="P760" s="59" t="n"/>
      <c r="Q760" s="59" t="n"/>
      <c r="R760" s="59" t="n"/>
      <c r="S760" s="59" t="n"/>
      <c r="T760" s="59" t="n"/>
      <c r="U760" s="59" t="n"/>
      <c r="V760" s="59" t="n"/>
      <c r="W760" s="59" t="n"/>
      <c r="X760" s="59" t="n"/>
      <c r="Y760" s="59" t="n"/>
      <c r="Z760" s="59" t="n"/>
      <c r="AA760" s="59" t="n"/>
      <c r="AB760" s="59" t="n"/>
      <c r="AC760" s="59" t="n"/>
      <c r="AD760" s="59" t="n"/>
    </row>
    <row r="761">
      <c r="A761" s="59" t="n"/>
      <c r="B761" s="59" t="n"/>
      <c r="C761" s="59" t="n"/>
      <c r="D761" s="59" t="n"/>
      <c r="E761" s="59" t="n"/>
      <c r="F761" s="59" t="n"/>
      <c r="G761" s="60" t="n"/>
      <c r="H761" s="59" t="n"/>
      <c r="I761" s="59" t="n"/>
      <c r="J761" s="59" t="n"/>
      <c r="K761" s="59" t="n"/>
      <c r="L761" s="59" t="n"/>
      <c r="M761" s="59" t="n"/>
      <c r="N761" s="59" t="n"/>
      <c r="O761" s="59" t="n"/>
      <c r="P761" s="59" t="n"/>
      <c r="Q761" s="59" t="n"/>
      <c r="R761" s="59" t="n"/>
      <c r="S761" s="59" t="n"/>
      <c r="T761" s="59" t="n"/>
      <c r="U761" s="59" t="n"/>
      <c r="V761" s="59" t="n"/>
      <c r="W761" s="59" t="n"/>
      <c r="X761" s="59" t="n"/>
      <c r="Y761" s="59" t="n"/>
      <c r="Z761" s="59" t="n"/>
      <c r="AA761" s="59" t="n"/>
      <c r="AB761" s="59" t="n"/>
      <c r="AC761" s="59" t="n"/>
      <c r="AD761" s="59" t="n"/>
    </row>
    <row r="762">
      <c r="A762" s="59" t="n"/>
      <c r="B762" s="59" t="n"/>
      <c r="C762" s="59" t="n"/>
      <c r="D762" s="59" t="n"/>
      <c r="E762" s="59" t="n"/>
      <c r="F762" s="59" t="n"/>
      <c r="G762" s="60" t="n"/>
      <c r="H762" s="59" t="n"/>
      <c r="I762" s="59" t="n"/>
      <c r="J762" s="59" t="n"/>
      <c r="K762" s="59" t="n"/>
      <c r="L762" s="59" t="n"/>
      <c r="M762" s="59" t="n"/>
      <c r="N762" s="59" t="n"/>
      <c r="O762" s="59" t="n"/>
      <c r="P762" s="59" t="n"/>
      <c r="Q762" s="59" t="n"/>
      <c r="R762" s="59" t="n"/>
      <c r="S762" s="59" t="n"/>
      <c r="T762" s="59" t="n"/>
      <c r="U762" s="59" t="n"/>
      <c r="V762" s="59" t="n"/>
      <c r="W762" s="59" t="n"/>
      <c r="X762" s="59" t="n"/>
      <c r="Y762" s="59" t="n"/>
      <c r="Z762" s="59" t="n"/>
      <c r="AA762" s="59" t="n"/>
      <c r="AB762" s="59" t="n"/>
      <c r="AC762" s="59" t="n"/>
      <c r="AD762" s="59" t="n"/>
    </row>
    <row r="763">
      <c r="A763" s="59" t="n"/>
      <c r="B763" s="59" t="n"/>
      <c r="C763" s="59" t="n"/>
      <c r="D763" s="59" t="n"/>
      <c r="E763" s="59" t="n"/>
      <c r="F763" s="59" t="n"/>
      <c r="G763" s="60" t="n"/>
      <c r="H763" s="59" t="n"/>
      <c r="I763" s="59" t="n"/>
      <c r="J763" s="59" t="n"/>
      <c r="K763" s="59" t="n"/>
      <c r="L763" s="59" t="n"/>
      <c r="M763" s="59" t="n"/>
      <c r="N763" s="59" t="n"/>
      <c r="O763" s="59" t="n"/>
      <c r="P763" s="59" t="n"/>
      <c r="Q763" s="59" t="n"/>
      <c r="R763" s="59" t="n"/>
      <c r="S763" s="59" t="n"/>
      <c r="T763" s="59" t="n"/>
      <c r="U763" s="59" t="n"/>
      <c r="V763" s="59" t="n"/>
      <c r="W763" s="59" t="n"/>
      <c r="X763" s="59" t="n"/>
      <c r="Y763" s="59" t="n"/>
      <c r="Z763" s="59" t="n"/>
      <c r="AA763" s="59" t="n"/>
      <c r="AB763" s="59" t="n"/>
      <c r="AC763" s="59" t="n"/>
      <c r="AD763" s="59" t="n"/>
    </row>
    <row r="764">
      <c r="A764" s="59" t="n"/>
      <c r="B764" s="59" t="n"/>
      <c r="C764" s="59" t="n"/>
      <c r="D764" s="59" t="n"/>
      <c r="E764" s="59" t="n"/>
      <c r="F764" s="59" t="n"/>
      <c r="G764" s="60" t="n"/>
      <c r="H764" s="59" t="n"/>
      <c r="I764" s="59" t="n"/>
      <c r="J764" s="59" t="n"/>
      <c r="K764" s="59" t="n"/>
      <c r="L764" s="59" t="n"/>
      <c r="M764" s="59" t="n"/>
      <c r="N764" s="59" t="n"/>
      <c r="O764" s="59" t="n"/>
      <c r="P764" s="59" t="n"/>
      <c r="Q764" s="59" t="n"/>
      <c r="R764" s="59" t="n"/>
      <c r="S764" s="59" t="n"/>
      <c r="T764" s="59" t="n"/>
      <c r="U764" s="59" t="n"/>
      <c r="V764" s="59" t="n"/>
      <c r="W764" s="59" t="n"/>
      <c r="X764" s="59" t="n"/>
      <c r="Y764" s="59" t="n"/>
      <c r="Z764" s="59" t="n"/>
      <c r="AA764" s="59" t="n"/>
      <c r="AB764" s="59" t="n"/>
      <c r="AC764" s="59" t="n"/>
      <c r="AD764" s="59" t="n"/>
    </row>
    <row r="765">
      <c r="A765" s="59" t="n"/>
      <c r="B765" s="59" t="n"/>
      <c r="C765" s="59" t="n"/>
      <c r="D765" s="59" t="n"/>
      <c r="E765" s="59" t="n"/>
      <c r="F765" s="59" t="n"/>
      <c r="G765" s="60" t="n"/>
      <c r="H765" s="59" t="n"/>
      <c r="I765" s="59" t="n"/>
      <c r="J765" s="59" t="n"/>
      <c r="K765" s="59" t="n"/>
      <c r="L765" s="59" t="n"/>
      <c r="M765" s="59" t="n"/>
      <c r="N765" s="59" t="n"/>
      <c r="O765" s="59" t="n"/>
      <c r="P765" s="59" t="n"/>
      <c r="Q765" s="59" t="n"/>
      <c r="R765" s="59" t="n"/>
      <c r="S765" s="59" t="n"/>
      <c r="T765" s="59" t="n"/>
      <c r="U765" s="59" t="n"/>
      <c r="V765" s="59" t="n"/>
      <c r="W765" s="59" t="n"/>
      <c r="X765" s="59" t="n"/>
      <c r="Y765" s="59" t="n"/>
      <c r="Z765" s="59" t="n"/>
      <c r="AA765" s="59" t="n"/>
      <c r="AB765" s="59" t="n"/>
      <c r="AC765" s="59" t="n"/>
      <c r="AD765" s="59" t="n"/>
    </row>
    <row r="766">
      <c r="A766" s="59" t="n"/>
      <c r="B766" s="59" t="n"/>
      <c r="C766" s="59" t="n"/>
      <c r="D766" s="59" t="n"/>
      <c r="E766" s="59" t="n"/>
      <c r="F766" s="59" t="n"/>
      <c r="G766" s="60" t="n"/>
      <c r="H766" s="59" t="n"/>
      <c r="I766" s="59" t="n"/>
      <c r="J766" s="59" t="n"/>
      <c r="K766" s="59" t="n"/>
      <c r="L766" s="59" t="n"/>
      <c r="M766" s="59" t="n"/>
      <c r="N766" s="59" t="n"/>
      <c r="O766" s="59" t="n"/>
      <c r="P766" s="59" t="n"/>
      <c r="Q766" s="59" t="n"/>
      <c r="R766" s="59" t="n"/>
      <c r="S766" s="59" t="n"/>
      <c r="T766" s="59" t="n"/>
      <c r="U766" s="59" t="n"/>
      <c r="V766" s="59" t="n"/>
      <c r="W766" s="59" t="n"/>
      <c r="X766" s="59" t="n"/>
      <c r="Y766" s="59" t="n"/>
      <c r="Z766" s="59" t="n"/>
      <c r="AA766" s="59" t="n"/>
      <c r="AB766" s="59" t="n"/>
      <c r="AC766" s="59" t="n"/>
      <c r="AD766" s="59" t="n"/>
    </row>
    <row r="767">
      <c r="A767" s="59" t="n"/>
      <c r="B767" s="59" t="n"/>
      <c r="C767" s="59" t="n"/>
      <c r="D767" s="59" t="n"/>
      <c r="E767" s="59" t="n"/>
      <c r="F767" s="59" t="n"/>
      <c r="G767" s="60" t="n"/>
      <c r="H767" s="59" t="n"/>
      <c r="I767" s="59" t="n"/>
      <c r="J767" s="59" t="n"/>
      <c r="K767" s="59" t="n"/>
      <c r="L767" s="59" t="n"/>
      <c r="M767" s="59" t="n"/>
      <c r="N767" s="59" t="n"/>
      <c r="O767" s="59" t="n"/>
      <c r="P767" s="59" t="n"/>
      <c r="Q767" s="59" t="n"/>
      <c r="R767" s="59" t="n"/>
      <c r="S767" s="59" t="n"/>
      <c r="T767" s="59" t="n"/>
      <c r="U767" s="59" t="n"/>
      <c r="V767" s="59" t="n"/>
      <c r="W767" s="59" t="n"/>
      <c r="X767" s="59" t="n"/>
      <c r="Y767" s="59" t="n"/>
      <c r="Z767" s="59" t="n"/>
      <c r="AA767" s="59" t="n"/>
      <c r="AB767" s="59" t="n"/>
      <c r="AC767" s="59" t="n"/>
      <c r="AD767" s="59" t="n"/>
    </row>
    <row r="768">
      <c r="A768" s="59" t="n"/>
      <c r="B768" s="59" t="n"/>
      <c r="C768" s="59" t="n"/>
      <c r="D768" s="59" t="n"/>
      <c r="E768" s="59" t="n"/>
      <c r="F768" s="59" t="n"/>
      <c r="G768" s="60" t="n"/>
      <c r="H768" s="59" t="n"/>
      <c r="I768" s="59" t="n"/>
      <c r="J768" s="59" t="n"/>
      <c r="K768" s="59" t="n"/>
      <c r="L768" s="59" t="n"/>
      <c r="M768" s="59" t="n"/>
      <c r="N768" s="59" t="n"/>
      <c r="O768" s="59" t="n"/>
      <c r="P768" s="59" t="n"/>
      <c r="Q768" s="59" t="n"/>
      <c r="R768" s="59" t="n"/>
      <c r="S768" s="59" t="n"/>
      <c r="T768" s="59" t="n"/>
      <c r="U768" s="59" t="n"/>
      <c r="V768" s="59" t="n"/>
      <c r="W768" s="59" t="n"/>
      <c r="X768" s="59" t="n"/>
      <c r="Y768" s="59" t="n"/>
      <c r="Z768" s="59" t="n"/>
      <c r="AA768" s="59" t="n"/>
      <c r="AB768" s="59" t="n"/>
      <c r="AC768" s="59" t="n"/>
      <c r="AD768" s="59" t="n"/>
    </row>
    <row r="769">
      <c r="A769" s="59" t="n"/>
      <c r="B769" s="59" t="n"/>
      <c r="C769" s="59" t="n"/>
      <c r="D769" s="59" t="n"/>
      <c r="E769" s="59" t="n"/>
      <c r="F769" s="59" t="n"/>
      <c r="G769" s="60" t="n"/>
      <c r="H769" s="59" t="n"/>
      <c r="I769" s="59" t="n"/>
      <c r="J769" s="59" t="n"/>
      <c r="K769" s="59" t="n"/>
      <c r="L769" s="59" t="n"/>
      <c r="M769" s="59" t="n"/>
      <c r="N769" s="59" t="n"/>
      <c r="O769" s="59" t="n"/>
      <c r="P769" s="59" t="n"/>
      <c r="Q769" s="59" t="n"/>
      <c r="R769" s="59" t="n"/>
      <c r="S769" s="59" t="n"/>
      <c r="T769" s="59" t="n"/>
      <c r="U769" s="59" t="n"/>
      <c r="V769" s="59" t="n"/>
      <c r="W769" s="59" t="n"/>
      <c r="X769" s="59" t="n"/>
      <c r="Y769" s="59" t="n"/>
      <c r="Z769" s="59" t="n"/>
      <c r="AA769" s="59" t="n"/>
      <c r="AB769" s="59" t="n"/>
      <c r="AC769" s="59" t="n"/>
      <c r="AD769" s="59" t="n"/>
    </row>
    <row r="770">
      <c r="A770" s="59" t="n"/>
      <c r="B770" s="59" t="n"/>
      <c r="C770" s="59" t="n"/>
      <c r="D770" s="59" t="n"/>
      <c r="E770" s="59" t="n"/>
      <c r="F770" s="59" t="n"/>
      <c r="G770" s="60" t="n"/>
      <c r="H770" s="59" t="n"/>
      <c r="I770" s="59" t="n"/>
      <c r="J770" s="59" t="n"/>
      <c r="K770" s="59" t="n"/>
      <c r="L770" s="59" t="n"/>
      <c r="M770" s="59" t="n"/>
      <c r="N770" s="59" t="n"/>
      <c r="O770" s="59" t="n"/>
      <c r="P770" s="59" t="n"/>
      <c r="Q770" s="59" t="n"/>
      <c r="R770" s="59" t="n"/>
      <c r="S770" s="59" t="n"/>
      <c r="T770" s="59" t="n"/>
      <c r="U770" s="59" t="n"/>
      <c r="V770" s="59" t="n"/>
      <c r="W770" s="59" t="n"/>
      <c r="X770" s="59" t="n"/>
      <c r="Y770" s="59" t="n"/>
      <c r="Z770" s="59" t="n"/>
      <c r="AA770" s="59" t="n"/>
      <c r="AB770" s="59" t="n"/>
      <c r="AC770" s="59" t="n"/>
      <c r="AD770" s="59" t="n"/>
    </row>
    <row r="771">
      <c r="A771" s="59" t="n"/>
      <c r="B771" s="59" t="n"/>
      <c r="C771" s="59" t="n"/>
      <c r="D771" s="59" t="n"/>
      <c r="E771" s="59" t="n"/>
      <c r="F771" s="59" t="n"/>
      <c r="G771" s="60" t="n"/>
      <c r="H771" s="59" t="n"/>
      <c r="I771" s="59" t="n"/>
      <c r="J771" s="59" t="n"/>
      <c r="K771" s="59" t="n"/>
      <c r="L771" s="59" t="n"/>
      <c r="M771" s="59" t="n"/>
      <c r="N771" s="59" t="n"/>
      <c r="O771" s="59" t="n"/>
      <c r="P771" s="59" t="n"/>
      <c r="Q771" s="59" t="n"/>
      <c r="R771" s="59" t="n"/>
      <c r="S771" s="59" t="n"/>
      <c r="T771" s="59" t="n"/>
      <c r="U771" s="59" t="n"/>
      <c r="V771" s="59" t="n"/>
      <c r="W771" s="59" t="n"/>
      <c r="X771" s="59" t="n"/>
      <c r="Y771" s="59" t="n"/>
      <c r="Z771" s="59" t="n"/>
      <c r="AA771" s="59" t="n"/>
      <c r="AB771" s="59" t="n"/>
      <c r="AC771" s="59" t="n"/>
      <c r="AD771" s="59" t="n"/>
    </row>
    <row r="772">
      <c r="A772" s="59" t="n"/>
      <c r="B772" s="59" t="n"/>
      <c r="C772" s="59" t="n"/>
      <c r="D772" s="59" t="n"/>
      <c r="E772" s="59" t="n"/>
      <c r="F772" s="59" t="n"/>
      <c r="G772" s="60" t="n"/>
      <c r="H772" s="59" t="n"/>
      <c r="I772" s="59" t="n"/>
      <c r="J772" s="59" t="n"/>
      <c r="K772" s="59" t="n"/>
      <c r="L772" s="59" t="n"/>
      <c r="M772" s="59" t="n"/>
      <c r="N772" s="59" t="n"/>
      <c r="O772" s="59" t="n"/>
      <c r="P772" s="59" t="n"/>
      <c r="Q772" s="59" t="n"/>
      <c r="R772" s="59" t="n"/>
      <c r="S772" s="59" t="n"/>
      <c r="T772" s="59" t="n"/>
      <c r="U772" s="59" t="n"/>
      <c r="V772" s="59" t="n"/>
      <c r="W772" s="59" t="n"/>
      <c r="X772" s="59" t="n"/>
      <c r="Y772" s="59" t="n"/>
      <c r="Z772" s="59" t="n"/>
      <c r="AA772" s="59" t="n"/>
      <c r="AB772" s="59" t="n"/>
      <c r="AC772" s="59" t="n"/>
      <c r="AD772" s="59" t="n"/>
    </row>
    <row r="773">
      <c r="A773" s="59" t="n"/>
      <c r="B773" s="59" t="n"/>
      <c r="C773" s="59" t="n"/>
      <c r="D773" s="59" t="n"/>
      <c r="E773" s="59" t="n"/>
      <c r="F773" s="59" t="n"/>
      <c r="G773" s="60" t="n"/>
      <c r="H773" s="59" t="n"/>
      <c r="I773" s="59" t="n"/>
      <c r="J773" s="59" t="n"/>
      <c r="K773" s="59" t="n"/>
      <c r="L773" s="59" t="n"/>
      <c r="M773" s="59" t="n"/>
      <c r="N773" s="59" t="n"/>
      <c r="O773" s="59" t="n"/>
      <c r="P773" s="59" t="n"/>
      <c r="Q773" s="59" t="n"/>
      <c r="R773" s="59" t="n"/>
      <c r="S773" s="59" t="n"/>
      <c r="T773" s="59" t="n"/>
      <c r="U773" s="59" t="n"/>
      <c r="V773" s="59" t="n"/>
      <c r="W773" s="59" t="n"/>
      <c r="X773" s="59" t="n"/>
      <c r="Y773" s="59" t="n"/>
      <c r="Z773" s="59" t="n"/>
      <c r="AA773" s="59" t="n"/>
      <c r="AB773" s="59" t="n"/>
      <c r="AC773" s="59" t="n"/>
      <c r="AD773" s="59" t="n"/>
    </row>
    <row r="774">
      <c r="A774" s="59" t="n"/>
      <c r="B774" s="59" t="n"/>
      <c r="C774" s="59" t="n"/>
      <c r="D774" s="59" t="n"/>
      <c r="E774" s="59" t="n"/>
      <c r="F774" s="59" t="n"/>
      <c r="G774" s="60" t="n"/>
      <c r="H774" s="59" t="n"/>
      <c r="I774" s="59" t="n"/>
      <c r="J774" s="59" t="n"/>
      <c r="K774" s="59" t="n"/>
      <c r="L774" s="59" t="n"/>
      <c r="M774" s="59" t="n"/>
      <c r="N774" s="59" t="n"/>
      <c r="O774" s="59" t="n"/>
      <c r="P774" s="59" t="n"/>
      <c r="Q774" s="59" t="n"/>
      <c r="R774" s="59" t="n"/>
      <c r="S774" s="59" t="n"/>
      <c r="T774" s="59" t="n"/>
      <c r="U774" s="59" t="n"/>
      <c r="V774" s="59" t="n"/>
      <c r="W774" s="59" t="n"/>
      <c r="X774" s="59" t="n"/>
      <c r="Y774" s="59" t="n"/>
      <c r="Z774" s="59" t="n"/>
      <c r="AA774" s="59" t="n"/>
      <c r="AB774" s="59" t="n"/>
      <c r="AC774" s="59" t="n"/>
      <c r="AD774" s="59" t="n"/>
    </row>
    <row r="775">
      <c r="A775" s="59" t="n"/>
      <c r="B775" s="59" t="n"/>
      <c r="C775" s="59" t="n"/>
      <c r="D775" s="59" t="n"/>
      <c r="E775" s="59" t="n"/>
      <c r="F775" s="59" t="n"/>
      <c r="G775" s="60" t="n"/>
      <c r="H775" s="59" t="n"/>
      <c r="I775" s="59" t="n"/>
      <c r="J775" s="59" t="n"/>
      <c r="K775" s="59" t="n"/>
      <c r="L775" s="59" t="n"/>
      <c r="M775" s="59" t="n"/>
      <c r="N775" s="59" t="n"/>
      <c r="O775" s="59" t="n"/>
      <c r="P775" s="59" t="n"/>
      <c r="Q775" s="59" t="n"/>
      <c r="R775" s="59" t="n"/>
      <c r="S775" s="59" t="n"/>
      <c r="T775" s="59" t="n"/>
      <c r="U775" s="59" t="n"/>
      <c r="V775" s="59" t="n"/>
      <c r="W775" s="59" t="n"/>
      <c r="X775" s="59" t="n"/>
      <c r="Y775" s="59" t="n"/>
      <c r="Z775" s="59" t="n"/>
      <c r="AA775" s="59" t="n"/>
      <c r="AB775" s="59" t="n"/>
      <c r="AC775" s="59" t="n"/>
      <c r="AD775" s="59" t="n"/>
    </row>
    <row r="776">
      <c r="A776" s="59" t="n"/>
      <c r="B776" s="59" t="n"/>
      <c r="C776" s="59" t="n"/>
      <c r="D776" s="59" t="n"/>
      <c r="E776" s="59" t="n"/>
      <c r="F776" s="59" t="n"/>
      <c r="G776" s="60" t="n"/>
      <c r="H776" s="59" t="n"/>
      <c r="I776" s="59" t="n"/>
      <c r="J776" s="59" t="n"/>
      <c r="K776" s="59" t="n"/>
      <c r="L776" s="59" t="n"/>
      <c r="M776" s="59" t="n"/>
      <c r="N776" s="59" t="n"/>
      <c r="O776" s="59" t="n"/>
      <c r="P776" s="59" t="n"/>
      <c r="Q776" s="59" t="n"/>
      <c r="R776" s="59" t="n"/>
      <c r="S776" s="59" t="n"/>
      <c r="T776" s="59" t="n"/>
      <c r="U776" s="59" t="n"/>
      <c r="V776" s="59" t="n"/>
      <c r="W776" s="59" t="n"/>
      <c r="X776" s="59" t="n"/>
      <c r="Y776" s="59" t="n"/>
      <c r="Z776" s="59" t="n"/>
      <c r="AA776" s="59" t="n"/>
      <c r="AB776" s="59" t="n"/>
      <c r="AC776" s="59" t="n"/>
      <c r="AD776" s="59" t="n"/>
    </row>
    <row r="777">
      <c r="A777" s="59" t="n"/>
      <c r="B777" s="59" t="n"/>
      <c r="C777" s="59" t="n"/>
      <c r="D777" s="59" t="n"/>
      <c r="E777" s="59" t="n"/>
      <c r="F777" s="59" t="n"/>
      <c r="G777" s="60" t="n"/>
      <c r="H777" s="59" t="n"/>
      <c r="I777" s="59" t="n"/>
      <c r="J777" s="59" t="n"/>
      <c r="K777" s="59" t="n"/>
      <c r="L777" s="59" t="n"/>
      <c r="M777" s="59" t="n"/>
      <c r="N777" s="59" t="n"/>
      <c r="O777" s="59" t="n"/>
      <c r="P777" s="59" t="n"/>
      <c r="Q777" s="59" t="n"/>
      <c r="R777" s="59" t="n"/>
      <c r="S777" s="59" t="n"/>
      <c r="T777" s="59" t="n"/>
      <c r="U777" s="59" t="n"/>
      <c r="V777" s="59" t="n"/>
      <c r="W777" s="59" t="n"/>
      <c r="X777" s="59" t="n"/>
      <c r="Y777" s="59" t="n"/>
      <c r="Z777" s="59" t="n"/>
      <c r="AA777" s="59" t="n"/>
      <c r="AB777" s="59" t="n"/>
      <c r="AC777" s="59" t="n"/>
      <c r="AD777" s="59" t="n"/>
    </row>
    <row r="778">
      <c r="A778" s="59" t="n"/>
      <c r="B778" s="59" t="n"/>
      <c r="C778" s="59" t="n"/>
      <c r="D778" s="59" t="n"/>
      <c r="E778" s="59" t="n"/>
      <c r="F778" s="59" t="n"/>
      <c r="G778" s="60" t="n"/>
      <c r="H778" s="59" t="n"/>
      <c r="I778" s="59" t="n"/>
      <c r="J778" s="59" t="n"/>
      <c r="K778" s="59" t="n"/>
      <c r="L778" s="59" t="n"/>
      <c r="M778" s="59" t="n"/>
      <c r="N778" s="59" t="n"/>
      <c r="O778" s="59" t="n"/>
      <c r="P778" s="59" t="n"/>
      <c r="Q778" s="59" t="n"/>
      <c r="R778" s="59" t="n"/>
      <c r="S778" s="59" t="n"/>
      <c r="T778" s="59" t="n"/>
      <c r="U778" s="59" t="n"/>
      <c r="V778" s="59" t="n"/>
      <c r="W778" s="59" t="n"/>
      <c r="X778" s="59" t="n"/>
      <c r="Y778" s="59" t="n"/>
      <c r="Z778" s="59" t="n"/>
      <c r="AA778" s="59" t="n"/>
      <c r="AB778" s="59" t="n"/>
      <c r="AC778" s="59" t="n"/>
      <c r="AD778" s="59" t="n"/>
    </row>
    <row r="779">
      <c r="A779" s="59" t="n"/>
      <c r="B779" s="59" t="n"/>
      <c r="C779" s="59" t="n"/>
      <c r="D779" s="59" t="n"/>
      <c r="E779" s="59" t="n"/>
      <c r="F779" s="59" t="n"/>
      <c r="G779" s="60" t="n"/>
      <c r="H779" s="59" t="n"/>
      <c r="I779" s="59" t="n"/>
      <c r="J779" s="59" t="n"/>
      <c r="K779" s="59" t="n"/>
      <c r="L779" s="59" t="n"/>
      <c r="M779" s="59" t="n"/>
      <c r="N779" s="59" t="n"/>
      <c r="O779" s="59" t="n"/>
      <c r="P779" s="59" t="n"/>
      <c r="Q779" s="59" t="n"/>
      <c r="R779" s="59" t="n"/>
      <c r="S779" s="59" t="n"/>
      <c r="T779" s="59" t="n"/>
      <c r="U779" s="59" t="n"/>
      <c r="V779" s="59" t="n"/>
      <c r="W779" s="59" t="n"/>
      <c r="X779" s="59" t="n"/>
      <c r="Y779" s="59" t="n"/>
      <c r="Z779" s="59" t="n"/>
      <c r="AA779" s="59" t="n"/>
      <c r="AB779" s="59" t="n"/>
      <c r="AC779" s="59" t="n"/>
      <c r="AD779" s="59" t="n"/>
    </row>
    <row r="780">
      <c r="A780" s="59" t="n"/>
      <c r="B780" s="59" t="n"/>
      <c r="C780" s="59" t="n"/>
      <c r="D780" s="59" t="n"/>
      <c r="E780" s="59" t="n"/>
      <c r="F780" s="59" t="n"/>
      <c r="G780" s="60" t="n"/>
      <c r="H780" s="59" t="n"/>
      <c r="I780" s="59" t="n"/>
      <c r="J780" s="59" t="n"/>
      <c r="K780" s="59" t="n"/>
      <c r="L780" s="59" t="n"/>
      <c r="M780" s="59" t="n"/>
      <c r="N780" s="59" t="n"/>
      <c r="O780" s="59" t="n"/>
      <c r="P780" s="59" t="n"/>
      <c r="Q780" s="59" t="n"/>
      <c r="R780" s="59" t="n"/>
      <c r="S780" s="59" t="n"/>
      <c r="T780" s="59" t="n"/>
      <c r="U780" s="59" t="n"/>
      <c r="V780" s="59" t="n"/>
      <c r="W780" s="59" t="n"/>
      <c r="X780" s="59" t="n"/>
      <c r="Y780" s="59" t="n"/>
      <c r="Z780" s="59" t="n"/>
      <c r="AA780" s="59" t="n"/>
      <c r="AB780" s="59" t="n"/>
      <c r="AC780" s="59" t="n"/>
      <c r="AD780" s="59" t="n"/>
    </row>
    <row r="781">
      <c r="A781" s="59" t="n"/>
      <c r="B781" s="59" t="n"/>
      <c r="C781" s="59" t="n"/>
      <c r="D781" s="59" t="n"/>
      <c r="E781" s="59" t="n"/>
      <c r="F781" s="59" t="n"/>
      <c r="G781" s="60" t="n"/>
      <c r="H781" s="59" t="n"/>
      <c r="I781" s="59" t="n"/>
      <c r="J781" s="59" t="n"/>
      <c r="K781" s="59" t="n"/>
      <c r="L781" s="59" t="n"/>
      <c r="M781" s="59" t="n"/>
      <c r="N781" s="59" t="n"/>
      <c r="O781" s="59" t="n"/>
      <c r="P781" s="59" t="n"/>
      <c r="Q781" s="59" t="n"/>
      <c r="R781" s="59" t="n"/>
      <c r="S781" s="59" t="n"/>
      <c r="T781" s="59" t="n"/>
      <c r="U781" s="59" t="n"/>
      <c r="V781" s="59" t="n"/>
      <c r="W781" s="59" t="n"/>
      <c r="X781" s="59" t="n"/>
      <c r="Y781" s="59" t="n"/>
      <c r="Z781" s="59" t="n"/>
      <c r="AA781" s="59" t="n"/>
      <c r="AB781" s="59" t="n"/>
      <c r="AC781" s="59" t="n"/>
      <c r="AD781" s="59" t="n"/>
    </row>
    <row r="782">
      <c r="A782" s="59" t="n"/>
      <c r="B782" s="59" t="n"/>
      <c r="C782" s="59" t="n"/>
      <c r="D782" s="59" t="n"/>
      <c r="E782" s="59" t="n"/>
      <c r="F782" s="59" t="n"/>
      <c r="G782" s="60" t="n"/>
      <c r="H782" s="59" t="n"/>
      <c r="I782" s="59" t="n"/>
      <c r="J782" s="59" t="n"/>
      <c r="K782" s="59" t="n"/>
      <c r="L782" s="59" t="n"/>
      <c r="M782" s="59" t="n"/>
      <c r="N782" s="59" t="n"/>
      <c r="O782" s="59" t="n"/>
      <c r="P782" s="59" t="n"/>
      <c r="Q782" s="59" t="n"/>
      <c r="R782" s="59" t="n"/>
      <c r="S782" s="59" t="n"/>
      <c r="T782" s="59" t="n"/>
      <c r="U782" s="59" t="n"/>
      <c r="V782" s="59" t="n"/>
      <c r="W782" s="59" t="n"/>
      <c r="X782" s="59" t="n"/>
      <c r="Y782" s="59" t="n"/>
      <c r="Z782" s="59" t="n"/>
      <c r="AA782" s="59" t="n"/>
      <c r="AB782" s="59" t="n"/>
      <c r="AC782" s="59" t="n"/>
      <c r="AD782" s="59" t="n"/>
    </row>
    <row r="783">
      <c r="A783" s="59" t="n"/>
      <c r="B783" s="59" t="n"/>
      <c r="C783" s="59" t="n"/>
      <c r="D783" s="59" t="n"/>
      <c r="E783" s="59" t="n"/>
      <c r="F783" s="59" t="n"/>
      <c r="G783" s="60" t="n"/>
      <c r="H783" s="59" t="n"/>
      <c r="I783" s="59" t="n"/>
      <c r="J783" s="59" t="n"/>
      <c r="K783" s="59" t="n"/>
      <c r="L783" s="59" t="n"/>
      <c r="M783" s="59" t="n"/>
      <c r="N783" s="59" t="n"/>
      <c r="O783" s="59" t="n"/>
      <c r="P783" s="59" t="n"/>
      <c r="Q783" s="59" t="n"/>
      <c r="R783" s="59" t="n"/>
      <c r="S783" s="59" t="n"/>
      <c r="T783" s="59" t="n"/>
      <c r="U783" s="59" t="n"/>
      <c r="V783" s="59" t="n"/>
      <c r="W783" s="59" t="n"/>
      <c r="X783" s="59" t="n"/>
      <c r="Y783" s="59" t="n"/>
      <c r="Z783" s="59" t="n"/>
      <c r="AA783" s="59" t="n"/>
      <c r="AB783" s="59" t="n"/>
      <c r="AC783" s="59" t="n"/>
      <c r="AD783" s="59" t="n"/>
    </row>
    <row r="784">
      <c r="A784" s="59" t="n"/>
      <c r="B784" s="59" t="n"/>
      <c r="C784" s="59" t="n"/>
      <c r="D784" s="59" t="n"/>
      <c r="E784" s="59" t="n"/>
      <c r="F784" s="59" t="n"/>
      <c r="G784" s="60" t="n"/>
      <c r="H784" s="59" t="n"/>
      <c r="I784" s="59" t="n"/>
      <c r="J784" s="59" t="n"/>
      <c r="K784" s="59" t="n"/>
      <c r="L784" s="59" t="n"/>
      <c r="M784" s="59" t="n"/>
      <c r="N784" s="59" t="n"/>
      <c r="O784" s="59" t="n"/>
      <c r="P784" s="59" t="n"/>
      <c r="Q784" s="59" t="n"/>
      <c r="R784" s="59" t="n"/>
      <c r="S784" s="59" t="n"/>
      <c r="T784" s="59" t="n"/>
      <c r="U784" s="59" t="n"/>
      <c r="V784" s="59" t="n"/>
      <c r="W784" s="59" t="n"/>
      <c r="X784" s="59" t="n"/>
      <c r="Y784" s="59" t="n"/>
      <c r="Z784" s="59" t="n"/>
      <c r="AA784" s="59" t="n"/>
      <c r="AB784" s="59" t="n"/>
      <c r="AC784" s="59" t="n"/>
      <c r="AD784" s="59" t="n"/>
    </row>
    <row r="785">
      <c r="A785" s="59" t="n"/>
      <c r="B785" s="59" t="n"/>
      <c r="C785" s="59" t="n"/>
      <c r="D785" s="59" t="n"/>
      <c r="E785" s="59" t="n"/>
      <c r="F785" s="59" t="n"/>
      <c r="G785" s="60" t="n"/>
      <c r="H785" s="59" t="n"/>
      <c r="I785" s="59" t="n"/>
      <c r="J785" s="59" t="n"/>
      <c r="K785" s="59" t="n"/>
      <c r="L785" s="59" t="n"/>
      <c r="M785" s="59" t="n"/>
      <c r="N785" s="59" t="n"/>
      <c r="O785" s="59" t="n"/>
      <c r="P785" s="59" t="n"/>
      <c r="Q785" s="59" t="n"/>
      <c r="R785" s="59" t="n"/>
      <c r="S785" s="59" t="n"/>
      <c r="T785" s="59" t="n"/>
      <c r="U785" s="59" t="n"/>
      <c r="V785" s="59" t="n"/>
      <c r="W785" s="59" t="n"/>
      <c r="X785" s="59" t="n"/>
      <c r="Y785" s="59" t="n"/>
      <c r="Z785" s="59" t="n"/>
      <c r="AA785" s="59" t="n"/>
      <c r="AB785" s="59" t="n"/>
      <c r="AC785" s="59" t="n"/>
      <c r="AD785" s="59" t="n"/>
    </row>
    <row r="786">
      <c r="A786" s="59" t="n"/>
      <c r="B786" s="59" t="n"/>
      <c r="C786" s="59" t="n"/>
      <c r="D786" s="59" t="n"/>
      <c r="E786" s="59" t="n"/>
      <c r="F786" s="59" t="n"/>
      <c r="G786" s="60" t="n"/>
      <c r="H786" s="59" t="n"/>
      <c r="I786" s="59" t="n"/>
      <c r="J786" s="59" t="n"/>
      <c r="K786" s="59" t="n"/>
      <c r="L786" s="59" t="n"/>
      <c r="M786" s="59" t="n"/>
      <c r="N786" s="59" t="n"/>
      <c r="O786" s="59" t="n"/>
      <c r="P786" s="59" t="n"/>
      <c r="Q786" s="59" t="n"/>
      <c r="R786" s="59" t="n"/>
      <c r="S786" s="59" t="n"/>
      <c r="T786" s="59" t="n"/>
      <c r="U786" s="59" t="n"/>
      <c r="V786" s="59" t="n"/>
      <c r="W786" s="59" t="n"/>
      <c r="X786" s="59" t="n"/>
      <c r="Y786" s="59" t="n"/>
      <c r="Z786" s="59" t="n"/>
      <c r="AA786" s="59" t="n"/>
      <c r="AB786" s="59" t="n"/>
      <c r="AC786" s="59" t="n"/>
      <c r="AD786" s="59" t="n"/>
    </row>
    <row r="787">
      <c r="A787" s="59" t="n"/>
      <c r="B787" s="59" t="n"/>
      <c r="C787" s="59" t="n"/>
      <c r="D787" s="59" t="n"/>
      <c r="E787" s="59" t="n"/>
      <c r="F787" s="59" t="n"/>
      <c r="G787" s="60" t="n"/>
      <c r="H787" s="59" t="n"/>
      <c r="I787" s="59" t="n"/>
      <c r="J787" s="59" t="n"/>
      <c r="K787" s="59" t="n"/>
      <c r="L787" s="59" t="n"/>
      <c r="M787" s="59" t="n"/>
      <c r="N787" s="59" t="n"/>
      <c r="O787" s="59" t="n"/>
      <c r="P787" s="59" t="n"/>
      <c r="Q787" s="59" t="n"/>
      <c r="R787" s="59" t="n"/>
      <c r="S787" s="59" t="n"/>
      <c r="T787" s="59" t="n"/>
      <c r="U787" s="59" t="n"/>
      <c r="V787" s="59" t="n"/>
      <c r="W787" s="59" t="n"/>
      <c r="X787" s="59" t="n"/>
      <c r="Y787" s="59" t="n"/>
      <c r="Z787" s="59" t="n"/>
      <c r="AA787" s="59" t="n"/>
      <c r="AB787" s="59" t="n"/>
      <c r="AC787" s="59" t="n"/>
      <c r="AD787" s="59" t="n"/>
    </row>
    <row r="788">
      <c r="A788" s="59" t="n"/>
      <c r="B788" s="59" t="n"/>
      <c r="C788" s="59" t="n"/>
      <c r="D788" s="59" t="n"/>
      <c r="E788" s="59" t="n"/>
      <c r="F788" s="59" t="n"/>
      <c r="G788" s="60" t="n"/>
      <c r="H788" s="59" t="n"/>
      <c r="I788" s="59" t="n"/>
      <c r="J788" s="59" t="n"/>
      <c r="K788" s="59" t="n"/>
      <c r="L788" s="59" t="n"/>
      <c r="M788" s="59" t="n"/>
      <c r="N788" s="59" t="n"/>
      <c r="O788" s="59" t="n"/>
      <c r="P788" s="59" t="n"/>
      <c r="Q788" s="59" t="n"/>
      <c r="R788" s="59" t="n"/>
      <c r="S788" s="59" t="n"/>
      <c r="T788" s="59" t="n"/>
      <c r="U788" s="59" t="n"/>
      <c r="V788" s="59" t="n"/>
      <c r="W788" s="59" t="n"/>
      <c r="X788" s="59" t="n"/>
      <c r="Y788" s="59" t="n"/>
      <c r="Z788" s="59" t="n"/>
      <c r="AA788" s="59" t="n"/>
      <c r="AB788" s="59" t="n"/>
      <c r="AC788" s="59" t="n"/>
      <c r="AD788" s="59" t="n"/>
    </row>
    <row r="789">
      <c r="A789" s="59" t="n"/>
      <c r="B789" s="59" t="n"/>
      <c r="C789" s="59" t="n"/>
      <c r="D789" s="59" t="n"/>
      <c r="E789" s="59" t="n"/>
      <c r="F789" s="59" t="n"/>
      <c r="G789" s="60" t="n"/>
      <c r="H789" s="59" t="n"/>
      <c r="I789" s="59" t="n"/>
      <c r="J789" s="59" t="n"/>
      <c r="K789" s="59" t="n"/>
      <c r="L789" s="59" t="n"/>
      <c r="M789" s="59" t="n"/>
      <c r="N789" s="59" t="n"/>
      <c r="O789" s="59" t="n"/>
      <c r="P789" s="59" t="n"/>
      <c r="Q789" s="59" t="n"/>
      <c r="R789" s="59" t="n"/>
      <c r="S789" s="59" t="n"/>
      <c r="T789" s="59" t="n"/>
      <c r="U789" s="59" t="n"/>
      <c r="V789" s="59" t="n"/>
      <c r="W789" s="59" t="n"/>
      <c r="X789" s="59" t="n"/>
      <c r="Y789" s="59" t="n"/>
      <c r="Z789" s="59" t="n"/>
      <c r="AA789" s="59" t="n"/>
      <c r="AB789" s="59" t="n"/>
      <c r="AC789" s="59" t="n"/>
      <c r="AD789" s="59" t="n"/>
    </row>
    <row r="790">
      <c r="A790" s="59" t="n"/>
      <c r="B790" s="59" t="n"/>
      <c r="C790" s="59" t="n"/>
      <c r="D790" s="59" t="n"/>
      <c r="E790" s="59" t="n"/>
      <c r="F790" s="59" t="n"/>
      <c r="G790" s="60" t="n"/>
      <c r="H790" s="59" t="n"/>
      <c r="I790" s="59" t="n"/>
      <c r="J790" s="59" t="n"/>
      <c r="K790" s="59" t="n"/>
      <c r="L790" s="59" t="n"/>
      <c r="M790" s="59" t="n"/>
      <c r="N790" s="59" t="n"/>
      <c r="O790" s="59" t="n"/>
      <c r="P790" s="59" t="n"/>
      <c r="Q790" s="59" t="n"/>
      <c r="R790" s="59" t="n"/>
      <c r="S790" s="59" t="n"/>
      <c r="T790" s="59" t="n"/>
      <c r="U790" s="59" t="n"/>
      <c r="V790" s="59" t="n"/>
      <c r="W790" s="59" t="n"/>
      <c r="X790" s="59" t="n"/>
      <c r="Y790" s="59" t="n"/>
      <c r="Z790" s="59" t="n"/>
      <c r="AA790" s="59" t="n"/>
      <c r="AB790" s="59" t="n"/>
      <c r="AC790" s="59" t="n"/>
      <c r="AD790" s="59" t="n"/>
    </row>
    <row r="791">
      <c r="A791" s="59" t="n"/>
      <c r="B791" s="59" t="n"/>
      <c r="C791" s="59" t="n"/>
      <c r="D791" s="59" t="n"/>
      <c r="E791" s="59" t="n"/>
      <c r="F791" s="59" t="n"/>
      <c r="G791" s="60" t="n"/>
      <c r="H791" s="59" t="n"/>
      <c r="I791" s="59" t="n"/>
      <c r="J791" s="59" t="n"/>
      <c r="K791" s="59" t="n"/>
      <c r="L791" s="59" t="n"/>
      <c r="M791" s="59" t="n"/>
      <c r="N791" s="59" t="n"/>
      <c r="O791" s="59" t="n"/>
      <c r="P791" s="59" t="n"/>
      <c r="Q791" s="59" t="n"/>
      <c r="R791" s="59" t="n"/>
      <c r="S791" s="59" t="n"/>
      <c r="T791" s="59" t="n"/>
      <c r="U791" s="59" t="n"/>
      <c r="V791" s="59" t="n"/>
      <c r="W791" s="59" t="n"/>
      <c r="X791" s="59" t="n"/>
      <c r="Y791" s="59" t="n"/>
      <c r="Z791" s="59" t="n"/>
      <c r="AA791" s="59" t="n"/>
      <c r="AB791" s="59" t="n"/>
      <c r="AC791" s="59" t="n"/>
      <c r="AD791" s="59" t="n"/>
    </row>
    <row r="792">
      <c r="A792" s="59" t="n"/>
      <c r="B792" s="59" t="n"/>
      <c r="C792" s="59" t="n"/>
      <c r="D792" s="59" t="n"/>
      <c r="E792" s="59" t="n"/>
      <c r="F792" s="59" t="n"/>
      <c r="G792" s="60" t="n"/>
      <c r="H792" s="59" t="n"/>
      <c r="I792" s="59" t="n"/>
      <c r="J792" s="59" t="n"/>
      <c r="K792" s="59" t="n"/>
      <c r="L792" s="59" t="n"/>
      <c r="M792" s="59" t="n"/>
      <c r="N792" s="59" t="n"/>
      <c r="O792" s="59" t="n"/>
      <c r="P792" s="59" t="n"/>
      <c r="Q792" s="59" t="n"/>
      <c r="R792" s="59" t="n"/>
      <c r="S792" s="59" t="n"/>
      <c r="T792" s="59" t="n"/>
      <c r="U792" s="59" t="n"/>
      <c r="V792" s="59" t="n"/>
      <c r="W792" s="59" t="n"/>
      <c r="X792" s="59" t="n"/>
      <c r="Y792" s="59" t="n"/>
      <c r="Z792" s="59" t="n"/>
      <c r="AA792" s="59" t="n"/>
      <c r="AB792" s="59" t="n"/>
      <c r="AC792" s="59" t="n"/>
      <c r="AD792" s="59" t="n"/>
    </row>
    <row r="793">
      <c r="A793" s="59" t="n"/>
      <c r="B793" s="59" t="n"/>
      <c r="C793" s="59" t="n"/>
      <c r="D793" s="59" t="n"/>
      <c r="E793" s="59" t="n"/>
      <c r="F793" s="59" t="n"/>
      <c r="G793" s="60" t="n"/>
      <c r="H793" s="59" t="n"/>
      <c r="I793" s="59" t="n"/>
      <c r="J793" s="59" t="n"/>
      <c r="K793" s="59" t="n"/>
      <c r="L793" s="59" t="n"/>
      <c r="M793" s="59" t="n"/>
      <c r="N793" s="59" t="n"/>
      <c r="O793" s="59" t="n"/>
      <c r="P793" s="59" t="n"/>
      <c r="Q793" s="59" t="n"/>
      <c r="R793" s="59" t="n"/>
      <c r="S793" s="59" t="n"/>
      <c r="T793" s="59" t="n"/>
      <c r="U793" s="59" t="n"/>
      <c r="V793" s="59" t="n"/>
      <c r="W793" s="59" t="n"/>
      <c r="X793" s="59" t="n"/>
      <c r="Y793" s="59" t="n"/>
      <c r="Z793" s="59" t="n"/>
      <c r="AA793" s="59" t="n"/>
      <c r="AB793" s="59" t="n"/>
      <c r="AC793" s="59" t="n"/>
      <c r="AD793" s="59" t="n"/>
    </row>
    <row r="794">
      <c r="A794" s="59" t="n"/>
      <c r="B794" s="59" t="n"/>
      <c r="C794" s="59" t="n"/>
      <c r="D794" s="59" t="n"/>
      <c r="E794" s="59" t="n"/>
      <c r="F794" s="59" t="n"/>
      <c r="G794" s="60" t="n"/>
      <c r="H794" s="59" t="n"/>
      <c r="I794" s="59" t="n"/>
      <c r="J794" s="59" t="n"/>
      <c r="K794" s="59" t="n"/>
      <c r="L794" s="59" t="n"/>
      <c r="M794" s="59" t="n"/>
      <c r="N794" s="59" t="n"/>
      <c r="O794" s="59" t="n"/>
      <c r="P794" s="59" t="n"/>
      <c r="Q794" s="59" t="n"/>
      <c r="R794" s="59" t="n"/>
      <c r="S794" s="59" t="n"/>
      <c r="T794" s="59" t="n"/>
      <c r="U794" s="59" t="n"/>
      <c r="V794" s="59" t="n"/>
      <c r="W794" s="59" t="n"/>
      <c r="X794" s="59" t="n"/>
      <c r="Y794" s="59" t="n"/>
      <c r="Z794" s="59" t="n"/>
      <c r="AA794" s="59" t="n"/>
      <c r="AB794" s="59" t="n"/>
      <c r="AC794" s="59" t="n"/>
      <c r="AD794" s="59" t="n"/>
    </row>
    <row r="795">
      <c r="A795" s="59" t="n"/>
      <c r="B795" s="59" t="n"/>
      <c r="C795" s="59" t="n"/>
      <c r="D795" s="59" t="n"/>
      <c r="E795" s="59" t="n"/>
      <c r="F795" s="59" t="n"/>
      <c r="G795" s="60" t="n"/>
      <c r="H795" s="59" t="n"/>
      <c r="I795" s="59" t="n"/>
      <c r="J795" s="59" t="n"/>
      <c r="K795" s="59" t="n"/>
      <c r="L795" s="59" t="n"/>
      <c r="M795" s="59" t="n"/>
      <c r="N795" s="59" t="n"/>
      <c r="O795" s="59" t="n"/>
      <c r="P795" s="59" t="n"/>
      <c r="Q795" s="59" t="n"/>
      <c r="R795" s="59" t="n"/>
      <c r="S795" s="59" t="n"/>
      <c r="T795" s="59" t="n"/>
      <c r="U795" s="59" t="n"/>
      <c r="V795" s="59" t="n"/>
      <c r="W795" s="59" t="n"/>
      <c r="X795" s="59" t="n"/>
      <c r="Y795" s="59" t="n"/>
      <c r="Z795" s="59" t="n"/>
      <c r="AA795" s="59" t="n"/>
      <c r="AB795" s="59" t="n"/>
      <c r="AC795" s="59" t="n"/>
      <c r="AD795" s="59" t="n"/>
    </row>
    <row r="796">
      <c r="A796" s="59" t="n"/>
      <c r="B796" s="59" t="n"/>
      <c r="C796" s="59" t="n"/>
      <c r="D796" s="59" t="n"/>
      <c r="E796" s="59" t="n"/>
      <c r="F796" s="59" t="n"/>
      <c r="G796" s="60" t="n"/>
      <c r="H796" s="59" t="n"/>
      <c r="I796" s="59" t="n"/>
      <c r="J796" s="59" t="n"/>
      <c r="K796" s="59" t="n"/>
      <c r="L796" s="59" t="n"/>
      <c r="M796" s="59" t="n"/>
      <c r="N796" s="59" t="n"/>
      <c r="O796" s="59" t="n"/>
      <c r="P796" s="59" t="n"/>
      <c r="Q796" s="59" t="n"/>
      <c r="R796" s="59" t="n"/>
      <c r="S796" s="59" t="n"/>
      <c r="T796" s="59" t="n"/>
      <c r="U796" s="59" t="n"/>
      <c r="V796" s="59" t="n"/>
      <c r="W796" s="59" t="n"/>
      <c r="X796" s="59" t="n"/>
      <c r="Y796" s="59" t="n"/>
      <c r="Z796" s="59" t="n"/>
      <c r="AA796" s="59" t="n"/>
      <c r="AB796" s="59" t="n"/>
      <c r="AC796" s="59" t="n"/>
      <c r="AD796" s="59" t="n"/>
    </row>
    <row r="797">
      <c r="A797" s="59" t="n"/>
      <c r="B797" s="59" t="n"/>
      <c r="C797" s="59" t="n"/>
      <c r="D797" s="59" t="n"/>
      <c r="E797" s="59" t="n"/>
      <c r="F797" s="59" t="n"/>
      <c r="G797" s="60" t="n"/>
      <c r="H797" s="59" t="n"/>
      <c r="I797" s="59" t="n"/>
      <c r="J797" s="59" t="n"/>
      <c r="K797" s="59" t="n"/>
      <c r="L797" s="59" t="n"/>
      <c r="M797" s="59" t="n"/>
      <c r="N797" s="59" t="n"/>
      <c r="O797" s="59" t="n"/>
      <c r="P797" s="59" t="n"/>
      <c r="Q797" s="59" t="n"/>
      <c r="R797" s="59" t="n"/>
      <c r="S797" s="59" t="n"/>
      <c r="T797" s="59" t="n"/>
      <c r="U797" s="59" t="n"/>
      <c r="V797" s="59" t="n"/>
      <c r="W797" s="59" t="n"/>
      <c r="X797" s="59" t="n"/>
      <c r="Y797" s="59" t="n"/>
      <c r="Z797" s="59" t="n"/>
      <c r="AA797" s="59" t="n"/>
      <c r="AB797" s="59" t="n"/>
      <c r="AC797" s="59" t="n"/>
      <c r="AD797" s="59" t="n"/>
    </row>
    <row r="798">
      <c r="A798" s="59" t="n"/>
      <c r="B798" s="59" t="n"/>
      <c r="C798" s="59" t="n"/>
      <c r="D798" s="59" t="n"/>
      <c r="E798" s="59" t="n"/>
      <c r="F798" s="59" t="n"/>
      <c r="G798" s="60" t="n"/>
      <c r="H798" s="59" t="n"/>
      <c r="I798" s="59" t="n"/>
      <c r="J798" s="59" t="n"/>
      <c r="K798" s="59" t="n"/>
      <c r="L798" s="59" t="n"/>
      <c r="M798" s="59" t="n"/>
      <c r="N798" s="59" t="n"/>
      <c r="O798" s="59" t="n"/>
      <c r="P798" s="59" t="n"/>
      <c r="Q798" s="59" t="n"/>
      <c r="R798" s="59" t="n"/>
      <c r="S798" s="59" t="n"/>
      <c r="T798" s="59" t="n"/>
      <c r="U798" s="59" t="n"/>
      <c r="V798" s="59" t="n"/>
      <c r="W798" s="59" t="n"/>
      <c r="X798" s="59" t="n"/>
      <c r="Y798" s="59" t="n"/>
      <c r="Z798" s="59" t="n"/>
      <c r="AA798" s="59" t="n"/>
      <c r="AB798" s="59" t="n"/>
      <c r="AC798" s="59" t="n"/>
      <c r="AD798" s="59" t="n"/>
    </row>
    <row r="799">
      <c r="A799" s="59" t="n"/>
      <c r="B799" s="59" t="n"/>
      <c r="C799" s="59" t="n"/>
      <c r="D799" s="59" t="n"/>
      <c r="E799" s="59" t="n"/>
      <c r="F799" s="59" t="n"/>
      <c r="G799" s="60" t="n"/>
      <c r="H799" s="59" t="n"/>
      <c r="I799" s="59" t="n"/>
      <c r="J799" s="59" t="n"/>
      <c r="K799" s="59" t="n"/>
      <c r="L799" s="59" t="n"/>
      <c r="M799" s="59" t="n"/>
      <c r="N799" s="59" t="n"/>
      <c r="O799" s="59" t="n"/>
      <c r="P799" s="59" t="n"/>
      <c r="Q799" s="59" t="n"/>
      <c r="R799" s="59" t="n"/>
      <c r="S799" s="59" t="n"/>
      <c r="T799" s="59" t="n"/>
      <c r="U799" s="59" t="n"/>
      <c r="V799" s="59" t="n"/>
      <c r="W799" s="59" t="n"/>
      <c r="X799" s="59" t="n"/>
      <c r="Y799" s="59" t="n"/>
      <c r="Z799" s="59" t="n"/>
      <c r="AA799" s="59" t="n"/>
      <c r="AB799" s="59" t="n"/>
      <c r="AC799" s="59" t="n"/>
      <c r="AD799" s="59" t="n"/>
    </row>
    <row r="800">
      <c r="A800" s="59" t="n"/>
      <c r="B800" s="59" t="n"/>
      <c r="C800" s="59" t="n"/>
      <c r="D800" s="59" t="n"/>
      <c r="E800" s="59" t="n"/>
      <c r="F800" s="59" t="n"/>
      <c r="G800" s="60" t="n"/>
      <c r="H800" s="59" t="n"/>
      <c r="I800" s="59" t="n"/>
      <c r="J800" s="59" t="n"/>
      <c r="K800" s="59" t="n"/>
      <c r="L800" s="59" t="n"/>
      <c r="M800" s="59" t="n"/>
      <c r="N800" s="59" t="n"/>
      <c r="O800" s="59" t="n"/>
      <c r="P800" s="59" t="n"/>
      <c r="Q800" s="59" t="n"/>
      <c r="R800" s="59" t="n"/>
      <c r="S800" s="59" t="n"/>
      <c r="T800" s="59" t="n"/>
      <c r="U800" s="59" t="n"/>
      <c r="V800" s="59" t="n"/>
      <c r="W800" s="59" t="n"/>
      <c r="X800" s="59" t="n"/>
      <c r="Y800" s="59" t="n"/>
      <c r="Z800" s="59" t="n"/>
      <c r="AA800" s="59" t="n"/>
      <c r="AB800" s="59" t="n"/>
      <c r="AC800" s="59" t="n"/>
      <c r="AD800" s="59" t="n"/>
    </row>
    <row r="801">
      <c r="A801" s="59" t="n"/>
      <c r="B801" s="59" t="n"/>
      <c r="C801" s="59" t="n"/>
      <c r="D801" s="59" t="n"/>
      <c r="E801" s="59" t="n"/>
      <c r="F801" s="59" t="n"/>
      <c r="G801" s="60" t="n"/>
      <c r="H801" s="59" t="n"/>
      <c r="I801" s="59" t="n"/>
      <c r="J801" s="59" t="n"/>
      <c r="K801" s="59" t="n"/>
      <c r="L801" s="59" t="n"/>
      <c r="M801" s="59" t="n"/>
      <c r="N801" s="59" t="n"/>
      <c r="O801" s="59" t="n"/>
      <c r="P801" s="59" t="n"/>
      <c r="Q801" s="59" t="n"/>
      <c r="R801" s="59" t="n"/>
      <c r="S801" s="59" t="n"/>
      <c r="T801" s="59" t="n"/>
      <c r="U801" s="59" t="n"/>
      <c r="V801" s="59" t="n"/>
      <c r="W801" s="59" t="n"/>
      <c r="X801" s="59" t="n"/>
      <c r="Y801" s="59" t="n"/>
      <c r="Z801" s="59" t="n"/>
      <c r="AA801" s="59" t="n"/>
      <c r="AB801" s="59" t="n"/>
      <c r="AC801" s="59" t="n"/>
      <c r="AD801" s="59" t="n"/>
    </row>
    <row r="802">
      <c r="A802" s="59" t="n"/>
      <c r="B802" s="59" t="n"/>
      <c r="C802" s="59" t="n"/>
      <c r="D802" s="59" t="n"/>
      <c r="E802" s="59" t="n"/>
      <c r="F802" s="59" t="n"/>
      <c r="G802" s="60" t="n"/>
      <c r="H802" s="59" t="n"/>
      <c r="I802" s="59" t="n"/>
      <c r="J802" s="59" t="n"/>
      <c r="K802" s="59" t="n"/>
      <c r="L802" s="59" t="n"/>
      <c r="M802" s="59" t="n"/>
      <c r="N802" s="59" t="n"/>
      <c r="O802" s="59" t="n"/>
      <c r="P802" s="59" t="n"/>
      <c r="Q802" s="59" t="n"/>
      <c r="R802" s="59" t="n"/>
      <c r="S802" s="59" t="n"/>
      <c r="T802" s="59" t="n"/>
      <c r="U802" s="59" t="n"/>
      <c r="V802" s="59" t="n"/>
      <c r="W802" s="59" t="n"/>
      <c r="X802" s="59" t="n"/>
      <c r="Y802" s="59" t="n"/>
      <c r="Z802" s="59" t="n"/>
      <c r="AA802" s="59" t="n"/>
      <c r="AB802" s="59" t="n"/>
      <c r="AC802" s="59" t="n"/>
      <c r="AD802" s="59" t="n"/>
    </row>
    <row r="803">
      <c r="A803" s="59" t="n"/>
      <c r="B803" s="59" t="n"/>
      <c r="C803" s="59" t="n"/>
      <c r="D803" s="59" t="n"/>
      <c r="E803" s="59" t="n"/>
      <c r="F803" s="59" t="n"/>
      <c r="G803" s="60" t="n"/>
      <c r="H803" s="59" t="n"/>
      <c r="I803" s="59" t="n"/>
      <c r="J803" s="59" t="n"/>
      <c r="K803" s="59" t="n"/>
      <c r="L803" s="59" t="n"/>
      <c r="M803" s="59" t="n"/>
      <c r="N803" s="59" t="n"/>
      <c r="O803" s="59" t="n"/>
      <c r="P803" s="59" t="n"/>
      <c r="Q803" s="59" t="n"/>
      <c r="R803" s="59" t="n"/>
      <c r="S803" s="59" t="n"/>
      <c r="T803" s="59" t="n"/>
      <c r="U803" s="59" t="n"/>
      <c r="V803" s="59" t="n"/>
      <c r="W803" s="59" t="n"/>
      <c r="X803" s="59" t="n"/>
      <c r="Y803" s="59" t="n"/>
      <c r="Z803" s="59" t="n"/>
      <c r="AA803" s="59" t="n"/>
      <c r="AB803" s="59" t="n"/>
      <c r="AC803" s="59" t="n"/>
      <c r="AD803" s="59" t="n"/>
    </row>
    <row r="804">
      <c r="A804" s="59" t="n"/>
      <c r="B804" s="59" t="n"/>
      <c r="C804" s="59" t="n"/>
      <c r="D804" s="59" t="n"/>
      <c r="E804" s="59" t="n"/>
      <c r="F804" s="59" t="n"/>
      <c r="G804" s="60" t="n"/>
      <c r="H804" s="59" t="n"/>
      <c r="I804" s="59" t="n"/>
      <c r="J804" s="59" t="n"/>
      <c r="K804" s="59" t="n"/>
      <c r="L804" s="59" t="n"/>
      <c r="M804" s="59" t="n"/>
      <c r="N804" s="59" t="n"/>
      <c r="O804" s="59" t="n"/>
      <c r="P804" s="59" t="n"/>
      <c r="Q804" s="59" t="n"/>
      <c r="R804" s="59" t="n"/>
      <c r="S804" s="59" t="n"/>
      <c r="T804" s="59" t="n"/>
      <c r="U804" s="59" t="n"/>
      <c r="V804" s="59" t="n"/>
      <c r="W804" s="59" t="n"/>
      <c r="X804" s="59" t="n"/>
      <c r="Y804" s="59" t="n"/>
      <c r="Z804" s="59" t="n"/>
      <c r="AA804" s="59" t="n"/>
      <c r="AB804" s="59" t="n"/>
      <c r="AC804" s="59" t="n"/>
      <c r="AD804" s="59" t="n"/>
    </row>
    <row r="805">
      <c r="A805" s="59" t="n"/>
      <c r="B805" s="59" t="n"/>
      <c r="C805" s="59" t="n"/>
      <c r="D805" s="59" t="n"/>
      <c r="E805" s="59" t="n"/>
      <c r="F805" s="59" t="n"/>
      <c r="G805" s="60" t="n"/>
      <c r="H805" s="59" t="n"/>
      <c r="I805" s="59" t="n"/>
      <c r="J805" s="59" t="n"/>
      <c r="K805" s="59" t="n"/>
      <c r="L805" s="59" t="n"/>
      <c r="M805" s="59" t="n"/>
      <c r="N805" s="59" t="n"/>
      <c r="O805" s="59" t="n"/>
      <c r="P805" s="59" t="n"/>
      <c r="Q805" s="59" t="n"/>
      <c r="R805" s="59" t="n"/>
      <c r="S805" s="59" t="n"/>
      <c r="T805" s="59" t="n"/>
      <c r="U805" s="59" t="n"/>
      <c r="V805" s="59" t="n"/>
      <c r="W805" s="59" t="n"/>
      <c r="X805" s="59" t="n"/>
      <c r="Y805" s="59" t="n"/>
      <c r="Z805" s="59" t="n"/>
      <c r="AA805" s="59" t="n"/>
      <c r="AB805" s="59" t="n"/>
      <c r="AC805" s="59" t="n"/>
      <c r="AD805" s="59" t="n"/>
    </row>
    <row r="806">
      <c r="A806" s="59" t="n"/>
      <c r="B806" s="59" t="n"/>
      <c r="C806" s="59" t="n"/>
      <c r="D806" s="59" t="n"/>
      <c r="E806" s="59" t="n"/>
      <c r="F806" s="59" t="n"/>
      <c r="G806" s="60" t="n"/>
      <c r="H806" s="59" t="n"/>
      <c r="I806" s="59" t="n"/>
      <c r="J806" s="59" t="n"/>
      <c r="K806" s="59" t="n"/>
      <c r="L806" s="59" t="n"/>
      <c r="M806" s="59" t="n"/>
      <c r="N806" s="59" t="n"/>
      <c r="O806" s="59" t="n"/>
      <c r="P806" s="59" t="n"/>
      <c r="Q806" s="59" t="n"/>
      <c r="R806" s="59" t="n"/>
      <c r="S806" s="59" t="n"/>
      <c r="T806" s="59" t="n"/>
      <c r="U806" s="59" t="n"/>
      <c r="V806" s="59" t="n"/>
      <c r="W806" s="59" t="n"/>
      <c r="X806" s="59" t="n"/>
      <c r="Y806" s="59" t="n"/>
      <c r="Z806" s="59" t="n"/>
      <c r="AA806" s="59" t="n"/>
      <c r="AB806" s="59" t="n"/>
      <c r="AC806" s="59" t="n"/>
      <c r="AD806" s="59" t="n"/>
    </row>
    <row r="807">
      <c r="A807" s="59" t="n"/>
      <c r="B807" s="59" t="n"/>
      <c r="C807" s="59" t="n"/>
      <c r="D807" s="59" t="n"/>
      <c r="E807" s="59" t="n"/>
      <c r="F807" s="59" t="n"/>
      <c r="G807" s="60" t="n"/>
      <c r="H807" s="59" t="n"/>
      <c r="I807" s="59" t="n"/>
      <c r="J807" s="59" t="n"/>
      <c r="K807" s="59" t="n"/>
      <c r="L807" s="59" t="n"/>
      <c r="M807" s="59" t="n"/>
      <c r="N807" s="59" t="n"/>
      <c r="O807" s="59" t="n"/>
      <c r="P807" s="59" t="n"/>
      <c r="Q807" s="59" t="n"/>
      <c r="R807" s="59" t="n"/>
      <c r="S807" s="59" t="n"/>
      <c r="T807" s="59" t="n"/>
      <c r="U807" s="59" t="n"/>
      <c r="V807" s="59" t="n"/>
      <c r="W807" s="59" t="n"/>
      <c r="X807" s="59" t="n"/>
      <c r="Y807" s="59" t="n"/>
      <c r="Z807" s="59" t="n"/>
      <c r="AA807" s="59" t="n"/>
      <c r="AB807" s="59" t="n"/>
      <c r="AC807" s="59" t="n"/>
      <c r="AD807" s="59" t="n"/>
    </row>
    <row r="808">
      <c r="A808" s="59" t="n"/>
      <c r="B808" s="59" t="n"/>
      <c r="C808" s="59" t="n"/>
      <c r="D808" s="59" t="n"/>
      <c r="E808" s="59" t="n"/>
      <c r="F808" s="59" t="n"/>
      <c r="G808" s="60" t="n"/>
      <c r="H808" s="59" t="n"/>
      <c r="I808" s="59" t="n"/>
      <c r="J808" s="59" t="n"/>
      <c r="K808" s="59" t="n"/>
      <c r="L808" s="59" t="n"/>
      <c r="M808" s="59" t="n"/>
      <c r="N808" s="59" t="n"/>
      <c r="O808" s="59" t="n"/>
      <c r="P808" s="59" t="n"/>
      <c r="Q808" s="59" t="n"/>
      <c r="R808" s="59" t="n"/>
      <c r="S808" s="59" t="n"/>
      <c r="T808" s="59" t="n"/>
      <c r="U808" s="59" t="n"/>
      <c r="V808" s="59" t="n"/>
      <c r="W808" s="59" t="n"/>
      <c r="X808" s="59" t="n"/>
      <c r="Y808" s="59" t="n"/>
      <c r="Z808" s="59" t="n"/>
      <c r="AA808" s="59" t="n"/>
      <c r="AB808" s="59" t="n"/>
      <c r="AC808" s="59" t="n"/>
      <c r="AD808" s="59" t="n"/>
    </row>
    <row r="809">
      <c r="A809" s="59" t="n"/>
      <c r="B809" s="59" t="n"/>
      <c r="C809" s="59" t="n"/>
      <c r="D809" s="59" t="n"/>
      <c r="E809" s="59" t="n"/>
      <c r="F809" s="59" t="n"/>
      <c r="G809" s="60" t="n"/>
      <c r="H809" s="59" t="n"/>
      <c r="I809" s="59" t="n"/>
      <c r="J809" s="59" t="n"/>
      <c r="K809" s="59" t="n"/>
      <c r="L809" s="59" t="n"/>
      <c r="M809" s="59" t="n"/>
      <c r="N809" s="59" t="n"/>
      <c r="O809" s="59" t="n"/>
      <c r="P809" s="59" t="n"/>
      <c r="Q809" s="59" t="n"/>
      <c r="R809" s="59" t="n"/>
      <c r="S809" s="59" t="n"/>
      <c r="T809" s="59" t="n"/>
      <c r="U809" s="59" t="n"/>
      <c r="V809" s="59" t="n"/>
      <c r="W809" s="59" t="n"/>
      <c r="X809" s="59" t="n"/>
      <c r="Y809" s="59" t="n"/>
      <c r="Z809" s="59" t="n"/>
      <c r="AA809" s="59" t="n"/>
      <c r="AB809" s="59" t="n"/>
      <c r="AC809" s="59" t="n"/>
      <c r="AD809" s="59" t="n"/>
    </row>
    <row r="810">
      <c r="A810" s="59" t="n"/>
      <c r="B810" s="59" t="n"/>
      <c r="C810" s="59" t="n"/>
      <c r="D810" s="59" t="n"/>
      <c r="E810" s="59" t="n"/>
      <c r="F810" s="59" t="n"/>
      <c r="G810" s="60" t="n"/>
      <c r="H810" s="59" t="n"/>
      <c r="I810" s="59" t="n"/>
      <c r="J810" s="59" t="n"/>
      <c r="K810" s="59" t="n"/>
      <c r="L810" s="59" t="n"/>
      <c r="M810" s="59" t="n"/>
      <c r="N810" s="59" t="n"/>
      <c r="O810" s="59" t="n"/>
      <c r="P810" s="59" t="n"/>
      <c r="Q810" s="59" t="n"/>
      <c r="R810" s="59" t="n"/>
      <c r="S810" s="59" t="n"/>
      <c r="T810" s="59" t="n"/>
      <c r="U810" s="59" t="n"/>
      <c r="V810" s="59" t="n"/>
      <c r="W810" s="59" t="n"/>
      <c r="X810" s="59" t="n"/>
      <c r="Y810" s="59" t="n"/>
      <c r="Z810" s="59" t="n"/>
      <c r="AA810" s="59" t="n"/>
      <c r="AB810" s="59" t="n"/>
      <c r="AC810" s="59" t="n"/>
      <c r="AD810" s="59" t="n"/>
    </row>
    <row r="811">
      <c r="A811" s="59" t="n"/>
      <c r="B811" s="59" t="n"/>
      <c r="C811" s="59" t="n"/>
      <c r="D811" s="59" t="n"/>
      <c r="E811" s="59" t="n"/>
      <c r="F811" s="59" t="n"/>
      <c r="G811" s="60" t="n"/>
      <c r="H811" s="59" t="n"/>
      <c r="I811" s="59" t="n"/>
      <c r="J811" s="59" t="n"/>
      <c r="K811" s="59" t="n"/>
      <c r="L811" s="59" t="n"/>
      <c r="M811" s="59" t="n"/>
      <c r="N811" s="59" t="n"/>
      <c r="O811" s="59" t="n"/>
      <c r="P811" s="59" t="n"/>
      <c r="Q811" s="59" t="n"/>
      <c r="R811" s="59" t="n"/>
      <c r="S811" s="59" t="n"/>
      <c r="T811" s="59" t="n"/>
      <c r="U811" s="59" t="n"/>
      <c r="V811" s="59" t="n"/>
      <c r="W811" s="59" t="n"/>
      <c r="X811" s="59" t="n"/>
      <c r="Y811" s="59" t="n"/>
      <c r="Z811" s="59" t="n"/>
      <c r="AA811" s="59" t="n"/>
      <c r="AB811" s="59" t="n"/>
      <c r="AC811" s="59" t="n"/>
      <c r="AD811" s="59" t="n"/>
    </row>
    <row r="812">
      <c r="A812" s="59" t="n"/>
      <c r="B812" s="59" t="n"/>
      <c r="C812" s="59" t="n"/>
      <c r="D812" s="59" t="n"/>
      <c r="E812" s="59" t="n"/>
      <c r="F812" s="59" t="n"/>
      <c r="G812" s="60" t="n"/>
      <c r="H812" s="59" t="n"/>
      <c r="I812" s="59" t="n"/>
      <c r="J812" s="59" t="n"/>
      <c r="K812" s="59" t="n"/>
      <c r="L812" s="59" t="n"/>
      <c r="M812" s="59" t="n"/>
      <c r="N812" s="59" t="n"/>
      <c r="O812" s="59" t="n"/>
      <c r="P812" s="59" t="n"/>
      <c r="Q812" s="59" t="n"/>
      <c r="R812" s="59" t="n"/>
      <c r="S812" s="59" t="n"/>
      <c r="T812" s="59" t="n"/>
      <c r="U812" s="59" t="n"/>
      <c r="V812" s="59" t="n"/>
      <c r="W812" s="59" t="n"/>
      <c r="X812" s="59" t="n"/>
      <c r="Y812" s="59" t="n"/>
      <c r="Z812" s="59" t="n"/>
      <c r="AA812" s="59" t="n"/>
      <c r="AB812" s="59" t="n"/>
      <c r="AC812" s="59" t="n"/>
      <c r="AD812" s="59" t="n"/>
    </row>
    <row r="813">
      <c r="A813" s="59" t="n"/>
      <c r="B813" s="59" t="n"/>
      <c r="C813" s="59" t="n"/>
      <c r="D813" s="59" t="n"/>
      <c r="E813" s="59" t="n"/>
      <c r="F813" s="59" t="n"/>
      <c r="G813" s="60" t="n"/>
      <c r="H813" s="59" t="n"/>
      <c r="I813" s="59" t="n"/>
      <c r="J813" s="59" t="n"/>
      <c r="K813" s="59" t="n"/>
      <c r="L813" s="59" t="n"/>
      <c r="M813" s="59" t="n"/>
      <c r="N813" s="59" t="n"/>
      <c r="O813" s="59" t="n"/>
      <c r="P813" s="59" t="n"/>
      <c r="Q813" s="59" t="n"/>
      <c r="R813" s="59" t="n"/>
      <c r="S813" s="59" t="n"/>
      <c r="T813" s="59" t="n"/>
      <c r="U813" s="59" t="n"/>
      <c r="V813" s="59" t="n"/>
      <c r="W813" s="59" t="n"/>
      <c r="X813" s="59" t="n"/>
      <c r="Y813" s="59" t="n"/>
      <c r="Z813" s="59" t="n"/>
      <c r="AA813" s="59" t="n"/>
      <c r="AB813" s="59" t="n"/>
      <c r="AC813" s="59" t="n"/>
      <c r="AD813" s="59" t="n"/>
    </row>
    <row r="814">
      <c r="A814" s="59" t="n"/>
      <c r="B814" s="59" t="n"/>
      <c r="C814" s="59" t="n"/>
      <c r="D814" s="59" t="n"/>
      <c r="E814" s="59" t="n"/>
      <c r="F814" s="59" t="n"/>
      <c r="G814" s="60" t="n"/>
      <c r="H814" s="59" t="n"/>
      <c r="I814" s="59" t="n"/>
      <c r="J814" s="59" t="n"/>
      <c r="K814" s="59" t="n"/>
      <c r="L814" s="59" t="n"/>
      <c r="M814" s="59" t="n"/>
      <c r="N814" s="59" t="n"/>
      <c r="O814" s="59" t="n"/>
      <c r="P814" s="59" t="n"/>
      <c r="Q814" s="59" t="n"/>
      <c r="R814" s="59" t="n"/>
      <c r="S814" s="59" t="n"/>
      <c r="T814" s="59" t="n"/>
      <c r="U814" s="59" t="n"/>
      <c r="V814" s="59" t="n"/>
      <c r="W814" s="59" t="n"/>
      <c r="X814" s="59" t="n"/>
      <c r="Y814" s="59" t="n"/>
      <c r="Z814" s="59" t="n"/>
      <c r="AA814" s="59" t="n"/>
      <c r="AB814" s="59" t="n"/>
      <c r="AC814" s="59" t="n"/>
      <c r="AD814" s="59" t="n"/>
    </row>
    <row r="815">
      <c r="A815" s="59" t="n"/>
      <c r="B815" s="59" t="n"/>
      <c r="C815" s="59" t="n"/>
      <c r="D815" s="59" t="n"/>
      <c r="E815" s="59" t="n"/>
      <c r="F815" s="59" t="n"/>
      <c r="G815" s="60" t="n"/>
      <c r="H815" s="59" t="n"/>
      <c r="I815" s="59" t="n"/>
      <c r="J815" s="59" t="n"/>
      <c r="K815" s="59" t="n"/>
      <c r="L815" s="59" t="n"/>
      <c r="M815" s="59" t="n"/>
      <c r="N815" s="59" t="n"/>
      <c r="O815" s="59" t="n"/>
      <c r="P815" s="59" t="n"/>
      <c r="Q815" s="59" t="n"/>
      <c r="R815" s="59" t="n"/>
      <c r="S815" s="59" t="n"/>
      <c r="T815" s="59" t="n"/>
      <c r="U815" s="59" t="n"/>
      <c r="V815" s="59" t="n"/>
      <c r="W815" s="59" t="n"/>
      <c r="X815" s="59" t="n"/>
      <c r="Y815" s="59" t="n"/>
      <c r="Z815" s="59" t="n"/>
      <c r="AA815" s="59" t="n"/>
      <c r="AB815" s="59" t="n"/>
      <c r="AC815" s="59" t="n"/>
      <c r="AD815" s="59" t="n"/>
    </row>
    <row r="816">
      <c r="A816" s="59" t="n"/>
      <c r="B816" s="59" t="n"/>
      <c r="C816" s="59" t="n"/>
      <c r="D816" s="59" t="n"/>
      <c r="E816" s="59" t="n"/>
      <c r="F816" s="59" t="n"/>
      <c r="G816" s="60" t="n"/>
      <c r="H816" s="59" t="n"/>
      <c r="I816" s="59" t="n"/>
      <c r="J816" s="59" t="n"/>
      <c r="K816" s="59" t="n"/>
      <c r="L816" s="59" t="n"/>
      <c r="M816" s="59" t="n"/>
      <c r="N816" s="59" t="n"/>
      <c r="O816" s="59" t="n"/>
      <c r="P816" s="59" t="n"/>
      <c r="Q816" s="59" t="n"/>
      <c r="R816" s="59" t="n"/>
      <c r="S816" s="59" t="n"/>
      <c r="T816" s="59" t="n"/>
      <c r="U816" s="59" t="n"/>
      <c r="V816" s="59" t="n"/>
      <c r="W816" s="59" t="n"/>
      <c r="X816" s="59" t="n"/>
      <c r="Y816" s="59" t="n"/>
      <c r="Z816" s="59" t="n"/>
      <c r="AA816" s="59" t="n"/>
      <c r="AB816" s="59" t="n"/>
      <c r="AC816" s="59" t="n"/>
      <c r="AD816" s="59" t="n"/>
    </row>
    <row r="817">
      <c r="A817" s="59" t="n"/>
      <c r="B817" s="59" t="n"/>
      <c r="C817" s="59" t="n"/>
      <c r="D817" s="59" t="n"/>
      <c r="E817" s="59" t="n"/>
      <c r="F817" s="59" t="n"/>
      <c r="G817" s="60" t="n"/>
      <c r="H817" s="59" t="n"/>
      <c r="I817" s="59" t="n"/>
      <c r="J817" s="59" t="n"/>
      <c r="K817" s="59" t="n"/>
      <c r="L817" s="59" t="n"/>
      <c r="M817" s="59" t="n"/>
      <c r="N817" s="59" t="n"/>
      <c r="O817" s="59" t="n"/>
      <c r="P817" s="59" t="n"/>
      <c r="Q817" s="59" t="n"/>
      <c r="R817" s="59" t="n"/>
      <c r="S817" s="59" t="n"/>
      <c r="T817" s="59" t="n"/>
      <c r="U817" s="59" t="n"/>
      <c r="V817" s="59" t="n"/>
      <c r="W817" s="59" t="n"/>
      <c r="X817" s="59" t="n"/>
      <c r="Y817" s="59" t="n"/>
      <c r="Z817" s="59" t="n"/>
      <c r="AA817" s="59" t="n"/>
      <c r="AB817" s="59" t="n"/>
      <c r="AC817" s="59" t="n"/>
      <c r="AD817" s="59" t="n"/>
    </row>
    <row r="818">
      <c r="A818" s="59" t="n"/>
      <c r="B818" s="59" t="n"/>
      <c r="C818" s="59" t="n"/>
      <c r="D818" s="59" t="n"/>
      <c r="E818" s="59" t="n"/>
      <c r="F818" s="59" t="n"/>
      <c r="G818" s="60" t="n"/>
      <c r="H818" s="59" t="n"/>
      <c r="I818" s="59" t="n"/>
      <c r="J818" s="59" t="n"/>
      <c r="K818" s="59" t="n"/>
      <c r="L818" s="59" t="n"/>
      <c r="M818" s="59" t="n"/>
      <c r="N818" s="59" t="n"/>
      <c r="O818" s="59" t="n"/>
      <c r="P818" s="59" t="n"/>
      <c r="Q818" s="59" t="n"/>
      <c r="R818" s="59" t="n"/>
      <c r="S818" s="59" t="n"/>
      <c r="T818" s="59" t="n"/>
      <c r="U818" s="59" t="n"/>
      <c r="V818" s="59" t="n"/>
      <c r="W818" s="59" t="n"/>
      <c r="X818" s="59" t="n"/>
      <c r="Y818" s="59" t="n"/>
      <c r="Z818" s="59" t="n"/>
      <c r="AA818" s="59" t="n"/>
      <c r="AB818" s="59" t="n"/>
      <c r="AC818" s="59" t="n"/>
      <c r="AD818" s="59" t="n"/>
    </row>
    <row r="819">
      <c r="A819" s="59" t="n"/>
      <c r="B819" s="59" t="n"/>
      <c r="C819" s="59" t="n"/>
      <c r="D819" s="59" t="n"/>
      <c r="E819" s="59" t="n"/>
      <c r="F819" s="59" t="n"/>
      <c r="G819" s="60" t="n"/>
      <c r="H819" s="59" t="n"/>
      <c r="I819" s="59" t="n"/>
      <c r="J819" s="59" t="n"/>
      <c r="K819" s="59" t="n"/>
      <c r="L819" s="59" t="n"/>
      <c r="M819" s="59" t="n"/>
      <c r="N819" s="59" t="n"/>
      <c r="O819" s="59" t="n"/>
      <c r="P819" s="59" t="n"/>
      <c r="Q819" s="59" t="n"/>
      <c r="R819" s="59" t="n"/>
      <c r="S819" s="59" t="n"/>
      <c r="T819" s="59" t="n"/>
      <c r="U819" s="59" t="n"/>
      <c r="V819" s="59" t="n"/>
      <c r="W819" s="59" t="n"/>
      <c r="X819" s="59" t="n"/>
      <c r="Y819" s="59" t="n"/>
      <c r="Z819" s="59" t="n"/>
      <c r="AA819" s="59" t="n"/>
      <c r="AB819" s="59" t="n"/>
      <c r="AC819" s="59" t="n"/>
      <c r="AD819" s="59" t="n"/>
    </row>
    <row r="820">
      <c r="A820" s="59" t="n"/>
      <c r="B820" s="59" t="n"/>
      <c r="C820" s="59" t="n"/>
      <c r="D820" s="59" t="n"/>
      <c r="E820" s="59" t="n"/>
      <c r="F820" s="59" t="n"/>
      <c r="G820" s="60" t="n"/>
      <c r="H820" s="59" t="n"/>
      <c r="I820" s="59" t="n"/>
      <c r="J820" s="59" t="n"/>
      <c r="K820" s="59" t="n"/>
      <c r="L820" s="59" t="n"/>
      <c r="M820" s="59" t="n"/>
      <c r="N820" s="59" t="n"/>
      <c r="O820" s="59" t="n"/>
      <c r="P820" s="59" t="n"/>
      <c r="Q820" s="59" t="n"/>
      <c r="R820" s="59" t="n"/>
      <c r="S820" s="59" t="n"/>
      <c r="T820" s="59" t="n"/>
      <c r="U820" s="59" t="n"/>
      <c r="V820" s="59" t="n"/>
      <c r="W820" s="59" t="n"/>
      <c r="X820" s="59" t="n"/>
      <c r="Y820" s="59" t="n"/>
      <c r="Z820" s="59" t="n"/>
      <c r="AA820" s="59" t="n"/>
      <c r="AB820" s="59" t="n"/>
      <c r="AC820" s="59" t="n"/>
      <c r="AD820" s="59" t="n"/>
    </row>
    <row r="821">
      <c r="A821" s="59" t="n"/>
      <c r="B821" s="59" t="n"/>
      <c r="C821" s="59" t="n"/>
      <c r="D821" s="59" t="n"/>
      <c r="E821" s="59" t="n"/>
      <c r="F821" s="59" t="n"/>
      <c r="G821" s="60" t="n"/>
      <c r="H821" s="59" t="n"/>
      <c r="I821" s="59" t="n"/>
      <c r="J821" s="59" t="n"/>
      <c r="K821" s="59" t="n"/>
      <c r="L821" s="59" t="n"/>
      <c r="M821" s="59" t="n"/>
      <c r="N821" s="59" t="n"/>
      <c r="O821" s="59" t="n"/>
      <c r="P821" s="59" t="n"/>
      <c r="Q821" s="59" t="n"/>
      <c r="R821" s="59" t="n"/>
      <c r="S821" s="59" t="n"/>
      <c r="T821" s="59" t="n"/>
      <c r="U821" s="59" t="n"/>
      <c r="V821" s="59" t="n"/>
      <c r="W821" s="59" t="n"/>
      <c r="X821" s="59" t="n"/>
      <c r="Y821" s="59" t="n"/>
      <c r="Z821" s="59" t="n"/>
      <c r="AA821" s="59" t="n"/>
      <c r="AB821" s="59" t="n"/>
      <c r="AC821" s="59" t="n"/>
      <c r="AD821" s="59" t="n"/>
    </row>
    <row r="822">
      <c r="A822" s="59" t="n"/>
      <c r="B822" s="59" t="n"/>
      <c r="C822" s="59" t="n"/>
      <c r="D822" s="59" t="n"/>
      <c r="E822" s="59" t="n"/>
      <c r="F822" s="59" t="n"/>
      <c r="G822" s="60" t="n"/>
      <c r="H822" s="59" t="n"/>
      <c r="I822" s="59" t="n"/>
      <c r="J822" s="59" t="n"/>
      <c r="K822" s="59" t="n"/>
      <c r="L822" s="59" t="n"/>
      <c r="M822" s="59" t="n"/>
      <c r="N822" s="59" t="n"/>
      <c r="O822" s="59" t="n"/>
      <c r="P822" s="59" t="n"/>
      <c r="Q822" s="59" t="n"/>
      <c r="R822" s="59" t="n"/>
      <c r="S822" s="59" t="n"/>
      <c r="T822" s="59" t="n"/>
      <c r="U822" s="59" t="n"/>
      <c r="V822" s="59" t="n"/>
      <c r="W822" s="59" t="n"/>
      <c r="X822" s="59" t="n"/>
      <c r="Y822" s="59" t="n"/>
      <c r="Z822" s="59" t="n"/>
      <c r="AA822" s="59" t="n"/>
      <c r="AB822" s="59" t="n"/>
      <c r="AC822" s="59" t="n"/>
      <c r="AD822" s="59" t="n"/>
    </row>
    <row r="823">
      <c r="A823" s="59" t="n"/>
      <c r="B823" s="59" t="n"/>
      <c r="C823" s="59" t="n"/>
      <c r="D823" s="59" t="n"/>
      <c r="E823" s="59" t="n"/>
      <c r="F823" s="59" t="n"/>
      <c r="G823" s="60" t="n"/>
      <c r="H823" s="59" t="n"/>
      <c r="I823" s="59" t="n"/>
      <c r="J823" s="59" t="n"/>
      <c r="K823" s="59" t="n"/>
      <c r="L823" s="59" t="n"/>
      <c r="M823" s="59" t="n"/>
      <c r="N823" s="59" t="n"/>
      <c r="O823" s="59" t="n"/>
      <c r="P823" s="59" t="n"/>
      <c r="Q823" s="59" t="n"/>
      <c r="R823" s="59" t="n"/>
      <c r="S823" s="59" t="n"/>
      <c r="T823" s="59" t="n"/>
      <c r="U823" s="59" t="n"/>
      <c r="V823" s="59" t="n"/>
      <c r="W823" s="59" t="n"/>
      <c r="X823" s="59" t="n"/>
      <c r="Y823" s="59" t="n"/>
      <c r="Z823" s="59" t="n"/>
      <c r="AA823" s="59" t="n"/>
      <c r="AB823" s="59" t="n"/>
      <c r="AC823" s="59" t="n"/>
      <c r="AD823" s="59" t="n"/>
    </row>
    <row r="824">
      <c r="A824" s="59" t="n"/>
      <c r="B824" s="59" t="n"/>
      <c r="C824" s="59" t="n"/>
      <c r="D824" s="59" t="n"/>
      <c r="E824" s="59" t="n"/>
      <c r="F824" s="59" t="n"/>
      <c r="G824" s="60" t="n"/>
      <c r="H824" s="59" t="n"/>
      <c r="I824" s="59" t="n"/>
      <c r="J824" s="59" t="n"/>
      <c r="K824" s="59" t="n"/>
      <c r="L824" s="59" t="n"/>
      <c r="M824" s="59" t="n"/>
      <c r="N824" s="59" t="n"/>
      <c r="O824" s="59" t="n"/>
      <c r="P824" s="59" t="n"/>
      <c r="Q824" s="59" t="n"/>
      <c r="R824" s="59" t="n"/>
      <c r="S824" s="59" t="n"/>
      <c r="T824" s="59" t="n"/>
      <c r="U824" s="59" t="n"/>
      <c r="V824" s="59" t="n"/>
      <c r="W824" s="59" t="n"/>
      <c r="X824" s="59" t="n"/>
      <c r="Y824" s="59" t="n"/>
      <c r="Z824" s="59" t="n"/>
      <c r="AA824" s="59" t="n"/>
      <c r="AB824" s="59" t="n"/>
      <c r="AC824" s="59" t="n"/>
      <c r="AD824" s="59" t="n"/>
    </row>
    <row r="825">
      <c r="A825" s="59" t="n"/>
      <c r="B825" s="59" t="n"/>
      <c r="C825" s="59" t="n"/>
      <c r="D825" s="59" t="n"/>
      <c r="E825" s="59" t="n"/>
      <c r="F825" s="59" t="n"/>
      <c r="G825" s="60" t="n"/>
      <c r="H825" s="59" t="n"/>
      <c r="I825" s="59" t="n"/>
      <c r="J825" s="59" t="n"/>
      <c r="K825" s="59" t="n"/>
      <c r="L825" s="59" t="n"/>
      <c r="M825" s="59" t="n"/>
      <c r="N825" s="59" t="n"/>
      <c r="O825" s="59" t="n"/>
      <c r="P825" s="59" t="n"/>
      <c r="Q825" s="59" t="n"/>
      <c r="R825" s="59" t="n"/>
      <c r="S825" s="59" t="n"/>
      <c r="T825" s="59" t="n"/>
      <c r="U825" s="59" t="n"/>
      <c r="V825" s="59" t="n"/>
      <c r="W825" s="59" t="n"/>
      <c r="X825" s="59" t="n"/>
      <c r="Y825" s="59" t="n"/>
      <c r="Z825" s="59" t="n"/>
      <c r="AA825" s="59" t="n"/>
      <c r="AB825" s="59" t="n"/>
      <c r="AC825" s="59" t="n"/>
      <c r="AD825" s="59" t="n"/>
    </row>
    <row r="826">
      <c r="A826" s="59" t="n"/>
      <c r="B826" s="59" t="n"/>
      <c r="C826" s="59" t="n"/>
      <c r="D826" s="59" t="n"/>
      <c r="E826" s="59" t="n"/>
      <c r="F826" s="59" t="n"/>
      <c r="G826" s="60" t="n"/>
      <c r="H826" s="59" t="n"/>
      <c r="I826" s="59" t="n"/>
      <c r="J826" s="59" t="n"/>
      <c r="K826" s="59" t="n"/>
      <c r="L826" s="59" t="n"/>
      <c r="M826" s="59" t="n"/>
      <c r="N826" s="59" t="n"/>
      <c r="O826" s="59" t="n"/>
      <c r="P826" s="59" t="n"/>
      <c r="Q826" s="59" t="n"/>
      <c r="R826" s="59" t="n"/>
      <c r="S826" s="59" t="n"/>
      <c r="T826" s="59" t="n"/>
      <c r="U826" s="59" t="n"/>
      <c r="V826" s="59" t="n"/>
      <c r="W826" s="59" t="n"/>
      <c r="X826" s="59" t="n"/>
      <c r="Y826" s="59" t="n"/>
      <c r="Z826" s="59" t="n"/>
      <c r="AA826" s="59" t="n"/>
      <c r="AB826" s="59" t="n"/>
      <c r="AC826" s="59" t="n"/>
      <c r="AD826" s="59" t="n"/>
    </row>
    <row r="827">
      <c r="A827" s="59" t="n"/>
      <c r="B827" s="59" t="n"/>
      <c r="C827" s="59" t="n"/>
      <c r="D827" s="59" t="n"/>
      <c r="E827" s="59" t="n"/>
      <c r="F827" s="59" t="n"/>
      <c r="G827" s="60" t="n"/>
      <c r="H827" s="59" t="n"/>
      <c r="I827" s="59" t="n"/>
      <c r="J827" s="59" t="n"/>
      <c r="K827" s="59" t="n"/>
      <c r="L827" s="59" t="n"/>
      <c r="M827" s="59" t="n"/>
      <c r="N827" s="59" t="n"/>
      <c r="O827" s="59" t="n"/>
      <c r="P827" s="59" t="n"/>
      <c r="Q827" s="59" t="n"/>
      <c r="R827" s="59" t="n"/>
      <c r="S827" s="59" t="n"/>
      <c r="T827" s="59" t="n"/>
      <c r="U827" s="59" t="n"/>
      <c r="V827" s="59" t="n"/>
      <c r="W827" s="59" t="n"/>
      <c r="X827" s="59" t="n"/>
      <c r="Y827" s="59" t="n"/>
      <c r="Z827" s="59" t="n"/>
      <c r="AA827" s="59" t="n"/>
      <c r="AB827" s="59" t="n"/>
      <c r="AC827" s="59" t="n"/>
      <c r="AD827" s="59" t="n"/>
    </row>
    <row r="828">
      <c r="A828" s="59" t="n"/>
      <c r="B828" s="59" t="n"/>
      <c r="C828" s="59" t="n"/>
      <c r="D828" s="59" t="n"/>
      <c r="E828" s="59" t="n"/>
      <c r="F828" s="59" t="n"/>
      <c r="G828" s="60" t="n"/>
      <c r="H828" s="59" t="n"/>
      <c r="I828" s="59" t="n"/>
      <c r="J828" s="59" t="n"/>
      <c r="K828" s="59" t="n"/>
      <c r="L828" s="59" t="n"/>
      <c r="M828" s="59" t="n"/>
      <c r="N828" s="59" t="n"/>
      <c r="O828" s="59" t="n"/>
      <c r="P828" s="59" t="n"/>
      <c r="Q828" s="59" t="n"/>
      <c r="R828" s="59" t="n"/>
      <c r="S828" s="59" t="n"/>
      <c r="T828" s="59" t="n"/>
      <c r="U828" s="59" t="n"/>
      <c r="V828" s="59" t="n"/>
      <c r="W828" s="59" t="n"/>
      <c r="X828" s="59" t="n"/>
      <c r="Y828" s="59" t="n"/>
      <c r="Z828" s="59" t="n"/>
      <c r="AA828" s="59" t="n"/>
      <c r="AB828" s="59" t="n"/>
      <c r="AC828" s="59" t="n"/>
      <c r="AD828" s="59" t="n"/>
    </row>
    <row r="829">
      <c r="A829" s="59" t="n"/>
      <c r="B829" s="59" t="n"/>
      <c r="C829" s="59" t="n"/>
      <c r="D829" s="59" t="n"/>
      <c r="E829" s="59" t="n"/>
      <c r="F829" s="59" t="n"/>
      <c r="G829" s="60" t="n"/>
      <c r="H829" s="59" t="n"/>
      <c r="I829" s="59" t="n"/>
      <c r="J829" s="59" t="n"/>
      <c r="K829" s="59" t="n"/>
      <c r="L829" s="59" t="n"/>
      <c r="M829" s="59" t="n"/>
      <c r="N829" s="59" t="n"/>
      <c r="O829" s="59" t="n"/>
      <c r="P829" s="59" t="n"/>
      <c r="Q829" s="59" t="n"/>
      <c r="R829" s="59" t="n"/>
      <c r="S829" s="59" t="n"/>
      <c r="T829" s="59" t="n"/>
      <c r="U829" s="59" t="n"/>
      <c r="V829" s="59" t="n"/>
      <c r="W829" s="59" t="n"/>
      <c r="X829" s="59" t="n"/>
      <c r="Y829" s="59" t="n"/>
      <c r="Z829" s="59" t="n"/>
      <c r="AA829" s="59" t="n"/>
      <c r="AB829" s="59" t="n"/>
      <c r="AC829" s="59" t="n"/>
      <c r="AD829" s="59" t="n"/>
    </row>
    <row r="830">
      <c r="A830" s="59" t="n"/>
      <c r="B830" s="59" t="n"/>
      <c r="C830" s="59" t="n"/>
      <c r="D830" s="59" t="n"/>
      <c r="E830" s="59" t="n"/>
      <c r="F830" s="59" t="n"/>
      <c r="G830" s="60" t="n"/>
      <c r="H830" s="59" t="n"/>
      <c r="I830" s="59" t="n"/>
      <c r="J830" s="59" t="n"/>
      <c r="K830" s="59" t="n"/>
      <c r="L830" s="59" t="n"/>
      <c r="M830" s="59" t="n"/>
      <c r="N830" s="59" t="n"/>
      <c r="O830" s="59" t="n"/>
      <c r="P830" s="59" t="n"/>
      <c r="Q830" s="59" t="n"/>
      <c r="R830" s="59" t="n"/>
      <c r="S830" s="59" t="n"/>
      <c r="T830" s="59" t="n"/>
      <c r="U830" s="59" t="n"/>
      <c r="V830" s="59" t="n"/>
      <c r="W830" s="59" t="n"/>
      <c r="X830" s="59" t="n"/>
      <c r="Y830" s="59" t="n"/>
      <c r="Z830" s="59" t="n"/>
      <c r="AA830" s="59" t="n"/>
      <c r="AB830" s="59" t="n"/>
      <c r="AC830" s="59" t="n"/>
      <c r="AD830" s="59" t="n"/>
    </row>
    <row r="831">
      <c r="A831" s="59" t="n"/>
      <c r="B831" s="59" t="n"/>
      <c r="C831" s="59" t="n"/>
      <c r="D831" s="59" t="n"/>
      <c r="E831" s="59" t="n"/>
      <c r="F831" s="59" t="n"/>
      <c r="G831" s="60" t="n"/>
      <c r="H831" s="59" t="n"/>
      <c r="I831" s="59" t="n"/>
      <c r="J831" s="59" t="n"/>
      <c r="K831" s="59" t="n"/>
      <c r="L831" s="59" t="n"/>
      <c r="M831" s="59" t="n"/>
      <c r="N831" s="59" t="n"/>
      <c r="O831" s="59" t="n"/>
      <c r="P831" s="59" t="n"/>
      <c r="Q831" s="59" t="n"/>
      <c r="R831" s="59" t="n"/>
      <c r="S831" s="59" t="n"/>
      <c r="T831" s="59" t="n"/>
      <c r="U831" s="59" t="n"/>
      <c r="V831" s="59" t="n"/>
      <c r="W831" s="59" t="n"/>
      <c r="X831" s="59" t="n"/>
      <c r="Y831" s="59" t="n"/>
      <c r="Z831" s="59" t="n"/>
      <c r="AA831" s="59" t="n"/>
      <c r="AB831" s="59" t="n"/>
      <c r="AC831" s="59" t="n"/>
      <c r="AD831" s="59" t="n"/>
    </row>
    <row r="832">
      <c r="A832" s="59" t="n"/>
      <c r="B832" s="59" t="n"/>
      <c r="C832" s="59" t="n"/>
      <c r="D832" s="59" t="n"/>
      <c r="E832" s="59" t="n"/>
      <c r="F832" s="59" t="n"/>
      <c r="G832" s="60" t="n"/>
      <c r="H832" s="59" t="n"/>
      <c r="I832" s="59" t="n"/>
      <c r="J832" s="59" t="n"/>
      <c r="K832" s="59" t="n"/>
      <c r="L832" s="59" t="n"/>
      <c r="M832" s="59" t="n"/>
      <c r="N832" s="59" t="n"/>
      <c r="O832" s="59" t="n"/>
      <c r="P832" s="59" t="n"/>
      <c r="Q832" s="59" t="n"/>
      <c r="R832" s="59" t="n"/>
      <c r="S832" s="59" t="n"/>
      <c r="T832" s="59" t="n"/>
      <c r="U832" s="59" t="n"/>
      <c r="V832" s="59" t="n"/>
      <c r="W832" s="59" t="n"/>
      <c r="X832" s="59" t="n"/>
      <c r="Y832" s="59" t="n"/>
      <c r="Z832" s="59" t="n"/>
      <c r="AA832" s="59" t="n"/>
      <c r="AB832" s="59" t="n"/>
      <c r="AC832" s="59" t="n"/>
      <c r="AD832" s="59" t="n"/>
    </row>
    <row r="833">
      <c r="A833" s="59" t="n"/>
      <c r="B833" s="59" t="n"/>
      <c r="C833" s="59" t="n"/>
      <c r="D833" s="59" t="n"/>
      <c r="E833" s="59" t="n"/>
      <c r="F833" s="59" t="n"/>
      <c r="G833" s="60" t="n"/>
      <c r="H833" s="59" t="n"/>
      <c r="I833" s="59" t="n"/>
      <c r="J833" s="59" t="n"/>
      <c r="K833" s="59" t="n"/>
      <c r="L833" s="59" t="n"/>
      <c r="M833" s="59" t="n"/>
      <c r="N833" s="59" t="n"/>
      <c r="O833" s="59" t="n"/>
      <c r="P833" s="59" t="n"/>
      <c r="Q833" s="59" t="n"/>
      <c r="R833" s="59" t="n"/>
      <c r="S833" s="59" t="n"/>
      <c r="T833" s="59" t="n"/>
      <c r="U833" s="59" t="n"/>
      <c r="V833" s="59" t="n"/>
      <c r="W833" s="59" t="n"/>
      <c r="X833" s="59" t="n"/>
      <c r="Y833" s="59" t="n"/>
      <c r="Z833" s="59" t="n"/>
      <c r="AA833" s="59" t="n"/>
      <c r="AB833" s="59" t="n"/>
      <c r="AC833" s="59" t="n"/>
      <c r="AD833" s="59" t="n"/>
    </row>
    <row r="834">
      <c r="A834" s="59" t="n"/>
      <c r="B834" s="59" t="n"/>
      <c r="C834" s="59" t="n"/>
      <c r="D834" s="59" t="n"/>
      <c r="E834" s="59" t="n"/>
      <c r="F834" s="59" t="n"/>
      <c r="G834" s="60" t="n"/>
      <c r="H834" s="59" t="n"/>
      <c r="I834" s="59" t="n"/>
      <c r="J834" s="59" t="n"/>
      <c r="K834" s="59" t="n"/>
      <c r="L834" s="59" t="n"/>
      <c r="M834" s="59" t="n"/>
      <c r="N834" s="59" t="n"/>
      <c r="O834" s="59" t="n"/>
      <c r="P834" s="59" t="n"/>
      <c r="Q834" s="59" t="n"/>
      <c r="R834" s="59" t="n"/>
      <c r="S834" s="59" t="n"/>
      <c r="T834" s="59" t="n"/>
      <c r="U834" s="59" t="n"/>
      <c r="V834" s="59" t="n"/>
      <c r="W834" s="59" t="n"/>
      <c r="X834" s="59" t="n"/>
      <c r="Y834" s="59" t="n"/>
      <c r="Z834" s="59" t="n"/>
      <c r="AA834" s="59" t="n"/>
      <c r="AB834" s="59" t="n"/>
      <c r="AC834" s="59" t="n"/>
      <c r="AD834" s="59" t="n"/>
    </row>
    <row r="835">
      <c r="A835" s="59" t="n"/>
      <c r="B835" s="59" t="n"/>
      <c r="C835" s="59" t="n"/>
      <c r="D835" s="59" t="n"/>
      <c r="E835" s="59" t="n"/>
      <c r="F835" s="59" t="n"/>
      <c r="G835" s="60" t="n"/>
      <c r="H835" s="59" t="n"/>
      <c r="I835" s="59" t="n"/>
      <c r="J835" s="59" t="n"/>
      <c r="K835" s="59" t="n"/>
      <c r="L835" s="59" t="n"/>
      <c r="M835" s="59" t="n"/>
      <c r="N835" s="59" t="n"/>
      <c r="O835" s="59" t="n"/>
      <c r="P835" s="59" t="n"/>
      <c r="Q835" s="59" t="n"/>
      <c r="R835" s="59" t="n"/>
      <c r="S835" s="59" t="n"/>
      <c r="T835" s="59" t="n"/>
      <c r="U835" s="59" t="n"/>
      <c r="V835" s="59" t="n"/>
      <c r="W835" s="59" t="n"/>
      <c r="X835" s="59" t="n"/>
      <c r="Y835" s="59" t="n"/>
      <c r="Z835" s="59" t="n"/>
      <c r="AA835" s="59" t="n"/>
      <c r="AB835" s="59" t="n"/>
      <c r="AC835" s="59" t="n"/>
      <c r="AD835" s="59" t="n"/>
    </row>
    <row r="836">
      <c r="A836" s="59" t="n"/>
      <c r="B836" s="59" t="n"/>
      <c r="C836" s="59" t="n"/>
      <c r="D836" s="59" t="n"/>
      <c r="E836" s="59" t="n"/>
      <c r="F836" s="59" t="n"/>
      <c r="G836" s="60" t="n"/>
      <c r="H836" s="59" t="n"/>
      <c r="I836" s="59" t="n"/>
      <c r="J836" s="59" t="n"/>
      <c r="K836" s="59" t="n"/>
      <c r="L836" s="59" t="n"/>
      <c r="M836" s="59" t="n"/>
      <c r="N836" s="59" t="n"/>
      <c r="O836" s="59" t="n"/>
      <c r="P836" s="59" t="n"/>
      <c r="Q836" s="59" t="n"/>
      <c r="R836" s="59" t="n"/>
      <c r="S836" s="59" t="n"/>
      <c r="T836" s="59" t="n"/>
      <c r="U836" s="59" t="n"/>
      <c r="V836" s="59" t="n"/>
      <c r="W836" s="59" t="n"/>
      <c r="X836" s="59" t="n"/>
      <c r="Y836" s="59" t="n"/>
      <c r="Z836" s="59" t="n"/>
      <c r="AA836" s="59" t="n"/>
      <c r="AB836" s="59" t="n"/>
      <c r="AC836" s="59" t="n"/>
      <c r="AD836" s="59" t="n"/>
    </row>
    <row r="837">
      <c r="A837" s="59" t="n"/>
      <c r="B837" s="59" t="n"/>
      <c r="C837" s="59" t="n"/>
      <c r="D837" s="59" t="n"/>
      <c r="E837" s="59" t="n"/>
      <c r="F837" s="59" t="n"/>
      <c r="G837" s="60" t="n"/>
      <c r="H837" s="59" t="n"/>
      <c r="I837" s="59" t="n"/>
      <c r="J837" s="59" t="n"/>
      <c r="K837" s="59" t="n"/>
      <c r="L837" s="59" t="n"/>
      <c r="M837" s="59" t="n"/>
      <c r="N837" s="59" t="n"/>
      <c r="O837" s="59" t="n"/>
      <c r="P837" s="59" t="n"/>
      <c r="Q837" s="59" t="n"/>
      <c r="R837" s="59" t="n"/>
      <c r="S837" s="59" t="n"/>
      <c r="T837" s="59" t="n"/>
      <c r="U837" s="59" t="n"/>
      <c r="V837" s="59" t="n"/>
      <c r="W837" s="59" t="n"/>
      <c r="X837" s="59" t="n"/>
      <c r="Y837" s="59" t="n"/>
      <c r="Z837" s="59" t="n"/>
      <c r="AA837" s="59" t="n"/>
      <c r="AB837" s="59" t="n"/>
      <c r="AC837" s="59" t="n"/>
      <c r="AD837" s="59" t="n"/>
    </row>
    <row r="838">
      <c r="A838" s="59" t="n"/>
      <c r="B838" s="59" t="n"/>
      <c r="C838" s="59" t="n"/>
      <c r="D838" s="59" t="n"/>
      <c r="E838" s="59" t="n"/>
      <c r="F838" s="59" t="n"/>
      <c r="G838" s="60" t="n"/>
      <c r="H838" s="59" t="n"/>
      <c r="I838" s="59" t="n"/>
      <c r="J838" s="59" t="n"/>
      <c r="K838" s="59" t="n"/>
      <c r="L838" s="59" t="n"/>
      <c r="M838" s="59" t="n"/>
      <c r="N838" s="59" t="n"/>
      <c r="O838" s="59" t="n"/>
      <c r="P838" s="59" t="n"/>
      <c r="Q838" s="59" t="n"/>
      <c r="R838" s="59" t="n"/>
      <c r="S838" s="59" t="n"/>
      <c r="T838" s="59" t="n"/>
      <c r="U838" s="59" t="n"/>
      <c r="V838" s="59" t="n"/>
      <c r="W838" s="59" t="n"/>
      <c r="X838" s="59" t="n"/>
      <c r="Y838" s="59" t="n"/>
      <c r="Z838" s="59" t="n"/>
      <c r="AA838" s="59" t="n"/>
      <c r="AB838" s="59" t="n"/>
      <c r="AC838" s="59" t="n"/>
      <c r="AD838" s="59" t="n"/>
    </row>
    <row r="839">
      <c r="A839" s="59" t="n"/>
      <c r="B839" s="59" t="n"/>
      <c r="C839" s="59" t="n"/>
      <c r="D839" s="59" t="n"/>
      <c r="E839" s="59" t="n"/>
      <c r="F839" s="59" t="n"/>
      <c r="G839" s="60" t="n"/>
      <c r="H839" s="59" t="n"/>
      <c r="I839" s="59" t="n"/>
      <c r="J839" s="59" t="n"/>
      <c r="K839" s="59" t="n"/>
      <c r="L839" s="59" t="n"/>
      <c r="M839" s="59" t="n"/>
      <c r="N839" s="59" t="n"/>
      <c r="O839" s="59" t="n"/>
      <c r="P839" s="59" t="n"/>
      <c r="Q839" s="59" t="n"/>
      <c r="R839" s="59" t="n"/>
      <c r="S839" s="59" t="n"/>
      <c r="T839" s="59" t="n"/>
      <c r="U839" s="59" t="n"/>
      <c r="V839" s="59" t="n"/>
      <c r="W839" s="59" t="n"/>
      <c r="X839" s="59" t="n"/>
      <c r="Y839" s="59" t="n"/>
      <c r="Z839" s="59" t="n"/>
      <c r="AA839" s="59" t="n"/>
      <c r="AB839" s="59" t="n"/>
      <c r="AC839" s="59" t="n"/>
      <c r="AD839" s="59" t="n"/>
    </row>
    <row r="840">
      <c r="A840" s="59" t="n"/>
      <c r="B840" s="59" t="n"/>
      <c r="C840" s="59" t="n"/>
      <c r="D840" s="59" t="n"/>
      <c r="E840" s="59" t="n"/>
      <c r="F840" s="59" t="n"/>
      <c r="G840" s="60" t="n"/>
      <c r="H840" s="59" t="n"/>
      <c r="I840" s="59" t="n"/>
      <c r="J840" s="59" t="n"/>
      <c r="K840" s="59" t="n"/>
      <c r="L840" s="59" t="n"/>
      <c r="M840" s="59" t="n"/>
      <c r="N840" s="59" t="n"/>
      <c r="O840" s="59" t="n"/>
      <c r="P840" s="59" t="n"/>
      <c r="Q840" s="59" t="n"/>
      <c r="R840" s="59" t="n"/>
      <c r="S840" s="59" t="n"/>
      <c r="T840" s="59" t="n"/>
      <c r="U840" s="59" t="n"/>
      <c r="V840" s="59" t="n"/>
      <c r="W840" s="59" t="n"/>
      <c r="X840" s="59" t="n"/>
      <c r="Y840" s="59" t="n"/>
      <c r="Z840" s="59" t="n"/>
      <c r="AA840" s="59" t="n"/>
      <c r="AB840" s="59" t="n"/>
      <c r="AC840" s="59" t="n"/>
      <c r="AD840" s="59" t="n"/>
    </row>
    <row r="841">
      <c r="A841" s="59" t="n"/>
      <c r="B841" s="59" t="n"/>
      <c r="C841" s="59" t="n"/>
      <c r="D841" s="59" t="n"/>
      <c r="E841" s="59" t="n"/>
      <c r="F841" s="59" t="n"/>
      <c r="G841" s="60" t="n"/>
      <c r="H841" s="59" t="n"/>
      <c r="I841" s="59" t="n"/>
      <c r="J841" s="59" t="n"/>
      <c r="K841" s="59" t="n"/>
      <c r="L841" s="59" t="n"/>
      <c r="M841" s="59" t="n"/>
      <c r="N841" s="59" t="n"/>
      <c r="O841" s="59" t="n"/>
      <c r="P841" s="59" t="n"/>
      <c r="Q841" s="59" t="n"/>
      <c r="R841" s="59" t="n"/>
      <c r="S841" s="59" t="n"/>
      <c r="T841" s="59" t="n"/>
      <c r="U841" s="59" t="n"/>
      <c r="V841" s="59" t="n"/>
      <c r="W841" s="59" t="n"/>
      <c r="X841" s="59" t="n"/>
      <c r="Y841" s="59" t="n"/>
      <c r="Z841" s="59" t="n"/>
      <c r="AA841" s="59" t="n"/>
      <c r="AB841" s="59" t="n"/>
      <c r="AC841" s="59" t="n"/>
      <c r="AD841" s="59" t="n"/>
    </row>
    <row r="842">
      <c r="A842" s="59" t="n"/>
      <c r="B842" s="59" t="n"/>
      <c r="C842" s="59" t="n"/>
      <c r="D842" s="59" t="n"/>
      <c r="E842" s="59" t="n"/>
      <c r="F842" s="59" t="n"/>
      <c r="G842" s="60" t="n"/>
      <c r="H842" s="59" t="n"/>
      <c r="I842" s="59" t="n"/>
      <c r="J842" s="59" t="n"/>
      <c r="K842" s="59" t="n"/>
      <c r="L842" s="59" t="n"/>
      <c r="M842" s="59" t="n"/>
      <c r="N842" s="59" t="n"/>
      <c r="O842" s="59" t="n"/>
      <c r="P842" s="59" t="n"/>
      <c r="Q842" s="59" t="n"/>
      <c r="R842" s="59" t="n"/>
      <c r="S842" s="59" t="n"/>
      <c r="T842" s="59" t="n"/>
      <c r="U842" s="59" t="n"/>
      <c r="V842" s="59" t="n"/>
      <c r="W842" s="59" t="n"/>
      <c r="X842" s="59" t="n"/>
      <c r="Y842" s="59" t="n"/>
      <c r="Z842" s="59" t="n"/>
      <c r="AA842" s="59" t="n"/>
      <c r="AB842" s="59" t="n"/>
      <c r="AC842" s="59" t="n"/>
      <c r="AD842" s="59" t="n"/>
    </row>
    <row r="843">
      <c r="A843" s="59" t="n"/>
      <c r="B843" s="59" t="n"/>
      <c r="C843" s="59" t="n"/>
      <c r="D843" s="59" t="n"/>
      <c r="E843" s="59" t="n"/>
      <c r="F843" s="59" t="n"/>
      <c r="G843" s="60" t="n"/>
      <c r="H843" s="59" t="n"/>
      <c r="I843" s="59" t="n"/>
      <c r="J843" s="59" t="n"/>
      <c r="K843" s="59" t="n"/>
      <c r="L843" s="59" t="n"/>
      <c r="M843" s="59" t="n"/>
      <c r="N843" s="59" t="n"/>
      <c r="O843" s="59" t="n"/>
      <c r="P843" s="59" t="n"/>
      <c r="Q843" s="59" t="n"/>
      <c r="R843" s="59" t="n"/>
      <c r="S843" s="59" t="n"/>
      <c r="T843" s="59" t="n"/>
      <c r="U843" s="59" t="n"/>
      <c r="V843" s="59" t="n"/>
      <c r="W843" s="59" t="n"/>
      <c r="X843" s="59" t="n"/>
      <c r="Y843" s="59" t="n"/>
      <c r="Z843" s="59" t="n"/>
      <c r="AA843" s="59" t="n"/>
      <c r="AB843" s="59" t="n"/>
      <c r="AC843" s="59" t="n"/>
      <c r="AD843" s="59" t="n"/>
    </row>
    <row r="844">
      <c r="A844" s="59" t="n"/>
      <c r="B844" s="59" t="n"/>
      <c r="C844" s="59" t="n"/>
      <c r="D844" s="59" t="n"/>
      <c r="E844" s="59" t="n"/>
      <c r="F844" s="59" t="n"/>
      <c r="G844" s="60" t="n"/>
      <c r="H844" s="59" t="n"/>
      <c r="I844" s="59" t="n"/>
      <c r="J844" s="59" t="n"/>
      <c r="K844" s="59" t="n"/>
      <c r="L844" s="59" t="n"/>
      <c r="M844" s="59" t="n"/>
      <c r="N844" s="59" t="n"/>
      <c r="O844" s="59" t="n"/>
      <c r="P844" s="59" t="n"/>
      <c r="Q844" s="59" t="n"/>
      <c r="R844" s="59" t="n"/>
      <c r="S844" s="59" t="n"/>
      <c r="T844" s="59" t="n"/>
      <c r="U844" s="59" t="n"/>
      <c r="V844" s="59" t="n"/>
      <c r="W844" s="59" t="n"/>
      <c r="X844" s="59" t="n"/>
      <c r="Y844" s="59" t="n"/>
      <c r="Z844" s="59" t="n"/>
      <c r="AA844" s="59" t="n"/>
      <c r="AB844" s="59" t="n"/>
      <c r="AC844" s="59" t="n"/>
      <c r="AD844" s="59" t="n"/>
    </row>
    <row r="845">
      <c r="A845" s="59" t="n"/>
      <c r="B845" s="59" t="n"/>
      <c r="C845" s="59" t="n"/>
      <c r="D845" s="59" t="n"/>
      <c r="E845" s="59" t="n"/>
      <c r="F845" s="59" t="n"/>
      <c r="G845" s="60" t="n"/>
      <c r="H845" s="59" t="n"/>
      <c r="I845" s="59" t="n"/>
      <c r="J845" s="59" t="n"/>
      <c r="K845" s="59" t="n"/>
      <c r="L845" s="59" t="n"/>
      <c r="M845" s="59" t="n"/>
      <c r="N845" s="59" t="n"/>
      <c r="O845" s="59" t="n"/>
      <c r="P845" s="59" t="n"/>
      <c r="Q845" s="59" t="n"/>
      <c r="R845" s="59" t="n"/>
      <c r="S845" s="59" t="n"/>
      <c r="T845" s="59" t="n"/>
      <c r="U845" s="59" t="n"/>
      <c r="V845" s="59" t="n"/>
      <c r="W845" s="59" t="n"/>
      <c r="X845" s="59" t="n"/>
      <c r="Y845" s="59" t="n"/>
      <c r="Z845" s="59" t="n"/>
      <c r="AA845" s="59" t="n"/>
      <c r="AB845" s="59" t="n"/>
      <c r="AC845" s="59" t="n"/>
      <c r="AD845" s="59" t="n"/>
    </row>
    <row r="846">
      <c r="A846" s="59" t="n"/>
      <c r="B846" s="59" t="n"/>
      <c r="C846" s="59" t="n"/>
      <c r="D846" s="59" t="n"/>
      <c r="E846" s="59" t="n"/>
      <c r="F846" s="59" t="n"/>
      <c r="G846" s="60" t="n"/>
      <c r="H846" s="59" t="n"/>
      <c r="I846" s="59" t="n"/>
      <c r="J846" s="59" t="n"/>
      <c r="K846" s="59" t="n"/>
      <c r="L846" s="59" t="n"/>
      <c r="M846" s="59" t="n"/>
      <c r="N846" s="59" t="n"/>
      <c r="O846" s="59" t="n"/>
      <c r="P846" s="59" t="n"/>
      <c r="Q846" s="59" t="n"/>
      <c r="R846" s="59" t="n"/>
      <c r="S846" s="59" t="n"/>
      <c r="T846" s="59" t="n"/>
      <c r="U846" s="59" t="n"/>
      <c r="V846" s="59" t="n"/>
      <c r="W846" s="59" t="n"/>
      <c r="X846" s="59" t="n"/>
      <c r="Y846" s="59" t="n"/>
      <c r="Z846" s="59" t="n"/>
      <c r="AA846" s="59" t="n"/>
      <c r="AB846" s="59" t="n"/>
      <c r="AC846" s="59" t="n"/>
      <c r="AD846" s="59" t="n"/>
    </row>
    <row r="847">
      <c r="A847" s="59" t="n"/>
      <c r="B847" s="59" t="n"/>
      <c r="C847" s="59" t="n"/>
      <c r="D847" s="59" t="n"/>
      <c r="E847" s="59" t="n"/>
      <c r="F847" s="59" t="n"/>
      <c r="G847" s="60" t="n"/>
      <c r="H847" s="59" t="n"/>
      <c r="I847" s="59" t="n"/>
      <c r="J847" s="59" t="n"/>
      <c r="K847" s="59" t="n"/>
      <c r="L847" s="59" t="n"/>
      <c r="M847" s="59" t="n"/>
      <c r="N847" s="59" t="n"/>
      <c r="O847" s="59" t="n"/>
      <c r="P847" s="59" t="n"/>
      <c r="Q847" s="59" t="n"/>
      <c r="R847" s="59" t="n"/>
      <c r="S847" s="59" t="n"/>
      <c r="T847" s="59" t="n"/>
      <c r="U847" s="59" t="n"/>
      <c r="V847" s="59" t="n"/>
      <c r="W847" s="59" t="n"/>
      <c r="X847" s="59" t="n"/>
      <c r="Y847" s="59" t="n"/>
      <c r="Z847" s="59" t="n"/>
      <c r="AA847" s="59" t="n"/>
      <c r="AB847" s="59" t="n"/>
      <c r="AC847" s="59" t="n"/>
      <c r="AD847" s="59" t="n"/>
    </row>
    <row r="848">
      <c r="A848" s="59" t="n"/>
      <c r="B848" s="59" t="n"/>
      <c r="C848" s="59" t="n"/>
      <c r="D848" s="59" t="n"/>
      <c r="E848" s="59" t="n"/>
      <c r="F848" s="59" t="n"/>
      <c r="G848" s="60" t="n"/>
      <c r="H848" s="59" t="n"/>
      <c r="I848" s="59" t="n"/>
      <c r="J848" s="59" t="n"/>
      <c r="K848" s="59" t="n"/>
      <c r="L848" s="59" t="n"/>
      <c r="M848" s="59" t="n"/>
      <c r="N848" s="59" t="n"/>
      <c r="O848" s="59" t="n"/>
      <c r="P848" s="59" t="n"/>
      <c r="Q848" s="59" t="n"/>
      <c r="R848" s="59" t="n"/>
      <c r="S848" s="59" t="n"/>
      <c r="T848" s="59" t="n"/>
      <c r="U848" s="59" t="n"/>
      <c r="V848" s="59" t="n"/>
      <c r="W848" s="59" t="n"/>
      <c r="X848" s="59" t="n"/>
      <c r="Y848" s="59" t="n"/>
      <c r="Z848" s="59" t="n"/>
      <c r="AA848" s="59" t="n"/>
      <c r="AB848" s="59" t="n"/>
      <c r="AC848" s="59" t="n"/>
      <c r="AD848" s="59" t="n"/>
    </row>
    <row r="849">
      <c r="A849" s="59" t="n"/>
      <c r="B849" s="59" t="n"/>
      <c r="C849" s="59" t="n"/>
      <c r="D849" s="59" t="n"/>
      <c r="E849" s="59" t="n"/>
      <c r="F849" s="59" t="n"/>
      <c r="G849" s="60" t="n"/>
      <c r="H849" s="59" t="n"/>
      <c r="I849" s="59" t="n"/>
      <c r="J849" s="59" t="n"/>
      <c r="K849" s="59" t="n"/>
      <c r="L849" s="59" t="n"/>
      <c r="M849" s="59" t="n"/>
      <c r="N849" s="59" t="n"/>
      <c r="O849" s="59" t="n"/>
      <c r="P849" s="59" t="n"/>
      <c r="Q849" s="59" t="n"/>
      <c r="R849" s="59" t="n"/>
      <c r="S849" s="59" t="n"/>
      <c r="T849" s="59" t="n"/>
      <c r="U849" s="59" t="n"/>
      <c r="V849" s="59" t="n"/>
      <c r="W849" s="59" t="n"/>
      <c r="X849" s="59" t="n"/>
      <c r="Y849" s="59" t="n"/>
      <c r="Z849" s="59" t="n"/>
      <c r="AA849" s="59" t="n"/>
      <c r="AB849" s="59" t="n"/>
      <c r="AC849" s="59" t="n"/>
      <c r="AD849" s="59" t="n"/>
    </row>
    <row r="850">
      <c r="A850" s="59" t="n"/>
      <c r="B850" s="59" t="n"/>
      <c r="C850" s="59" t="n"/>
      <c r="D850" s="59" t="n"/>
      <c r="E850" s="59" t="n"/>
      <c r="F850" s="59" t="n"/>
      <c r="G850" s="60" t="n"/>
      <c r="H850" s="59" t="n"/>
      <c r="I850" s="59" t="n"/>
      <c r="J850" s="59" t="n"/>
      <c r="K850" s="59" t="n"/>
      <c r="L850" s="59" t="n"/>
      <c r="M850" s="59" t="n"/>
      <c r="N850" s="59" t="n"/>
      <c r="O850" s="59" t="n"/>
      <c r="P850" s="59" t="n"/>
      <c r="Q850" s="59" t="n"/>
      <c r="R850" s="59" t="n"/>
      <c r="S850" s="59" t="n"/>
      <c r="T850" s="59" t="n"/>
      <c r="U850" s="59" t="n"/>
      <c r="V850" s="59" t="n"/>
      <c r="W850" s="59" t="n"/>
      <c r="X850" s="59" t="n"/>
      <c r="Y850" s="59" t="n"/>
      <c r="Z850" s="59" t="n"/>
      <c r="AA850" s="59" t="n"/>
      <c r="AB850" s="59" t="n"/>
      <c r="AC850" s="59" t="n"/>
      <c r="AD850" s="59" t="n"/>
    </row>
    <row r="851">
      <c r="A851" s="59" t="n"/>
      <c r="B851" s="59" t="n"/>
      <c r="C851" s="59" t="n"/>
      <c r="D851" s="59" t="n"/>
      <c r="E851" s="59" t="n"/>
      <c r="F851" s="59" t="n"/>
      <c r="G851" s="60" t="n"/>
      <c r="H851" s="59" t="n"/>
      <c r="I851" s="59" t="n"/>
      <c r="J851" s="59" t="n"/>
      <c r="K851" s="59" t="n"/>
      <c r="L851" s="59" t="n"/>
      <c r="M851" s="59" t="n"/>
      <c r="N851" s="59" t="n"/>
      <c r="O851" s="59" t="n"/>
      <c r="P851" s="59" t="n"/>
      <c r="Q851" s="59" t="n"/>
      <c r="R851" s="59" t="n"/>
      <c r="S851" s="59" t="n"/>
      <c r="T851" s="59" t="n"/>
      <c r="U851" s="59" t="n"/>
      <c r="V851" s="59" t="n"/>
      <c r="W851" s="59" t="n"/>
      <c r="X851" s="59" t="n"/>
      <c r="Y851" s="59" t="n"/>
      <c r="Z851" s="59" t="n"/>
      <c r="AA851" s="59" t="n"/>
      <c r="AB851" s="59" t="n"/>
      <c r="AC851" s="59" t="n"/>
      <c r="AD851" s="59" t="n"/>
    </row>
    <row r="852">
      <c r="A852" s="59" t="n"/>
      <c r="B852" s="59" t="n"/>
      <c r="C852" s="59" t="n"/>
      <c r="D852" s="59" t="n"/>
      <c r="E852" s="59" t="n"/>
      <c r="F852" s="59" t="n"/>
      <c r="G852" s="60" t="n"/>
      <c r="H852" s="59" t="n"/>
      <c r="I852" s="59" t="n"/>
      <c r="J852" s="59" t="n"/>
      <c r="K852" s="59" t="n"/>
      <c r="L852" s="59" t="n"/>
      <c r="M852" s="59" t="n"/>
      <c r="N852" s="59" t="n"/>
      <c r="O852" s="59" t="n"/>
      <c r="P852" s="59" t="n"/>
      <c r="Q852" s="59" t="n"/>
      <c r="R852" s="59" t="n"/>
      <c r="S852" s="59" t="n"/>
      <c r="T852" s="59" t="n"/>
      <c r="U852" s="59" t="n"/>
      <c r="V852" s="59" t="n"/>
      <c r="W852" s="59" t="n"/>
      <c r="X852" s="59" t="n"/>
      <c r="Y852" s="59" t="n"/>
      <c r="Z852" s="59" t="n"/>
      <c r="AA852" s="59" t="n"/>
      <c r="AB852" s="59" t="n"/>
      <c r="AC852" s="59" t="n"/>
      <c r="AD852" s="59" t="n"/>
    </row>
    <row r="853">
      <c r="A853" s="59" t="n"/>
      <c r="B853" s="59" t="n"/>
      <c r="C853" s="59" t="n"/>
      <c r="D853" s="59" t="n"/>
      <c r="E853" s="59" t="n"/>
      <c r="F853" s="59" t="n"/>
      <c r="G853" s="60" t="n"/>
      <c r="H853" s="59" t="n"/>
      <c r="I853" s="59" t="n"/>
      <c r="J853" s="59" t="n"/>
      <c r="K853" s="59" t="n"/>
      <c r="L853" s="59" t="n"/>
      <c r="M853" s="59" t="n"/>
      <c r="N853" s="59" t="n"/>
      <c r="O853" s="59" t="n"/>
      <c r="P853" s="59" t="n"/>
      <c r="Q853" s="59" t="n"/>
      <c r="R853" s="59" t="n"/>
      <c r="S853" s="59" t="n"/>
      <c r="T853" s="59" t="n"/>
      <c r="U853" s="59" t="n"/>
      <c r="V853" s="59" t="n"/>
      <c r="W853" s="59" t="n"/>
      <c r="X853" s="59" t="n"/>
      <c r="Y853" s="59" t="n"/>
      <c r="Z853" s="59" t="n"/>
      <c r="AA853" s="59" t="n"/>
      <c r="AB853" s="59" t="n"/>
      <c r="AC853" s="59" t="n"/>
      <c r="AD853" s="59" t="n"/>
    </row>
    <row r="854">
      <c r="A854" s="59" t="n"/>
      <c r="B854" s="59" t="n"/>
      <c r="C854" s="59" t="n"/>
      <c r="D854" s="59" t="n"/>
      <c r="E854" s="59" t="n"/>
      <c r="F854" s="59" t="n"/>
      <c r="G854" s="60" t="n"/>
      <c r="H854" s="59" t="n"/>
      <c r="I854" s="59" t="n"/>
      <c r="J854" s="59" t="n"/>
      <c r="K854" s="59" t="n"/>
      <c r="L854" s="59" t="n"/>
      <c r="M854" s="59" t="n"/>
      <c r="N854" s="59" t="n"/>
      <c r="O854" s="59" t="n"/>
      <c r="P854" s="59" t="n"/>
      <c r="Q854" s="59" t="n"/>
      <c r="R854" s="59" t="n"/>
      <c r="S854" s="59" t="n"/>
      <c r="T854" s="59" t="n"/>
      <c r="U854" s="59" t="n"/>
      <c r="V854" s="59" t="n"/>
      <c r="W854" s="59" t="n"/>
      <c r="X854" s="59" t="n"/>
      <c r="Y854" s="59" t="n"/>
      <c r="Z854" s="59" t="n"/>
      <c r="AA854" s="59" t="n"/>
      <c r="AB854" s="59" t="n"/>
      <c r="AC854" s="59" t="n"/>
      <c r="AD854" s="59" t="n"/>
    </row>
    <row r="855">
      <c r="A855" s="59" t="n"/>
      <c r="B855" s="59" t="n"/>
      <c r="C855" s="59" t="n"/>
      <c r="D855" s="59" t="n"/>
      <c r="E855" s="59" t="n"/>
      <c r="F855" s="59" t="n"/>
      <c r="G855" s="60" t="n"/>
      <c r="H855" s="59" t="n"/>
      <c r="I855" s="59" t="n"/>
      <c r="J855" s="59" t="n"/>
      <c r="K855" s="59" t="n"/>
      <c r="L855" s="59" t="n"/>
      <c r="M855" s="59" t="n"/>
      <c r="N855" s="59" t="n"/>
      <c r="O855" s="59" t="n"/>
      <c r="P855" s="59" t="n"/>
      <c r="Q855" s="59" t="n"/>
      <c r="R855" s="59" t="n"/>
      <c r="S855" s="59" t="n"/>
      <c r="T855" s="59" t="n"/>
      <c r="U855" s="59" t="n"/>
      <c r="V855" s="59" t="n"/>
      <c r="W855" s="59" t="n"/>
      <c r="X855" s="59" t="n"/>
      <c r="Y855" s="59" t="n"/>
      <c r="Z855" s="59" t="n"/>
      <c r="AA855" s="59" t="n"/>
      <c r="AB855" s="59" t="n"/>
      <c r="AC855" s="59" t="n"/>
      <c r="AD855" s="59" t="n"/>
    </row>
    <row r="856">
      <c r="A856" s="59" t="n"/>
      <c r="B856" s="59" t="n"/>
      <c r="C856" s="59" t="n"/>
      <c r="D856" s="59" t="n"/>
      <c r="E856" s="59" t="n"/>
      <c r="F856" s="59" t="n"/>
      <c r="G856" s="60" t="n"/>
      <c r="H856" s="59" t="n"/>
      <c r="I856" s="59" t="n"/>
      <c r="J856" s="59" t="n"/>
      <c r="K856" s="59" t="n"/>
      <c r="L856" s="59" t="n"/>
      <c r="M856" s="59" t="n"/>
      <c r="N856" s="59" t="n"/>
      <c r="O856" s="59" t="n"/>
      <c r="P856" s="59" t="n"/>
      <c r="Q856" s="59" t="n"/>
      <c r="R856" s="59" t="n"/>
      <c r="S856" s="59" t="n"/>
      <c r="T856" s="59" t="n"/>
      <c r="U856" s="59" t="n"/>
      <c r="V856" s="59" t="n"/>
      <c r="W856" s="59" t="n"/>
      <c r="X856" s="59" t="n"/>
      <c r="Y856" s="59" t="n"/>
      <c r="Z856" s="59" t="n"/>
      <c r="AA856" s="59" t="n"/>
      <c r="AB856" s="59" t="n"/>
      <c r="AC856" s="59" t="n"/>
      <c r="AD856" s="59" t="n"/>
    </row>
    <row r="857">
      <c r="A857" s="59" t="n"/>
      <c r="B857" s="59" t="n"/>
      <c r="C857" s="59" t="n"/>
      <c r="D857" s="59" t="n"/>
      <c r="E857" s="59" t="n"/>
      <c r="F857" s="59" t="n"/>
      <c r="G857" s="60" t="n"/>
      <c r="H857" s="59" t="n"/>
      <c r="I857" s="59" t="n"/>
      <c r="J857" s="59" t="n"/>
      <c r="K857" s="59" t="n"/>
      <c r="L857" s="59" t="n"/>
      <c r="M857" s="59" t="n"/>
      <c r="N857" s="59" t="n"/>
      <c r="O857" s="59" t="n"/>
      <c r="P857" s="59" t="n"/>
      <c r="Q857" s="59" t="n"/>
      <c r="R857" s="59" t="n"/>
      <c r="S857" s="59" t="n"/>
      <c r="T857" s="59" t="n"/>
      <c r="U857" s="59" t="n"/>
      <c r="V857" s="59" t="n"/>
      <c r="W857" s="59" t="n"/>
      <c r="X857" s="59" t="n"/>
      <c r="Y857" s="59" t="n"/>
      <c r="Z857" s="59" t="n"/>
      <c r="AA857" s="59" t="n"/>
      <c r="AB857" s="59" t="n"/>
      <c r="AC857" s="59" t="n"/>
      <c r="AD857" s="59" t="n"/>
    </row>
    <row r="858">
      <c r="A858" s="59" t="n"/>
      <c r="B858" s="59" t="n"/>
      <c r="C858" s="59" t="n"/>
      <c r="D858" s="59" t="n"/>
      <c r="E858" s="59" t="n"/>
      <c r="F858" s="59" t="n"/>
      <c r="G858" s="60" t="n"/>
      <c r="H858" s="59" t="n"/>
      <c r="I858" s="59" t="n"/>
      <c r="J858" s="59" t="n"/>
      <c r="K858" s="59" t="n"/>
      <c r="L858" s="59" t="n"/>
      <c r="M858" s="59" t="n"/>
      <c r="N858" s="59" t="n"/>
      <c r="O858" s="59" t="n"/>
      <c r="P858" s="59" t="n"/>
      <c r="Q858" s="59" t="n"/>
      <c r="R858" s="59" t="n"/>
      <c r="S858" s="59" t="n"/>
      <c r="T858" s="59" t="n"/>
      <c r="U858" s="59" t="n"/>
      <c r="V858" s="59" t="n"/>
      <c r="W858" s="59" t="n"/>
      <c r="X858" s="59" t="n"/>
      <c r="Y858" s="59" t="n"/>
      <c r="Z858" s="59" t="n"/>
      <c r="AA858" s="59" t="n"/>
      <c r="AB858" s="59" t="n"/>
      <c r="AC858" s="59" t="n"/>
      <c r="AD858" s="59" t="n"/>
    </row>
    <row r="859">
      <c r="A859" s="59" t="n"/>
      <c r="B859" s="59" t="n"/>
      <c r="C859" s="59" t="n"/>
      <c r="D859" s="59" t="n"/>
      <c r="E859" s="59" t="n"/>
      <c r="F859" s="59" t="n"/>
      <c r="G859" s="60" t="n"/>
      <c r="H859" s="59" t="n"/>
      <c r="I859" s="59" t="n"/>
      <c r="J859" s="59" t="n"/>
      <c r="K859" s="59" t="n"/>
      <c r="L859" s="59" t="n"/>
      <c r="M859" s="59" t="n"/>
      <c r="N859" s="59" t="n"/>
      <c r="O859" s="59" t="n"/>
      <c r="P859" s="59" t="n"/>
      <c r="Q859" s="59" t="n"/>
      <c r="R859" s="59" t="n"/>
      <c r="S859" s="59" t="n"/>
      <c r="T859" s="59" t="n"/>
      <c r="U859" s="59" t="n"/>
      <c r="V859" s="59" t="n"/>
      <c r="W859" s="59" t="n"/>
      <c r="X859" s="59" t="n"/>
      <c r="Y859" s="59" t="n"/>
      <c r="Z859" s="59" t="n"/>
      <c r="AA859" s="59" t="n"/>
      <c r="AB859" s="59" t="n"/>
      <c r="AC859" s="59" t="n"/>
      <c r="AD859" s="59" t="n"/>
    </row>
    <row r="860">
      <c r="A860" s="59" t="n"/>
      <c r="B860" s="59" t="n"/>
      <c r="C860" s="59" t="n"/>
      <c r="D860" s="59" t="n"/>
      <c r="E860" s="59" t="n"/>
      <c r="F860" s="59" t="n"/>
      <c r="G860" s="60" t="n"/>
      <c r="H860" s="59" t="n"/>
      <c r="I860" s="59" t="n"/>
      <c r="J860" s="59" t="n"/>
      <c r="K860" s="59" t="n"/>
      <c r="L860" s="59" t="n"/>
      <c r="M860" s="59" t="n"/>
      <c r="N860" s="59" t="n"/>
      <c r="O860" s="59" t="n"/>
      <c r="P860" s="59" t="n"/>
      <c r="Q860" s="59" t="n"/>
      <c r="R860" s="59" t="n"/>
      <c r="S860" s="59" t="n"/>
      <c r="T860" s="59" t="n"/>
      <c r="U860" s="59" t="n"/>
      <c r="V860" s="59" t="n"/>
      <c r="W860" s="59" t="n"/>
      <c r="X860" s="59" t="n"/>
      <c r="Y860" s="59" t="n"/>
      <c r="Z860" s="59" t="n"/>
      <c r="AA860" s="59" t="n"/>
      <c r="AB860" s="59" t="n"/>
      <c r="AC860" s="59" t="n"/>
      <c r="AD860" s="59" t="n"/>
    </row>
    <row r="861">
      <c r="A861" s="59" t="n"/>
      <c r="B861" s="59" t="n"/>
      <c r="C861" s="59" t="n"/>
      <c r="D861" s="59" t="n"/>
      <c r="E861" s="59" t="n"/>
      <c r="F861" s="59" t="n"/>
      <c r="G861" s="60" t="n"/>
      <c r="H861" s="59" t="n"/>
      <c r="I861" s="59" t="n"/>
      <c r="J861" s="59" t="n"/>
      <c r="K861" s="59" t="n"/>
      <c r="L861" s="59" t="n"/>
      <c r="M861" s="59" t="n"/>
      <c r="N861" s="59" t="n"/>
      <c r="O861" s="59" t="n"/>
      <c r="P861" s="59" t="n"/>
      <c r="Q861" s="59" t="n"/>
      <c r="R861" s="59" t="n"/>
      <c r="S861" s="59" t="n"/>
      <c r="T861" s="59" t="n"/>
      <c r="U861" s="59" t="n"/>
      <c r="V861" s="59" t="n"/>
      <c r="W861" s="59" t="n"/>
      <c r="X861" s="59" t="n"/>
      <c r="Y861" s="59" t="n"/>
      <c r="Z861" s="59" t="n"/>
      <c r="AA861" s="59" t="n"/>
      <c r="AB861" s="59" t="n"/>
      <c r="AC861" s="59" t="n"/>
      <c r="AD861" s="59" t="n"/>
    </row>
    <row r="862">
      <c r="A862" s="59" t="n"/>
      <c r="B862" s="59" t="n"/>
      <c r="C862" s="59" t="n"/>
      <c r="D862" s="59" t="n"/>
      <c r="E862" s="59" t="n"/>
      <c r="F862" s="59" t="n"/>
      <c r="G862" s="60" t="n"/>
      <c r="H862" s="59" t="n"/>
      <c r="I862" s="59" t="n"/>
      <c r="J862" s="59" t="n"/>
      <c r="K862" s="59" t="n"/>
      <c r="L862" s="59" t="n"/>
      <c r="M862" s="59" t="n"/>
      <c r="N862" s="59" t="n"/>
      <c r="O862" s="59" t="n"/>
      <c r="P862" s="59" t="n"/>
      <c r="Q862" s="59" t="n"/>
      <c r="R862" s="59" t="n"/>
      <c r="S862" s="59" t="n"/>
      <c r="T862" s="59" t="n"/>
      <c r="U862" s="59" t="n"/>
      <c r="V862" s="59" t="n"/>
      <c r="W862" s="59" t="n"/>
      <c r="X862" s="59" t="n"/>
      <c r="Y862" s="59" t="n"/>
      <c r="Z862" s="59" t="n"/>
      <c r="AA862" s="59" t="n"/>
      <c r="AB862" s="59" t="n"/>
      <c r="AC862" s="59" t="n"/>
      <c r="AD862" s="59" t="n"/>
    </row>
    <row r="863">
      <c r="A863" s="59" t="n"/>
      <c r="B863" s="59" t="n"/>
      <c r="C863" s="59" t="n"/>
      <c r="D863" s="59" t="n"/>
      <c r="E863" s="59" t="n"/>
      <c r="F863" s="59" t="n"/>
      <c r="G863" s="60" t="n"/>
      <c r="H863" s="59" t="n"/>
      <c r="I863" s="59" t="n"/>
      <c r="J863" s="59" t="n"/>
      <c r="K863" s="59" t="n"/>
      <c r="L863" s="59" t="n"/>
      <c r="M863" s="59" t="n"/>
      <c r="N863" s="59" t="n"/>
      <c r="O863" s="59" t="n"/>
      <c r="P863" s="59" t="n"/>
      <c r="Q863" s="59" t="n"/>
      <c r="R863" s="59" t="n"/>
      <c r="S863" s="59" t="n"/>
      <c r="T863" s="59" t="n"/>
      <c r="U863" s="59" t="n"/>
      <c r="V863" s="59" t="n"/>
      <c r="W863" s="59" t="n"/>
      <c r="X863" s="59" t="n"/>
      <c r="Y863" s="59" t="n"/>
      <c r="Z863" s="59" t="n"/>
      <c r="AA863" s="59" t="n"/>
      <c r="AB863" s="59" t="n"/>
      <c r="AC863" s="59" t="n"/>
      <c r="AD863" s="59" t="n"/>
    </row>
    <row r="864">
      <c r="A864" s="59" t="n"/>
      <c r="B864" s="59" t="n"/>
      <c r="C864" s="59" t="n"/>
      <c r="D864" s="59" t="n"/>
      <c r="E864" s="59" t="n"/>
      <c r="F864" s="59" t="n"/>
      <c r="G864" s="60" t="n"/>
      <c r="H864" s="59" t="n"/>
      <c r="I864" s="59" t="n"/>
      <c r="J864" s="59" t="n"/>
      <c r="K864" s="59" t="n"/>
      <c r="L864" s="59" t="n"/>
      <c r="M864" s="59" t="n"/>
      <c r="N864" s="59" t="n"/>
      <c r="O864" s="59" t="n"/>
      <c r="P864" s="59" t="n"/>
      <c r="Q864" s="59" t="n"/>
      <c r="R864" s="59" t="n"/>
      <c r="S864" s="59" t="n"/>
      <c r="T864" s="59" t="n"/>
      <c r="U864" s="59" t="n"/>
      <c r="V864" s="59" t="n"/>
      <c r="W864" s="59" t="n"/>
      <c r="X864" s="59" t="n"/>
      <c r="Y864" s="59" t="n"/>
      <c r="Z864" s="59" t="n"/>
      <c r="AA864" s="59" t="n"/>
      <c r="AB864" s="59" t="n"/>
      <c r="AC864" s="59" t="n"/>
      <c r="AD864" s="59" t="n"/>
    </row>
    <row r="865">
      <c r="A865" s="59" t="n"/>
      <c r="B865" s="59" t="n"/>
      <c r="C865" s="59" t="n"/>
      <c r="D865" s="59" t="n"/>
      <c r="E865" s="59" t="n"/>
      <c r="F865" s="59" t="n"/>
      <c r="G865" s="60" t="n"/>
      <c r="H865" s="59" t="n"/>
      <c r="I865" s="59" t="n"/>
      <c r="J865" s="59" t="n"/>
      <c r="K865" s="59" t="n"/>
      <c r="L865" s="59" t="n"/>
      <c r="M865" s="59" t="n"/>
      <c r="N865" s="59" t="n"/>
      <c r="O865" s="59" t="n"/>
      <c r="P865" s="59" t="n"/>
      <c r="Q865" s="59" t="n"/>
      <c r="R865" s="59" t="n"/>
      <c r="S865" s="59" t="n"/>
      <c r="T865" s="59" t="n"/>
      <c r="U865" s="59" t="n"/>
      <c r="V865" s="59" t="n"/>
      <c r="W865" s="59" t="n"/>
      <c r="X865" s="59" t="n"/>
      <c r="Y865" s="59" t="n"/>
      <c r="Z865" s="59" t="n"/>
      <c r="AA865" s="59" t="n"/>
      <c r="AB865" s="59" t="n"/>
      <c r="AC865" s="59" t="n"/>
      <c r="AD865" s="59" t="n"/>
    </row>
    <row r="866">
      <c r="A866" s="59" t="n"/>
      <c r="B866" s="59" t="n"/>
      <c r="C866" s="59" t="n"/>
      <c r="D866" s="59" t="n"/>
      <c r="E866" s="59" t="n"/>
      <c r="F866" s="59" t="n"/>
      <c r="G866" s="60" t="n"/>
      <c r="H866" s="59" t="n"/>
      <c r="I866" s="59" t="n"/>
      <c r="J866" s="59" t="n"/>
      <c r="K866" s="59" t="n"/>
      <c r="L866" s="59" t="n"/>
      <c r="M866" s="59" t="n"/>
      <c r="N866" s="59" t="n"/>
      <c r="O866" s="59" t="n"/>
      <c r="P866" s="59" t="n"/>
      <c r="Q866" s="59" t="n"/>
      <c r="R866" s="59" t="n"/>
      <c r="S866" s="59" t="n"/>
      <c r="T866" s="59" t="n"/>
      <c r="U866" s="59" t="n"/>
      <c r="V866" s="59" t="n"/>
      <c r="W866" s="59" t="n"/>
      <c r="X866" s="59" t="n"/>
      <c r="Y866" s="59" t="n"/>
      <c r="Z866" s="59" t="n"/>
      <c r="AA866" s="59" t="n"/>
      <c r="AB866" s="59" t="n"/>
      <c r="AC866" s="59" t="n"/>
      <c r="AD866" s="59" t="n"/>
    </row>
    <row r="867">
      <c r="A867" s="59" t="n"/>
      <c r="B867" s="59" t="n"/>
      <c r="C867" s="59" t="n"/>
      <c r="D867" s="59" t="n"/>
      <c r="E867" s="59" t="n"/>
      <c r="F867" s="59" t="n"/>
      <c r="G867" s="60" t="n"/>
      <c r="H867" s="59" t="n"/>
      <c r="I867" s="59" t="n"/>
      <c r="J867" s="59" t="n"/>
      <c r="K867" s="59" t="n"/>
      <c r="L867" s="59" t="n"/>
      <c r="M867" s="59" t="n"/>
      <c r="N867" s="59" t="n"/>
      <c r="O867" s="59" t="n"/>
      <c r="P867" s="59" t="n"/>
      <c r="Q867" s="59" t="n"/>
      <c r="R867" s="59" t="n"/>
      <c r="S867" s="59" t="n"/>
      <c r="T867" s="59" t="n"/>
      <c r="U867" s="59" t="n"/>
      <c r="V867" s="59" t="n"/>
      <c r="W867" s="59" t="n"/>
      <c r="X867" s="59" t="n"/>
      <c r="Y867" s="59" t="n"/>
      <c r="Z867" s="59" t="n"/>
      <c r="AA867" s="59" t="n"/>
      <c r="AB867" s="59" t="n"/>
      <c r="AC867" s="59" t="n"/>
      <c r="AD867" s="59" t="n"/>
    </row>
    <row r="868">
      <c r="A868" s="59" t="n"/>
      <c r="B868" s="59" t="n"/>
      <c r="C868" s="59" t="n"/>
      <c r="D868" s="59" t="n"/>
      <c r="E868" s="59" t="n"/>
      <c r="F868" s="59" t="n"/>
      <c r="G868" s="60" t="n"/>
      <c r="H868" s="59" t="n"/>
      <c r="I868" s="59" t="n"/>
      <c r="J868" s="59" t="n"/>
      <c r="K868" s="59" t="n"/>
      <c r="L868" s="59" t="n"/>
      <c r="M868" s="59" t="n"/>
      <c r="N868" s="59" t="n"/>
      <c r="O868" s="59" t="n"/>
      <c r="P868" s="59" t="n"/>
      <c r="Q868" s="59" t="n"/>
      <c r="R868" s="59" t="n"/>
      <c r="S868" s="59" t="n"/>
      <c r="T868" s="59" t="n"/>
      <c r="U868" s="59" t="n"/>
      <c r="V868" s="59" t="n"/>
      <c r="W868" s="59" t="n"/>
      <c r="X868" s="59" t="n"/>
      <c r="Y868" s="59" t="n"/>
      <c r="Z868" s="59" t="n"/>
      <c r="AA868" s="59" t="n"/>
      <c r="AB868" s="59" t="n"/>
      <c r="AC868" s="59" t="n"/>
      <c r="AD868" s="59" t="n"/>
    </row>
    <row r="869">
      <c r="A869" s="59" t="n"/>
      <c r="B869" s="59" t="n"/>
      <c r="C869" s="59" t="n"/>
      <c r="D869" s="59" t="n"/>
      <c r="E869" s="59" t="n"/>
      <c r="F869" s="59" t="n"/>
      <c r="G869" s="60" t="n"/>
      <c r="H869" s="59" t="n"/>
      <c r="I869" s="59" t="n"/>
      <c r="J869" s="59" t="n"/>
      <c r="K869" s="59" t="n"/>
      <c r="L869" s="59" t="n"/>
      <c r="M869" s="59" t="n"/>
      <c r="N869" s="59" t="n"/>
      <c r="O869" s="59" t="n"/>
      <c r="P869" s="59" t="n"/>
      <c r="Q869" s="59" t="n"/>
      <c r="R869" s="59" t="n"/>
      <c r="S869" s="59" t="n"/>
      <c r="T869" s="59" t="n"/>
      <c r="U869" s="59" t="n"/>
      <c r="V869" s="59" t="n"/>
      <c r="W869" s="59" t="n"/>
      <c r="X869" s="59" t="n"/>
      <c r="Y869" s="59" t="n"/>
      <c r="Z869" s="59" t="n"/>
      <c r="AA869" s="59" t="n"/>
      <c r="AB869" s="59" t="n"/>
      <c r="AC869" s="59" t="n"/>
      <c r="AD869" s="59" t="n"/>
    </row>
    <row r="870">
      <c r="A870" s="59" t="n"/>
      <c r="B870" s="59" t="n"/>
      <c r="C870" s="59" t="n"/>
      <c r="D870" s="59" t="n"/>
      <c r="E870" s="59" t="n"/>
      <c r="F870" s="59" t="n"/>
      <c r="G870" s="60" t="n"/>
      <c r="H870" s="59" t="n"/>
      <c r="I870" s="59" t="n"/>
      <c r="J870" s="59" t="n"/>
      <c r="K870" s="59" t="n"/>
      <c r="L870" s="59" t="n"/>
      <c r="M870" s="59" t="n"/>
      <c r="N870" s="59" t="n"/>
      <c r="O870" s="59" t="n"/>
      <c r="P870" s="59" t="n"/>
      <c r="Q870" s="59" t="n"/>
      <c r="R870" s="59" t="n"/>
      <c r="S870" s="59" t="n"/>
      <c r="T870" s="59" t="n"/>
      <c r="U870" s="59" t="n"/>
      <c r="V870" s="59" t="n"/>
      <c r="W870" s="59" t="n"/>
      <c r="X870" s="59" t="n"/>
      <c r="Y870" s="59" t="n"/>
      <c r="Z870" s="59" t="n"/>
      <c r="AA870" s="59" t="n"/>
      <c r="AB870" s="59" t="n"/>
      <c r="AC870" s="59" t="n"/>
      <c r="AD870" s="59" t="n"/>
    </row>
    <row r="871">
      <c r="A871" s="59" t="n"/>
      <c r="B871" s="59" t="n"/>
      <c r="C871" s="59" t="n"/>
      <c r="D871" s="59" t="n"/>
      <c r="E871" s="59" t="n"/>
      <c r="F871" s="59" t="n"/>
      <c r="G871" s="60" t="n"/>
      <c r="H871" s="59" t="n"/>
      <c r="I871" s="59" t="n"/>
      <c r="J871" s="59" t="n"/>
      <c r="K871" s="59" t="n"/>
      <c r="L871" s="59" t="n"/>
      <c r="M871" s="59" t="n"/>
      <c r="N871" s="59" t="n"/>
      <c r="O871" s="59" t="n"/>
      <c r="P871" s="59" t="n"/>
      <c r="Q871" s="59" t="n"/>
      <c r="R871" s="59" t="n"/>
      <c r="S871" s="59" t="n"/>
      <c r="T871" s="59" t="n"/>
      <c r="U871" s="59" t="n"/>
      <c r="V871" s="59" t="n"/>
      <c r="W871" s="59" t="n"/>
      <c r="X871" s="59" t="n"/>
      <c r="Y871" s="59" t="n"/>
      <c r="Z871" s="59" t="n"/>
      <c r="AA871" s="59" t="n"/>
      <c r="AB871" s="59" t="n"/>
      <c r="AC871" s="59" t="n"/>
      <c r="AD871" s="59" t="n"/>
    </row>
    <row r="872">
      <c r="A872" s="59" t="n"/>
      <c r="B872" s="59" t="n"/>
      <c r="C872" s="59" t="n"/>
      <c r="D872" s="59" t="n"/>
      <c r="E872" s="59" t="n"/>
      <c r="F872" s="59" t="n"/>
      <c r="G872" s="60" t="n"/>
      <c r="H872" s="59" t="n"/>
      <c r="I872" s="59" t="n"/>
      <c r="J872" s="59" t="n"/>
      <c r="K872" s="59" t="n"/>
      <c r="L872" s="59" t="n"/>
      <c r="M872" s="59" t="n"/>
      <c r="N872" s="59" t="n"/>
      <c r="O872" s="59" t="n"/>
      <c r="P872" s="59" t="n"/>
      <c r="Q872" s="59" t="n"/>
      <c r="R872" s="59" t="n"/>
      <c r="S872" s="59" t="n"/>
      <c r="T872" s="59" t="n"/>
      <c r="U872" s="59" t="n"/>
      <c r="V872" s="59" t="n"/>
      <c r="W872" s="59" t="n"/>
      <c r="X872" s="59" t="n"/>
      <c r="Y872" s="59" t="n"/>
      <c r="Z872" s="59" t="n"/>
      <c r="AA872" s="59" t="n"/>
      <c r="AB872" s="59" t="n"/>
      <c r="AC872" s="59" t="n"/>
      <c r="AD872" s="59" t="n"/>
    </row>
    <row r="873">
      <c r="A873" s="59" t="n"/>
      <c r="B873" s="59" t="n"/>
      <c r="C873" s="59" t="n"/>
      <c r="D873" s="59" t="n"/>
      <c r="E873" s="59" t="n"/>
      <c r="F873" s="59" t="n"/>
      <c r="G873" s="60" t="n"/>
      <c r="H873" s="59" t="n"/>
      <c r="I873" s="59" t="n"/>
      <c r="J873" s="59" t="n"/>
      <c r="K873" s="59" t="n"/>
      <c r="L873" s="59" t="n"/>
      <c r="M873" s="59" t="n"/>
      <c r="N873" s="59" t="n"/>
      <c r="O873" s="59" t="n"/>
      <c r="P873" s="59" t="n"/>
      <c r="Q873" s="59" t="n"/>
      <c r="R873" s="59" t="n"/>
      <c r="S873" s="59" t="n"/>
      <c r="T873" s="59" t="n"/>
      <c r="U873" s="59" t="n"/>
      <c r="V873" s="59" t="n"/>
      <c r="W873" s="59" t="n"/>
      <c r="X873" s="59" t="n"/>
      <c r="Y873" s="59" t="n"/>
      <c r="Z873" s="59" t="n"/>
      <c r="AA873" s="59" t="n"/>
      <c r="AB873" s="59" t="n"/>
      <c r="AC873" s="59" t="n"/>
      <c r="AD873" s="59" t="n"/>
    </row>
    <row r="874">
      <c r="A874" s="59" t="n"/>
      <c r="B874" s="59" t="n"/>
      <c r="C874" s="59" t="n"/>
      <c r="D874" s="59" t="n"/>
      <c r="E874" s="59" t="n"/>
      <c r="F874" s="59" t="n"/>
      <c r="G874" s="60" t="n"/>
      <c r="H874" s="59" t="n"/>
      <c r="I874" s="59" t="n"/>
      <c r="J874" s="59" t="n"/>
      <c r="K874" s="59" t="n"/>
      <c r="L874" s="59" t="n"/>
      <c r="M874" s="59" t="n"/>
      <c r="N874" s="59" t="n"/>
      <c r="O874" s="59" t="n"/>
      <c r="P874" s="59" t="n"/>
      <c r="Q874" s="59" t="n"/>
      <c r="R874" s="59" t="n"/>
      <c r="S874" s="59" t="n"/>
      <c r="T874" s="59" t="n"/>
      <c r="U874" s="59" t="n"/>
      <c r="V874" s="59" t="n"/>
      <c r="W874" s="59" t="n"/>
      <c r="X874" s="59" t="n"/>
      <c r="Y874" s="59" t="n"/>
      <c r="Z874" s="59" t="n"/>
      <c r="AA874" s="59" t="n"/>
      <c r="AB874" s="59" t="n"/>
      <c r="AC874" s="59" t="n"/>
      <c r="AD874" s="59" t="n"/>
    </row>
    <row r="875">
      <c r="A875" s="59" t="n"/>
      <c r="B875" s="59" t="n"/>
      <c r="C875" s="59" t="n"/>
      <c r="D875" s="59" t="n"/>
      <c r="E875" s="59" t="n"/>
      <c r="F875" s="59" t="n"/>
      <c r="G875" s="60" t="n"/>
      <c r="H875" s="59" t="n"/>
      <c r="I875" s="59" t="n"/>
      <c r="J875" s="59" t="n"/>
      <c r="K875" s="59" t="n"/>
      <c r="L875" s="59" t="n"/>
      <c r="M875" s="59" t="n"/>
      <c r="N875" s="59" t="n"/>
      <c r="O875" s="59" t="n"/>
      <c r="P875" s="59" t="n"/>
      <c r="Q875" s="59" t="n"/>
      <c r="R875" s="59" t="n"/>
      <c r="S875" s="59" t="n"/>
      <c r="T875" s="59" t="n"/>
      <c r="U875" s="59" t="n"/>
      <c r="V875" s="59" t="n"/>
      <c r="W875" s="59" t="n"/>
      <c r="X875" s="59" t="n"/>
      <c r="Y875" s="59" t="n"/>
      <c r="Z875" s="59" t="n"/>
      <c r="AA875" s="59" t="n"/>
      <c r="AB875" s="59" t="n"/>
      <c r="AC875" s="59" t="n"/>
      <c r="AD875" s="59" t="n"/>
    </row>
    <row r="876">
      <c r="A876" s="59" t="n"/>
      <c r="B876" s="59" t="n"/>
      <c r="C876" s="59" t="n"/>
      <c r="D876" s="59" t="n"/>
      <c r="E876" s="59" t="n"/>
      <c r="F876" s="59" t="n"/>
      <c r="G876" s="60" t="n"/>
      <c r="H876" s="59" t="n"/>
      <c r="I876" s="59" t="n"/>
      <c r="J876" s="59" t="n"/>
      <c r="K876" s="59" t="n"/>
      <c r="L876" s="59" t="n"/>
      <c r="M876" s="59" t="n"/>
      <c r="N876" s="59" t="n"/>
      <c r="O876" s="59" t="n"/>
      <c r="P876" s="59" t="n"/>
      <c r="Q876" s="59" t="n"/>
      <c r="R876" s="59" t="n"/>
      <c r="S876" s="59" t="n"/>
      <c r="T876" s="59" t="n"/>
      <c r="U876" s="59" t="n"/>
      <c r="V876" s="59" t="n"/>
      <c r="W876" s="59" t="n"/>
      <c r="X876" s="59" t="n"/>
      <c r="Y876" s="59" t="n"/>
      <c r="Z876" s="59" t="n"/>
      <c r="AA876" s="59" t="n"/>
      <c r="AB876" s="59" t="n"/>
      <c r="AC876" s="59" t="n"/>
      <c r="AD876" s="59" t="n"/>
    </row>
    <row r="877">
      <c r="A877" s="59" t="n"/>
      <c r="B877" s="59" t="n"/>
      <c r="C877" s="59" t="n"/>
      <c r="D877" s="59" t="n"/>
      <c r="E877" s="59" t="n"/>
      <c r="F877" s="59" t="n"/>
      <c r="G877" s="60" t="n"/>
      <c r="H877" s="59" t="n"/>
      <c r="I877" s="59" t="n"/>
      <c r="J877" s="59" t="n"/>
      <c r="K877" s="59" t="n"/>
      <c r="L877" s="59" t="n"/>
      <c r="M877" s="59" t="n"/>
      <c r="N877" s="59" t="n"/>
      <c r="O877" s="59" t="n"/>
      <c r="P877" s="59" t="n"/>
      <c r="Q877" s="59" t="n"/>
      <c r="R877" s="59" t="n"/>
      <c r="S877" s="59" t="n"/>
      <c r="T877" s="59" t="n"/>
      <c r="U877" s="59" t="n"/>
      <c r="V877" s="59" t="n"/>
      <c r="W877" s="59" t="n"/>
      <c r="X877" s="59" t="n"/>
      <c r="Y877" s="59" t="n"/>
      <c r="Z877" s="59" t="n"/>
      <c r="AA877" s="59" t="n"/>
      <c r="AB877" s="59" t="n"/>
      <c r="AC877" s="59" t="n"/>
      <c r="AD877" s="59" t="n"/>
    </row>
    <row r="878">
      <c r="A878" s="59" t="n"/>
      <c r="B878" s="59" t="n"/>
      <c r="C878" s="59" t="n"/>
      <c r="D878" s="59" t="n"/>
      <c r="E878" s="59" t="n"/>
      <c r="F878" s="59" t="n"/>
      <c r="G878" s="60" t="n"/>
      <c r="H878" s="59" t="n"/>
      <c r="I878" s="59" t="n"/>
      <c r="J878" s="59" t="n"/>
      <c r="K878" s="59" t="n"/>
      <c r="L878" s="59" t="n"/>
      <c r="M878" s="59" t="n"/>
      <c r="N878" s="59" t="n"/>
      <c r="O878" s="59" t="n"/>
      <c r="P878" s="59" t="n"/>
      <c r="Q878" s="59" t="n"/>
      <c r="R878" s="59" t="n"/>
      <c r="S878" s="59" t="n"/>
      <c r="T878" s="59" t="n"/>
      <c r="U878" s="59" t="n"/>
      <c r="V878" s="59" t="n"/>
      <c r="W878" s="59" t="n"/>
      <c r="X878" s="59" t="n"/>
      <c r="Y878" s="59" t="n"/>
      <c r="Z878" s="59" t="n"/>
      <c r="AA878" s="59" t="n"/>
      <c r="AB878" s="59" t="n"/>
      <c r="AC878" s="59" t="n"/>
      <c r="AD878" s="59" t="n"/>
    </row>
    <row r="879">
      <c r="A879" s="59" t="n"/>
      <c r="B879" s="59" t="n"/>
      <c r="C879" s="59" t="n"/>
      <c r="D879" s="59" t="n"/>
      <c r="E879" s="59" t="n"/>
      <c r="F879" s="59" t="n"/>
      <c r="G879" s="60" t="n"/>
      <c r="H879" s="59" t="n"/>
      <c r="I879" s="59" t="n"/>
      <c r="J879" s="59" t="n"/>
      <c r="K879" s="59" t="n"/>
      <c r="L879" s="59" t="n"/>
      <c r="M879" s="59" t="n"/>
      <c r="N879" s="59" t="n"/>
      <c r="O879" s="59" t="n"/>
      <c r="P879" s="59" t="n"/>
      <c r="Q879" s="59" t="n"/>
      <c r="R879" s="59" t="n"/>
      <c r="S879" s="59" t="n"/>
      <c r="T879" s="59" t="n"/>
      <c r="U879" s="59" t="n"/>
      <c r="V879" s="59" t="n"/>
      <c r="W879" s="59" t="n"/>
      <c r="X879" s="59" t="n"/>
      <c r="Y879" s="59" t="n"/>
      <c r="Z879" s="59" t="n"/>
      <c r="AA879" s="59" t="n"/>
      <c r="AB879" s="59" t="n"/>
      <c r="AC879" s="59" t="n"/>
      <c r="AD879" s="59" t="n"/>
    </row>
    <row r="880">
      <c r="A880" s="59" t="n"/>
      <c r="B880" s="59" t="n"/>
      <c r="C880" s="59" t="n"/>
      <c r="D880" s="59" t="n"/>
      <c r="E880" s="59" t="n"/>
      <c r="F880" s="59" t="n"/>
      <c r="G880" s="60" t="n"/>
      <c r="H880" s="59" t="n"/>
      <c r="I880" s="59" t="n"/>
      <c r="J880" s="59" t="n"/>
      <c r="K880" s="59" t="n"/>
      <c r="L880" s="59" t="n"/>
      <c r="M880" s="59" t="n"/>
      <c r="N880" s="59" t="n"/>
      <c r="O880" s="59" t="n"/>
      <c r="P880" s="59" t="n"/>
      <c r="Q880" s="59" t="n"/>
      <c r="R880" s="59" t="n"/>
      <c r="S880" s="59" t="n"/>
      <c r="T880" s="59" t="n"/>
      <c r="U880" s="59" t="n"/>
      <c r="V880" s="59" t="n"/>
      <c r="W880" s="59" t="n"/>
      <c r="X880" s="59" t="n"/>
      <c r="Y880" s="59" t="n"/>
      <c r="Z880" s="59" t="n"/>
      <c r="AA880" s="59" t="n"/>
      <c r="AB880" s="59" t="n"/>
      <c r="AC880" s="59" t="n"/>
      <c r="AD880" s="59" t="n"/>
    </row>
    <row r="881">
      <c r="A881" s="59" t="n"/>
      <c r="B881" s="59" t="n"/>
      <c r="C881" s="59" t="n"/>
      <c r="D881" s="59" t="n"/>
      <c r="E881" s="59" t="n"/>
      <c r="F881" s="59" t="n"/>
      <c r="G881" s="60" t="n"/>
      <c r="H881" s="59" t="n"/>
      <c r="I881" s="59" t="n"/>
      <c r="J881" s="59" t="n"/>
      <c r="K881" s="59" t="n"/>
      <c r="L881" s="59" t="n"/>
      <c r="M881" s="59" t="n"/>
      <c r="N881" s="59" t="n"/>
      <c r="O881" s="59" t="n"/>
      <c r="P881" s="59" t="n"/>
      <c r="Q881" s="59" t="n"/>
      <c r="R881" s="59" t="n"/>
      <c r="S881" s="59" t="n"/>
      <c r="T881" s="59" t="n"/>
      <c r="U881" s="59" t="n"/>
      <c r="V881" s="59" t="n"/>
      <c r="W881" s="59" t="n"/>
      <c r="X881" s="59" t="n"/>
      <c r="Y881" s="59" t="n"/>
      <c r="Z881" s="59" t="n"/>
      <c r="AA881" s="59" t="n"/>
      <c r="AB881" s="59" t="n"/>
      <c r="AC881" s="59" t="n"/>
      <c r="AD881" s="59" t="n"/>
    </row>
    <row r="882">
      <c r="A882" s="59" t="n"/>
      <c r="B882" s="59" t="n"/>
      <c r="C882" s="59" t="n"/>
      <c r="D882" s="59" t="n"/>
      <c r="E882" s="59" t="n"/>
      <c r="F882" s="59" t="n"/>
      <c r="G882" s="60" t="n"/>
      <c r="H882" s="59" t="n"/>
      <c r="I882" s="59" t="n"/>
      <c r="J882" s="59" t="n"/>
      <c r="K882" s="59" t="n"/>
      <c r="L882" s="59" t="n"/>
      <c r="M882" s="59" t="n"/>
      <c r="N882" s="59" t="n"/>
      <c r="O882" s="59" t="n"/>
      <c r="P882" s="59" t="n"/>
      <c r="Q882" s="59" t="n"/>
      <c r="R882" s="59" t="n"/>
      <c r="S882" s="59" t="n"/>
      <c r="T882" s="59" t="n"/>
      <c r="U882" s="59" t="n"/>
      <c r="V882" s="59" t="n"/>
      <c r="W882" s="59" t="n"/>
      <c r="X882" s="59" t="n"/>
      <c r="Y882" s="59" t="n"/>
      <c r="Z882" s="59" t="n"/>
      <c r="AA882" s="59" t="n"/>
      <c r="AB882" s="59" t="n"/>
      <c r="AC882" s="59" t="n"/>
      <c r="AD882" s="59" t="n"/>
    </row>
    <row r="883">
      <c r="A883" s="59" t="n"/>
      <c r="B883" s="59" t="n"/>
      <c r="C883" s="59" t="n"/>
      <c r="D883" s="59" t="n"/>
      <c r="E883" s="59" t="n"/>
      <c r="F883" s="59" t="n"/>
      <c r="G883" s="60" t="n"/>
      <c r="H883" s="59" t="n"/>
      <c r="I883" s="59" t="n"/>
      <c r="J883" s="59" t="n"/>
      <c r="K883" s="59" t="n"/>
      <c r="L883" s="59" t="n"/>
      <c r="M883" s="59" t="n"/>
      <c r="N883" s="59" t="n"/>
      <c r="O883" s="59" t="n"/>
      <c r="P883" s="59" t="n"/>
      <c r="Q883" s="59" t="n"/>
      <c r="R883" s="59" t="n"/>
      <c r="S883" s="59" t="n"/>
      <c r="T883" s="59" t="n"/>
      <c r="U883" s="59" t="n"/>
      <c r="V883" s="59" t="n"/>
      <c r="W883" s="59" t="n"/>
      <c r="X883" s="59" t="n"/>
      <c r="Y883" s="59" t="n"/>
      <c r="Z883" s="59" t="n"/>
      <c r="AA883" s="59" t="n"/>
      <c r="AB883" s="59" t="n"/>
      <c r="AC883" s="59" t="n"/>
      <c r="AD883" s="59" t="n"/>
    </row>
    <row r="884">
      <c r="A884" s="59" t="n"/>
      <c r="B884" s="59" t="n"/>
      <c r="C884" s="59" t="n"/>
      <c r="D884" s="59" t="n"/>
      <c r="E884" s="59" t="n"/>
      <c r="F884" s="59" t="n"/>
      <c r="G884" s="60" t="n"/>
      <c r="H884" s="59" t="n"/>
      <c r="I884" s="59" t="n"/>
      <c r="J884" s="59" t="n"/>
      <c r="K884" s="59" t="n"/>
      <c r="L884" s="59" t="n"/>
      <c r="M884" s="59" t="n"/>
      <c r="N884" s="59" t="n"/>
      <c r="O884" s="59" t="n"/>
      <c r="P884" s="59" t="n"/>
      <c r="Q884" s="59" t="n"/>
      <c r="R884" s="59" t="n"/>
      <c r="S884" s="59" t="n"/>
      <c r="T884" s="59" t="n"/>
      <c r="U884" s="59" t="n"/>
      <c r="V884" s="59" t="n"/>
      <c r="W884" s="59" t="n"/>
      <c r="X884" s="59" t="n"/>
      <c r="Y884" s="59" t="n"/>
      <c r="Z884" s="59" t="n"/>
      <c r="AA884" s="59" t="n"/>
      <c r="AB884" s="59" t="n"/>
      <c r="AC884" s="59" t="n"/>
      <c r="AD884" s="59" t="n"/>
    </row>
    <row r="885">
      <c r="A885" s="59" t="n"/>
      <c r="B885" s="59" t="n"/>
      <c r="C885" s="59" t="n"/>
      <c r="D885" s="59" t="n"/>
      <c r="E885" s="59" t="n"/>
      <c r="F885" s="59" t="n"/>
      <c r="G885" s="60" t="n"/>
      <c r="H885" s="59" t="n"/>
      <c r="I885" s="59" t="n"/>
      <c r="J885" s="59" t="n"/>
      <c r="K885" s="59" t="n"/>
      <c r="L885" s="59" t="n"/>
      <c r="M885" s="59" t="n"/>
      <c r="N885" s="59" t="n"/>
      <c r="O885" s="59" t="n"/>
      <c r="P885" s="59" t="n"/>
      <c r="Q885" s="59" t="n"/>
      <c r="R885" s="59" t="n"/>
      <c r="S885" s="59" t="n"/>
      <c r="T885" s="59" t="n"/>
      <c r="U885" s="59" t="n"/>
      <c r="V885" s="59" t="n"/>
      <c r="W885" s="59" t="n"/>
      <c r="X885" s="59" t="n"/>
      <c r="Y885" s="59" t="n"/>
      <c r="Z885" s="59" t="n"/>
      <c r="AA885" s="59" t="n"/>
      <c r="AB885" s="59" t="n"/>
      <c r="AC885" s="59" t="n"/>
      <c r="AD885" s="59" t="n"/>
    </row>
    <row r="886">
      <c r="A886" s="59" t="n"/>
      <c r="B886" s="59" t="n"/>
      <c r="C886" s="59" t="n"/>
      <c r="D886" s="59" t="n"/>
      <c r="E886" s="59" t="n"/>
      <c r="F886" s="59" t="n"/>
      <c r="G886" s="60" t="n"/>
      <c r="H886" s="59" t="n"/>
      <c r="I886" s="59" t="n"/>
      <c r="J886" s="59" t="n"/>
      <c r="K886" s="59" t="n"/>
      <c r="L886" s="59" t="n"/>
      <c r="M886" s="59" t="n"/>
      <c r="N886" s="59" t="n"/>
      <c r="O886" s="59" t="n"/>
      <c r="P886" s="59" t="n"/>
      <c r="Q886" s="59" t="n"/>
      <c r="R886" s="59" t="n"/>
      <c r="S886" s="59" t="n"/>
      <c r="T886" s="59" t="n"/>
      <c r="U886" s="59" t="n"/>
      <c r="V886" s="59" t="n"/>
      <c r="W886" s="59" t="n"/>
      <c r="X886" s="59" t="n"/>
      <c r="Y886" s="59" t="n"/>
      <c r="Z886" s="59" t="n"/>
      <c r="AA886" s="59" t="n"/>
      <c r="AB886" s="59" t="n"/>
      <c r="AC886" s="59" t="n"/>
      <c r="AD886" s="59" t="n"/>
    </row>
    <row r="887">
      <c r="A887" s="59" t="n"/>
      <c r="B887" s="59" t="n"/>
      <c r="C887" s="59" t="n"/>
      <c r="D887" s="59" t="n"/>
      <c r="E887" s="59" t="n"/>
      <c r="F887" s="59" t="n"/>
      <c r="G887" s="60" t="n"/>
      <c r="H887" s="59" t="n"/>
      <c r="I887" s="59" t="n"/>
      <c r="J887" s="59" t="n"/>
      <c r="K887" s="59" t="n"/>
      <c r="L887" s="59" t="n"/>
      <c r="M887" s="59" t="n"/>
      <c r="N887" s="59" t="n"/>
      <c r="O887" s="59" t="n"/>
      <c r="P887" s="59" t="n"/>
      <c r="Q887" s="59" t="n"/>
      <c r="R887" s="59" t="n"/>
      <c r="S887" s="59" t="n"/>
      <c r="T887" s="59" t="n"/>
      <c r="U887" s="59" t="n"/>
      <c r="V887" s="59" t="n"/>
      <c r="W887" s="59" t="n"/>
      <c r="X887" s="59" t="n"/>
      <c r="Y887" s="59" t="n"/>
      <c r="Z887" s="59" t="n"/>
      <c r="AA887" s="59" t="n"/>
      <c r="AB887" s="59" t="n"/>
      <c r="AC887" s="59" t="n"/>
      <c r="AD887" s="59" t="n"/>
    </row>
    <row r="888">
      <c r="A888" s="59" t="n"/>
      <c r="B888" s="59" t="n"/>
      <c r="C888" s="59" t="n"/>
      <c r="D888" s="59" t="n"/>
      <c r="E888" s="59" t="n"/>
      <c r="F888" s="59" t="n"/>
      <c r="G888" s="60" t="n"/>
      <c r="H888" s="59" t="n"/>
      <c r="I888" s="59" t="n"/>
      <c r="J888" s="59" t="n"/>
      <c r="K888" s="59" t="n"/>
      <c r="L888" s="59" t="n"/>
      <c r="M888" s="59" t="n"/>
      <c r="N888" s="59" t="n"/>
      <c r="O888" s="59" t="n"/>
      <c r="P888" s="59" t="n"/>
      <c r="Q888" s="59" t="n"/>
      <c r="R888" s="59" t="n"/>
      <c r="S888" s="59" t="n"/>
      <c r="T888" s="59" t="n"/>
      <c r="U888" s="59" t="n"/>
      <c r="V888" s="59" t="n"/>
      <c r="W888" s="59" t="n"/>
      <c r="X888" s="59" t="n"/>
      <c r="Y888" s="59" t="n"/>
      <c r="Z888" s="59" t="n"/>
      <c r="AA888" s="59" t="n"/>
      <c r="AB888" s="59" t="n"/>
      <c r="AC888" s="59" t="n"/>
      <c r="AD888" s="59" t="n"/>
    </row>
    <row r="889">
      <c r="A889" s="59" t="n"/>
      <c r="B889" s="59" t="n"/>
      <c r="C889" s="59" t="n"/>
      <c r="D889" s="59" t="n"/>
      <c r="E889" s="59" t="n"/>
      <c r="F889" s="59" t="n"/>
      <c r="G889" s="60" t="n"/>
      <c r="H889" s="59" t="n"/>
      <c r="I889" s="59" t="n"/>
      <c r="J889" s="59" t="n"/>
      <c r="K889" s="59" t="n"/>
      <c r="L889" s="59" t="n"/>
      <c r="M889" s="59" t="n"/>
      <c r="N889" s="59" t="n"/>
      <c r="O889" s="59" t="n"/>
      <c r="P889" s="59" t="n"/>
      <c r="Q889" s="59" t="n"/>
      <c r="R889" s="59" t="n"/>
      <c r="S889" s="59" t="n"/>
      <c r="T889" s="59" t="n"/>
      <c r="U889" s="59" t="n"/>
      <c r="V889" s="59" t="n"/>
      <c r="W889" s="59" t="n"/>
      <c r="X889" s="59" t="n"/>
      <c r="Y889" s="59" t="n"/>
      <c r="Z889" s="59" t="n"/>
      <c r="AA889" s="59" t="n"/>
      <c r="AB889" s="59" t="n"/>
      <c r="AC889" s="59" t="n"/>
      <c r="AD889" s="59" t="n"/>
    </row>
    <row r="890">
      <c r="A890" s="59" t="n"/>
      <c r="B890" s="59" t="n"/>
      <c r="C890" s="59" t="n"/>
      <c r="D890" s="59" t="n"/>
      <c r="E890" s="59" t="n"/>
      <c r="F890" s="59" t="n"/>
      <c r="G890" s="60" t="n"/>
      <c r="H890" s="59" t="n"/>
      <c r="I890" s="59" t="n"/>
      <c r="J890" s="59" t="n"/>
      <c r="K890" s="59" t="n"/>
      <c r="L890" s="59" t="n"/>
      <c r="M890" s="59" t="n"/>
      <c r="N890" s="59" t="n"/>
      <c r="O890" s="59" t="n"/>
      <c r="P890" s="59" t="n"/>
      <c r="Q890" s="59" t="n"/>
      <c r="R890" s="59" t="n"/>
      <c r="S890" s="59" t="n"/>
      <c r="T890" s="59" t="n"/>
      <c r="U890" s="59" t="n"/>
      <c r="V890" s="59" t="n"/>
      <c r="W890" s="59" t="n"/>
      <c r="X890" s="59" t="n"/>
      <c r="Y890" s="59" t="n"/>
      <c r="Z890" s="59" t="n"/>
      <c r="AA890" s="59" t="n"/>
      <c r="AB890" s="59" t="n"/>
      <c r="AC890" s="59" t="n"/>
      <c r="AD890" s="59" t="n"/>
    </row>
    <row r="891">
      <c r="A891" s="59" t="n"/>
      <c r="B891" s="59" t="n"/>
      <c r="C891" s="59" t="n"/>
      <c r="D891" s="59" t="n"/>
      <c r="E891" s="59" t="n"/>
      <c r="F891" s="59" t="n"/>
      <c r="G891" s="60" t="n"/>
      <c r="H891" s="59" t="n"/>
      <c r="I891" s="59" t="n"/>
      <c r="J891" s="59" t="n"/>
      <c r="K891" s="59" t="n"/>
      <c r="L891" s="59" t="n"/>
      <c r="M891" s="59" t="n"/>
      <c r="N891" s="59" t="n"/>
      <c r="O891" s="59" t="n"/>
      <c r="P891" s="59" t="n"/>
      <c r="Q891" s="59" t="n"/>
      <c r="R891" s="59" t="n"/>
      <c r="S891" s="59" t="n"/>
      <c r="T891" s="59" t="n"/>
      <c r="U891" s="59" t="n"/>
      <c r="V891" s="59" t="n"/>
      <c r="W891" s="59" t="n"/>
      <c r="X891" s="59" t="n"/>
      <c r="Y891" s="59" t="n"/>
      <c r="Z891" s="59" t="n"/>
      <c r="AA891" s="59" t="n"/>
      <c r="AB891" s="59" t="n"/>
      <c r="AC891" s="59" t="n"/>
      <c r="AD891" s="59" t="n"/>
    </row>
    <row r="892">
      <c r="A892" s="59" t="n"/>
      <c r="B892" s="59" t="n"/>
      <c r="C892" s="59" t="n"/>
      <c r="D892" s="59" t="n"/>
      <c r="E892" s="59" t="n"/>
      <c r="F892" s="59" t="n"/>
      <c r="G892" s="60" t="n"/>
      <c r="H892" s="59" t="n"/>
      <c r="I892" s="59" t="n"/>
      <c r="J892" s="59" t="n"/>
      <c r="K892" s="59" t="n"/>
      <c r="L892" s="59" t="n"/>
      <c r="M892" s="59" t="n"/>
      <c r="N892" s="59" t="n"/>
      <c r="O892" s="59" t="n"/>
      <c r="P892" s="59" t="n"/>
      <c r="Q892" s="59" t="n"/>
      <c r="R892" s="59" t="n"/>
      <c r="S892" s="59" t="n"/>
      <c r="T892" s="59" t="n"/>
      <c r="U892" s="59" t="n"/>
      <c r="V892" s="59" t="n"/>
      <c r="W892" s="59" t="n"/>
      <c r="X892" s="59" t="n"/>
      <c r="Y892" s="59" t="n"/>
      <c r="Z892" s="59" t="n"/>
      <c r="AA892" s="59" t="n"/>
      <c r="AB892" s="59" t="n"/>
      <c r="AC892" s="59" t="n"/>
      <c r="AD892" s="59" t="n"/>
    </row>
    <row r="893">
      <c r="A893" s="59" t="n"/>
      <c r="B893" s="59" t="n"/>
      <c r="C893" s="59" t="n"/>
      <c r="D893" s="59" t="n"/>
      <c r="E893" s="59" t="n"/>
      <c r="F893" s="59" t="n"/>
      <c r="G893" s="60" t="n"/>
      <c r="H893" s="59" t="n"/>
      <c r="I893" s="59" t="n"/>
      <c r="J893" s="59" t="n"/>
      <c r="K893" s="59" t="n"/>
      <c r="L893" s="59" t="n"/>
      <c r="M893" s="59" t="n"/>
      <c r="N893" s="59" t="n"/>
      <c r="O893" s="59" t="n"/>
      <c r="P893" s="59" t="n"/>
      <c r="Q893" s="59" t="n"/>
      <c r="R893" s="59" t="n"/>
      <c r="S893" s="59" t="n"/>
      <c r="T893" s="59" t="n"/>
      <c r="U893" s="59" t="n"/>
      <c r="V893" s="59" t="n"/>
      <c r="W893" s="59" t="n"/>
      <c r="X893" s="59" t="n"/>
      <c r="Y893" s="59" t="n"/>
      <c r="Z893" s="59" t="n"/>
      <c r="AA893" s="59" t="n"/>
      <c r="AB893" s="59" t="n"/>
      <c r="AC893" s="59" t="n"/>
      <c r="AD893" s="59" t="n"/>
    </row>
    <row r="894">
      <c r="A894" s="59" t="n"/>
      <c r="B894" s="59" t="n"/>
      <c r="C894" s="59" t="n"/>
      <c r="D894" s="59" t="n"/>
      <c r="E894" s="59" t="n"/>
      <c r="F894" s="59" t="n"/>
      <c r="G894" s="60" t="n"/>
      <c r="H894" s="59" t="n"/>
      <c r="I894" s="59" t="n"/>
      <c r="J894" s="59" t="n"/>
      <c r="K894" s="59" t="n"/>
      <c r="L894" s="59" t="n"/>
      <c r="M894" s="59" t="n"/>
      <c r="N894" s="59" t="n"/>
      <c r="O894" s="59" t="n"/>
      <c r="P894" s="59" t="n"/>
      <c r="Q894" s="59" t="n"/>
      <c r="R894" s="59" t="n"/>
      <c r="S894" s="59" t="n"/>
      <c r="T894" s="59" t="n"/>
      <c r="U894" s="59" t="n"/>
      <c r="V894" s="59" t="n"/>
      <c r="W894" s="59" t="n"/>
      <c r="X894" s="59" t="n"/>
      <c r="Y894" s="59" t="n"/>
      <c r="Z894" s="59" t="n"/>
      <c r="AA894" s="59" t="n"/>
      <c r="AB894" s="59" t="n"/>
      <c r="AC894" s="59" t="n"/>
      <c r="AD894" s="59" t="n"/>
    </row>
    <row r="895">
      <c r="A895" s="59" t="n"/>
      <c r="B895" s="59" t="n"/>
      <c r="C895" s="59" t="n"/>
      <c r="D895" s="59" t="n"/>
      <c r="E895" s="59" t="n"/>
      <c r="F895" s="59" t="n"/>
      <c r="G895" s="60" t="n"/>
      <c r="H895" s="59" t="n"/>
      <c r="I895" s="59" t="n"/>
      <c r="J895" s="59" t="n"/>
      <c r="K895" s="59" t="n"/>
      <c r="L895" s="59" t="n"/>
      <c r="M895" s="59" t="n"/>
      <c r="N895" s="59" t="n"/>
      <c r="O895" s="59" t="n"/>
      <c r="P895" s="59" t="n"/>
      <c r="Q895" s="59" t="n"/>
      <c r="R895" s="59" t="n"/>
      <c r="S895" s="59" t="n"/>
      <c r="T895" s="59" t="n"/>
      <c r="U895" s="59" t="n"/>
      <c r="V895" s="59" t="n"/>
      <c r="W895" s="59" t="n"/>
      <c r="X895" s="59" t="n"/>
      <c r="Y895" s="59" t="n"/>
      <c r="Z895" s="59" t="n"/>
      <c r="AA895" s="59" t="n"/>
      <c r="AB895" s="59" t="n"/>
      <c r="AC895" s="59" t="n"/>
      <c r="AD895" s="59" t="n"/>
    </row>
    <row r="896">
      <c r="A896" s="59" t="n"/>
      <c r="B896" s="59" t="n"/>
      <c r="C896" s="59" t="n"/>
      <c r="D896" s="59" t="n"/>
      <c r="E896" s="59" t="n"/>
      <c r="F896" s="59" t="n"/>
      <c r="G896" s="60" t="n"/>
      <c r="H896" s="59" t="n"/>
      <c r="I896" s="59" t="n"/>
      <c r="J896" s="59" t="n"/>
      <c r="K896" s="59" t="n"/>
      <c r="L896" s="59" t="n"/>
      <c r="M896" s="59" t="n"/>
      <c r="N896" s="59" t="n"/>
      <c r="O896" s="59" t="n"/>
      <c r="P896" s="59" t="n"/>
      <c r="Q896" s="59" t="n"/>
      <c r="R896" s="59" t="n"/>
      <c r="S896" s="59" t="n"/>
      <c r="T896" s="59" t="n"/>
      <c r="U896" s="59" t="n"/>
      <c r="V896" s="59" t="n"/>
      <c r="W896" s="59" t="n"/>
      <c r="X896" s="59" t="n"/>
      <c r="Y896" s="59" t="n"/>
      <c r="Z896" s="59" t="n"/>
      <c r="AA896" s="59" t="n"/>
      <c r="AB896" s="59" t="n"/>
      <c r="AC896" s="59" t="n"/>
      <c r="AD896" s="59" t="n"/>
    </row>
    <row r="897">
      <c r="A897" s="59" t="n"/>
      <c r="B897" s="59" t="n"/>
      <c r="C897" s="59" t="n"/>
      <c r="D897" s="59" t="n"/>
      <c r="E897" s="59" t="n"/>
      <c r="F897" s="59" t="n"/>
      <c r="G897" s="60" t="n"/>
      <c r="H897" s="59" t="n"/>
      <c r="I897" s="59" t="n"/>
      <c r="J897" s="59" t="n"/>
      <c r="K897" s="59" t="n"/>
      <c r="L897" s="59" t="n"/>
      <c r="M897" s="59" t="n"/>
      <c r="N897" s="59" t="n"/>
      <c r="O897" s="59" t="n"/>
      <c r="P897" s="59" t="n"/>
      <c r="Q897" s="59" t="n"/>
      <c r="R897" s="59" t="n"/>
      <c r="S897" s="59" t="n"/>
      <c r="T897" s="59" t="n"/>
      <c r="U897" s="59" t="n"/>
      <c r="V897" s="59" t="n"/>
      <c r="W897" s="59" t="n"/>
      <c r="X897" s="59" t="n"/>
      <c r="Y897" s="59" t="n"/>
      <c r="Z897" s="59" t="n"/>
      <c r="AA897" s="59" t="n"/>
      <c r="AB897" s="59" t="n"/>
      <c r="AC897" s="59" t="n"/>
      <c r="AD897" s="59" t="n"/>
    </row>
    <row r="898">
      <c r="A898" s="59" t="n"/>
      <c r="B898" s="59" t="n"/>
      <c r="C898" s="59" t="n"/>
      <c r="D898" s="59" t="n"/>
      <c r="E898" s="59" t="n"/>
      <c r="F898" s="59" t="n"/>
      <c r="G898" s="60" t="n"/>
      <c r="H898" s="59" t="n"/>
      <c r="I898" s="59" t="n"/>
      <c r="J898" s="59" t="n"/>
      <c r="K898" s="59" t="n"/>
      <c r="L898" s="59" t="n"/>
      <c r="M898" s="59" t="n"/>
      <c r="N898" s="59" t="n"/>
      <c r="O898" s="59" t="n"/>
      <c r="P898" s="59" t="n"/>
      <c r="Q898" s="59" t="n"/>
      <c r="R898" s="59" t="n"/>
      <c r="S898" s="59" t="n"/>
      <c r="T898" s="59" t="n"/>
      <c r="U898" s="59" t="n"/>
      <c r="V898" s="59" t="n"/>
      <c r="W898" s="59" t="n"/>
      <c r="X898" s="59" t="n"/>
      <c r="Y898" s="59" t="n"/>
      <c r="Z898" s="59" t="n"/>
      <c r="AA898" s="59" t="n"/>
      <c r="AB898" s="59" t="n"/>
      <c r="AC898" s="59" t="n"/>
      <c r="AD898" s="59" t="n"/>
    </row>
    <row r="899">
      <c r="A899" s="59" t="n"/>
      <c r="B899" s="59" t="n"/>
      <c r="C899" s="59" t="n"/>
      <c r="D899" s="59" t="n"/>
      <c r="E899" s="59" t="n"/>
      <c r="F899" s="59" t="n"/>
      <c r="G899" s="60" t="n"/>
      <c r="H899" s="59" t="n"/>
      <c r="I899" s="59" t="n"/>
      <c r="J899" s="59" t="n"/>
      <c r="K899" s="59" t="n"/>
      <c r="L899" s="59" t="n"/>
      <c r="M899" s="59" t="n"/>
      <c r="N899" s="59" t="n"/>
      <c r="O899" s="59" t="n"/>
      <c r="P899" s="59" t="n"/>
      <c r="Q899" s="59" t="n"/>
      <c r="R899" s="59" t="n"/>
      <c r="S899" s="59" t="n"/>
      <c r="T899" s="59" t="n"/>
      <c r="U899" s="59" t="n"/>
      <c r="V899" s="59" t="n"/>
      <c r="W899" s="59" t="n"/>
      <c r="X899" s="59" t="n"/>
      <c r="Y899" s="59" t="n"/>
      <c r="Z899" s="59" t="n"/>
      <c r="AA899" s="59" t="n"/>
      <c r="AB899" s="59" t="n"/>
      <c r="AC899" s="59" t="n"/>
      <c r="AD899" s="59" t="n"/>
    </row>
    <row r="900">
      <c r="A900" s="59" t="n"/>
      <c r="B900" s="59" t="n"/>
      <c r="C900" s="59" t="n"/>
      <c r="D900" s="59" t="n"/>
      <c r="E900" s="59" t="n"/>
      <c r="F900" s="59" t="n"/>
      <c r="G900" s="60" t="n"/>
      <c r="H900" s="59" t="n"/>
      <c r="I900" s="59" t="n"/>
      <c r="J900" s="59" t="n"/>
      <c r="K900" s="59" t="n"/>
      <c r="L900" s="59" t="n"/>
      <c r="M900" s="59" t="n"/>
      <c r="N900" s="59" t="n"/>
      <c r="O900" s="59" t="n"/>
      <c r="P900" s="59" t="n"/>
      <c r="Q900" s="59" t="n"/>
      <c r="R900" s="59" t="n"/>
      <c r="S900" s="59" t="n"/>
      <c r="T900" s="59" t="n"/>
      <c r="U900" s="59" t="n"/>
      <c r="V900" s="59" t="n"/>
      <c r="W900" s="59" t="n"/>
      <c r="X900" s="59" t="n"/>
      <c r="Y900" s="59" t="n"/>
      <c r="Z900" s="59" t="n"/>
      <c r="AA900" s="59" t="n"/>
      <c r="AB900" s="59" t="n"/>
      <c r="AC900" s="59" t="n"/>
      <c r="AD900" s="59" t="n"/>
    </row>
    <row r="901">
      <c r="A901" s="59" t="n"/>
      <c r="B901" s="59" t="n"/>
      <c r="C901" s="59" t="n"/>
      <c r="D901" s="59" t="n"/>
      <c r="E901" s="59" t="n"/>
      <c r="F901" s="59" t="n"/>
      <c r="G901" s="60" t="n"/>
      <c r="H901" s="59" t="n"/>
      <c r="I901" s="59" t="n"/>
      <c r="J901" s="59" t="n"/>
      <c r="K901" s="59" t="n"/>
      <c r="L901" s="59" t="n"/>
      <c r="M901" s="59" t="n"/>
      <c r="N901" s="59" t="n"/>
      <c r="O901" s="59" t="n"/>
      <c r="P901" s="59" t="n"/>
      <c r="Q901" s="59" t="n"/>
      <c r="R901" s="59" t="n"/>
      <c r="S901" s="59" t="n"/>
      <c r="T901" s="59" t="n"/>
      <c r="U901" s="59" t="n"/>
      <c r="V901" s="59" t="n"/>
      <c r="W901" s="59" t="n"/>
      <c r="X901" s="59" t="n"/>
      <c r="Y901" s="59" t="n"/>
      <c r="Z901" s="59" t="n"/>
      <c r="AA901" s="59" t="n"/>
      <c r="AB901" s="59" t="n"/>
      <c r="AC901" s="59" t="n"/>
      <c r="AD901" s="59" t="n"/>
    </row>
    <row r="902">
      <c r="A902" s="59" t="n"/>
      <c r="B902" s="59" t="n"/>
      <c r="C902" s="59" t="n"/>
      <c r="D902" s="59" t="n"/>
      <c r="E902" s="59" t="n"/>
      <c r="F902" s="59" t="n"/>
      <c r="G902" s="60" t="n"/>
      <c r="H902" s="59" t="n"/>
      <c r="I902" s="59" t="n"/>
      <c r="J902" s="59" t="n"/>
      <c r="K902" s="59" t="n"/>
      <c r="L902" s="59" t="n"/>
      <c r="M902" s="59" t="n"/>
      <c r="N902" s="59" t="n"/>
      <c r="O902" s="59" t="n"/>
      <c r="P902" s="59" t="n"/>
      <c r="Q902" s="59" t="n"/>
      <c r="R902" s="59" t="n"/>
      <c r="S902" s="59" t="n"/>
      <c r="T902" s="59" t="n"/>
      <c r="U902" s="59" t="n"/>
      <c r="V902" s="59" t="n"/>
      <c r="W902" s="59" t="n"/>
      <c r="X902" s="59" t="n"/>
      <c r="Y902" s="59" t="n"/>
      <c r="Z902" s="59" t="n"/>
      <c r="AA902" s="59" t="n"/>
      <c r="AB902" s="59" t="n"/>
      <c r="AC902" s="59" t="n"/>
      <c r="AD902" s="59" t="n"/>
    </row>
    <row r="903">
      <c r="A903" s="59" t="n"/>
      <c r="B903" s="59" t="n"/>
      <c r="C903" s="59" t="n"/>
      <c r="D903" s="59" t="n"/>
      <c r="E903" s="59" t="n"/>
      <c r="F903" s="59" t="n"/>
      <c r="G903" s="60" t="n"/>
      <c r="H903" s="59" t="n"/>
      <c r="I903" s="59" t="n"/>
      <c r="J903" s="59" t="n"/>
      <c r="K903" s="59" t="n"/>
      <c r="L903" s="59" t="n"/>
      <c r="M903" s="59" t="n"/>
      <c r="N903" s="59" t="n"/>
      <c r="O903" s="59" t="n"/>
      <c r="P903" s="59" t="n"/>
      <c r="Q903" s="59" t="n"/>
      <c r="R903" s="59" t="n"/>
      <c r="S903" s="59" t="n"/>
      <c r="T903" s="59" t="n"/>
      <c r="U903" s="59" t="n"/>
      <c r="V903" s="59" t="n"/>
      <c r="W903" s="59" t="n"/>
      <c r="X903" s="59" t="n"/>
      <c r="Y903" s="59" t="n"/>
      <c r="Z903" s="59" t="n"/>
      <c r="AA903" s="59" t="n"/>
      <c r="AB903" s="59" t="n"/>
      <c r="AC903" s="59" t="n"/>
      <c r="AD903" s="59" t="n"/>
    </row>
    <row r="904">
      <c r="A904" s="59" t="n"/>
      <c r="B904" s="59" t="n"/>
      <c r="C904" s="59" t="n"/>
      <c r="D904" s="59" t="n"/>
      <c r="E904" s="59" t="n"/>
      <c r="F904" s="59" t="n"/>
      <c r="G904" s="60" t="n"/>
      <c r="H904" s="59" t="n"/>
      <c r="I904" s="59" t="n"/>
      <c r="J904" s="59" t="n"/>
      <c r="K904" s="59" t="n"/>
      <c r="L904" s="59" t="n"/>
      <c r="M904" s="59" t="n"/>
      <c r="N904" s="59" t="n"/>
      <c r="O904" s="59" t="n"/>
      <c r="P904" s="59" t="n"/>
      <c r="Q904" s="59" t="n"/>
      <c r="R904" s="59" t="n"/>
      <c r="S904" s="59" t="n"/>
      <c r="T904" s="59" t="n"/>
      <c r="U904" s="59" t="n"/>
      <c r="V904" s="59" t="n"/>
      <c r="W904" s="59" t="n"/>
      <c r="X904" s="59" t="n"/>
      <c r="Y904" s="59" t="n"/>
      <c r="Z904" s="59" t="n"/>
      <c r="AA904" s="59" t="n"/>
      <c r="AB904" s="59" t="n"/>
      <c r="AC904" s="59" t="n"/>
      <c r="AD904" s="59" t="n"/>
    </row>
    <row r="905">
      <c r="A905" s="59" t="n"/>
      <c r="B905" s="59" t="n"/>
      <c r="C905" s="59" t="n"/>
      <c r="D905" s="59" t="n"/>
      <c r="E905" s="59" t="n"/>
      <c r="F905" s="59" t="n"/>
      <c r="G905" s="60" t="n"/>
      <c r="H905" s="59" t="n"/>
      <c r="I905" s="59" t="n"/>
      <c r="J905" s="59" t="n"/>
      <c r="K905" s="59" t="n"/>
      <c r="L905" s="59" t="n"/>
      <c r="M905" s="59" t="n"/>
      <c r="N905" s="59" t="n"/>
      <c r="O905" s="59" t="n"/>
      <c r="P905" s="59" t="n"/>
      <c r="Q905" s="59" t="n"/>
      <c r="R905" s="59" t="n"/>
      <c r="S905" s="59" t="n"/>
      <c r="T905" s="59" t="n"/>
      <c r="U905" s="59" t="n"/>
      <c r="V905" s="59" t="n"/>
      <c r="W905" s="59" t="n"/>
      <c r="X905" s="59" t="n"/>
      <c r="Y905" s="59" t="n"/>
      <c r="Z905" s="59" t="n"/>
      <c r="AA905" s="59" t="n"/>
      <c r="AB905" s="59" t="n"/>
      <c r="AC905" s="59" t="n"/>
      <c r="AD905" s="59" t="n"/>
    </row>
    <row r="906">
      <c r="A906" s="59" t="n"/>
      <c r="B906" s="59" t="n"/>
      <c r="C906" s="59" t="n"/>
      <c r="D906" s="59" t="n"/>
      <c r="E906" s="59" t="n"/>
      <c r="F906" s="59" t="n"/>
      <c r="G906" s="60" t="n"/>
      <c r="H906" s="59" t="n"/>
      <c r="I906" s="59" t="n"/>
      <c r="J906" s="59" t="n"/>
      <c r="K906" s="59" t="n"/>
      <c r="L906" s="59" t="n"/>
      <c r="M906" s="59" t="n"/>
      <c r="N906" s="59" t="n"/>
      <c r="O906" s="59" t="n"/>
      <c r="P906" s="59" t="n"/>
      <c r="Q906" s="59" t="n"/>
      <c r="R906" s="59" t="n"/>
      <c r="S906" s="59" t="n"/>
      <c r="T906" s="59" t="n"/>
      <c r="U906" s="59" t="n"/>
      <c r="V906" s="59" t="n"/>
      <c r="W906" s="59" t="n"/>
      <c r="X906" s="59" t="n"/>
      <c r="Y906" s="59" t="n"/>
      <c r="Z906" s="59" t="n"/>
      <c r="AA906" s="59" t="n"/>
      <c r="AB906" s="59" t="n"/>
      <c r="AC906" s="59" t="n"/>
      <c r="AD906" s="59" t="n"/>
    </row>
    <row r="907">
      <c r="A907" s="59" t="n"/>
      <c r="B907" s="59" t="n"/>
      <c r="C907" s="59" t="n"/>
      <c r="D907" s="59" t="n"/>
      <c r="E907" s="59" t="n"/>
      <c r="F907" s="59" t="n"/>
      <c r="G907" s="60" t="n"/>
      <c r="H907" s="59" t="n"/>
      <c r="I907" s="59" t="n"/>
      <c r="J907" s="59" t="n"/>
      <c r="K907" s="59" t="n"/>
      <c r="L907" s="59" t="n"/>
      <c r="M907" s="59" t="n"/>
      <c r="N907" s="59" t="n"/>
      <c r="O907" s="59" t="n"/>
      <c r="P907" s="59" t="n"/>
      <c r="Q907" s="59" t="n"/>
      <c r="R907" s="59" t="n"/>
      <c r="S907" s="59" t="n"/>
      <c r="T907" s="59" t="n"/>
      <c r="U907" s="59" t="n"/>
      <c r="V907" s="59" t="n"/>
      <c r="W907" s="59" t="n"/>
      <c r="X907" s="59" t="n"/>
      <c r="Y907" s="59" t="n"/>
      <c r="Z907" s="59" t="n"/>
      <c r="AA907" s="59" t="n"/>
      <c r="AB907" s="59" t="n"/>
      <c r="AC907" s="59" t="n"/>
      <c r="AD907" s="59" t="n"/>
    </row>
    <row r="908">
      <c r="A908" s="59" t="n"/>
      <c r="B908" s="59" t="n"/>
      <c r="C908" s="59" t="n"/>
      <c r="D908" s="59" t="n"/>
      <c r="E908" s="59" t="n"/>
      <c r="F908" s="59" t="n"/>
      <c r="G908" s="60" t="n"/>
      <c r="H908" s="59" t="n"/>
      <c r="I908" s="59" t="n"/>
      <c r="J908" s="59" t="n"/>
      <c r="K908" s="59" t="n"/>
      <c r="L908" s="59" t="n"/>
      <c r="M908" s="59" t="n"/>
      <c r="N908" s="59" t="n"/>
      <c r="O908" s="59" t="n"/>
      <c r="P908" s="59" t="n"/>
      <c r="Q908" s="59" t="n"/>
      <c r="R908" s="59" t="n"/>
      <c r="S908" s="59" t="n"/>
      <c r="T908" s="59" t="n"/>
      <c r="U908" s="59" t="n"/>
      <c r="V908" s="59" t="n"/>
      <c r="W908" s="59" t="n"/>
      <c r="X908" s="59" t="n"/>
      <c r="Y908" s="59" t="n"/>
      <c r="Z908" s="59" t="n"/>
      <c r="AA908" s="59" t="n"/>
      <c r="AB908" s="59" t="n"/>
      <c r="AC908" s="59" t="n"/>
      <c r="AD908" s="59" t="n"/>
    </row>
    <row r="909">
      <c r="A909" s="59" t="n"/>
      <c r="B909" s="59" t="n"/>
      <c r="C909" s="59" t="n"/>
      <c r="D909" s="59" t="n"/>
      <c r="E909" s="59" t="n"/>
      <c r="F909" s="59" t="n"/>
      <c r="G909" s="60" t="n"/>
      <c r="H909" s="59" t="n"/>
      <c r="I909" s="59" t="n"/>
      <c r="J909" s="59" t="n"/>
      <c r="K909" s="59" t="n"/>
      <c r="L909" s="59" t="n"/>
      <c r="M909" s="59" t="n"/>
      <c r="N909" s="59" t="n"/>
      <c r="O909" s="59" t="n"/>
      <c r="P909" s="59" t="n"/>
      <c r="Q909" s="59" t="n"/>
      <c r="R909" s="59" t="n"/>
      <c r="S909" s="59" t="n"/>
      <c r="T909" s="59" t="n"/>
      <c r="U909" s="59" t="n"/>
      <c r="V909" s="59" t="n"/>
      <c r="W909" s="59" t="n"/>
      <c r="X909" s="59" t="n"/>
      <c r="Y909" s="59" t="n"/>
      <c r="Z909" s="59" t="n"/>
      <c r="AA909" s="59" t="n"/>
      <c r="AB909" s="59" t="n"/>
      <c r="AC909" s="59" t="n"/>
      <c r="AD909" s="59" t="n"/>
    </row>
    <row r="910">
      <c r="A910" s="59" t="n"/>
      <c r="B910" s="59" t="n"/>
      <c r="C910" s="59" t="n"/>
      <c r="D910" s="59" t="n"/>
      <c r="E910" s="59" t="n"/>
      <c r="F910" s="59" t="n"/>
      <c r="G910" s="60" t="n"/>
      <c r="H910" s="59" t="n"/>
      <c r="I910" s="59" t="n"/>
      <c r="J910" s="59" t="n"/>
      <c r="K910" s="59" t="n"/>
      <c r="L910" s="59" t="n"/>
      <c r="M910" s="59" t="n"/>
      <c r="N910" s="59" t="n"/>
      <c r="O910" s="59" t="n"/>
      <c r="P910" s="59" t="n"/>
      <c r="Q910" s="59" t="n"/>
      <c r="R910" s="59" t="n"/>
      <c r="S910" s="59" t="n"/>
      <c r="T910" s="59" t="n"/>
      <c r="U910" s="59" t="n"/>
      <c r="V910" s="59" t="n"/>
      <c r="W910" s="59" t="n"/>
      <c r="X910" s="59" t="n"/>
      <c r="Y910" s="59" t="n"/>
      <c r="Z910" s="59" t="n"/>
      <c r="AA910" s="59" t="n"/>
      <c r="AB910" s="59" t="n"/>
      <c r="AC910" s="59" t="n"/>
      <c r="AD910" s="59" t="n"/>
    </row>
    <row r="911">
      <c r="A911" s="59" t="n"/>
      <c r="B911" s="59" t="n"/>
      <c r="C911" s="59" t="n"/>
      <c r="D911" s="59" t="n"/>
      <c r="E911" s="59" t="n"/>
      <c r="F911" s="59" t="n"/>
      <c r="G911" s="60" t="n"/>
      <c r="H911" s="59" t="n"/>
      <c r="I911" s="59" t="n"/>
      <c r="J911" s="59" t="n"/>
      <c r="K911" s="59" t="n"/>
      <c r="L911" s="59" t="n"/>
      <c r="M911" s="59" t="n"/>
      <c r="N911" s="59" t="n"/>
      <c r="O911" s="59" t="n"/>
      <c r="P911" s="59" t="n"/>
      <c r="Q911" s="59" t="n"/>
      <c r="R911" s="59" t="n"/>
      <c r="S911" s="59" t="n"/>
      <c r="T911" s="59" t="n"/>
      <c r="U911" s="59" t="n"/>
      <c r="V911" s="59" t="n"/>
      <c r="W911" s="59" t="n"/>
      <c r="X911" s="59" t="n"/>
      <c r="Y911" s="59" t="n"/>
      <c r="Z911" s="59" t="n"/>
      <c r="AA911" s="59" t="n"/>
      <c r="AB911" s="59" t="n"/>
      <c r="AC911" s="59" t="n"/>
      <c r="AD911" s="59" t="n"/>
    </row>
    <row r="912">
      <c r="A912" s="59" t="n"/>
      <c r="B912" s="59" t="n"/>
      <c r="C912" s="59" t="n"/>
      <c r="D912" s="59" t="n"/>
      <c r="E912" s="59" t="n"/>
      <c r="F912" s="59" t="n"/>
      <c r="G912" s="60" t="n"/>
      <c r="H912" s="59" t="n"/>
      <c r="I912" s="59" t="n"/>
      <c r="J912" s="59" t="n"/>
      <c r="K912" s="59" t="n"/>
      <c r="L912" s="59" t="n"/>
      <c r="M912" s="59" t="n"/>
      <c r="N912" s="59" t="n"/>
      <c r="O912" s="59" t="n"/>
      <c r="P912" s="59" t="n"/>
      <c r="Q912" s="59" t="n"/>
      <c r="R912" s="59" t="n"/>
      <c r="S912" s="59" t="n"/>
      <c r="T912" s="59" t="n"/>
      <c r="U912" s="59" t="n"/>
      <c r="V912" s="59" t="n"/>
      <c r="W912" s="59" t="n"/>
      <c r="X912" s="59" t="n"/>
      <c r="Y912" s="59" t="n"/>
      <c r="Z912" s="59" t="n"/>
      <c r="AA912" s="59" t="n"/>
      <c r="AB912" s="59" t="n"/>
      <c r="AC912" s="59" t="n"/>
      <c r="AD912" s="59" t="n"/>
    </row>
    <row r="913">
      <c r="A913" s="59" t="n"/>
      <c r="B913" s="59" t="n"/>
      <c r="C913" s="59" t="n"/>
      <c r="D913" s="59" t="n"/>
      <c r="E913" s="59" t="n"/>
      <c r="F913" s="59" t="n"/>
      <c r="G913" s="60" t="n"/>
      <c r="H913" s="59" t="n"/>
      <c r="I913" s="59" t="n"/>
      <c r="J913" s="59" t="n"/>
      <c r="K913" s="59" t="n"/>
      <c r="L913" s="59" t="n"/>
      <c r="M913" s="59" t="n"/>
      <c r="N913" s="59" t="n"/>
      <c r="O913" s="59" t="n"/>
      <c r="P913" s="59" t="n"/>
      <c r="Q913" s="59" t="n"/>
      <c r="R913" s="59" t="n"/>
      <c r="S913" s="59" t="n"/>
      <c r="T913" s="59" t="n"/>
      <c r="U913" s="59" t="n"/>
      <c r="V913" s="59" t="n"/>
      <c r="W913" s="59" t="n"/>
      <c r="X913" s="59" t="n"/>
      <c r="Y913" s="59" t="n"/>
      <c r="Z913" s="59" t="n"/>
      <c r="AA913" s="59" t="n"/>
      <c r="AB913" s="59" t="n"/>
      <c r="AC913" s="59" t="n"/>
      <c r="AD913" s="59" t="n"/>
    </row>
    <row r="914">
      <c r="A914" s="59" t="n"/>
      <c r="B914" s="59" t="n"/>
      <c r="C914" s="59" t="n"/>
      <c r="D914" s="59" t="n"/>
      <c r="E914" s="59" t="n"/>
      <c r="F914" s="59" t="n"/>
      <c r="G914" s="60" t="n"/>
      <c r="H914" s="59" t="n"/>
      <c r="I914" s="59" t="n"/>
      <c r="J914" s="59" t="n"/>
      <c r="K914" s="59" t="n"/>
      <c r="L914" s="59" t="n"/>
      <c r="M914" s="59" t="n"/>
      <c r="N914" s="59" t="n"/>
      <c r="O914" s="59" t="n"/>
      <c r="P914" s="59" t="n"/>
      <c r="Q914" s="59" t="n"/>
      <c r="R914" s="59" t="n"/>
      <c r="S914" s="59" t="n"/>
      <c r="T914" s="59" t="n"/>
      <c r="U914" s="59" t="n"/>
      <c r="V914" s="59" t="n"/>
      <c r="W914" s="59" t="n"/>
      <c r="X914" s="59" t="n"/>
      <c r="Y914" s="59" t="n"/>
      <c r="Z914" s="59" t="n"/>
      <c r="AA914" s="59" t="n"/>
      <c r="AB914" s="59" t="n"/>
      <c r="AC914" s="59" t="n"/>
      <c r="AD914" s="59" t="n"/>
    </row>
    <row r="915">
      <c r="A915" s="59" t="n"/>
      <c r="B915" s="59" t="n"/>
      <c r="C915" s="59" t="n"/>
      <c r="D915" s="59" t="n"/>
      <c r="E915" s="59" t="n"/>
      <c r="F915" s="59" t="n"/>
      <c r="G915" s="60" t="n"/>
      <c r="H915" s="59" t="n"/>
      <c r="I915" s="59" t="n"/>
      <c r="J915" s="59" t="n"/>
      <c r="K915" s="59" t="n"/>
      <c r="L915" s="59" t="n"/>
      <c r="M915" s="59" t="n"/>
      <c r="N915" s="59" t="n"/>
      <c r="O915" s="59" t="n"/>
      <c r="P915" s="59" t="n"/>
      <c r="Q915" s="59" t="n"/>
      <c r="R915" s="59" t="n"/>
      <c r="S915" s="59" t="n"/>
      <c r="T915" s="59" t="n"/>
      <c r="U915" s="59" t="n"/>
      <c r="V915" s="59" t="n"/>
      <c r="W915" s="59" t="n"/>
      <c r="X915" s="59" t="n"/>
      <c r="Y915" s="59" t="n"/>
      <c r="Z915" s="59" t="n"/>
      <c r="AA915" s="59" t="n"/>
      <c r="AB915" s="59" t="n"/>
      <c r="AC915" s="59" t="n"/>
      <c r="AD915" s="59" t="n"/>
    </row>
    <row r="916">
      <c r="A916" s="59" t="n"/>
      <c r="B916" s="59" t="n"/>
      <c r="C916" s="59" t="n"/>
      <c r="D916" s="59" t="n"/>
      <c r="E916" s="59" t="n"/>
      <c r="F916" s="59" t="n"/>
      <c r="G916" s="60" t="n"/>
      <c r="H916" s="59" t="n"/>
      <c r="I916" s="59" t="n"/>
      <c r="J916" s="59" t="n"/>
      <c r="K916" s="59" t="n"/>
      <c r="L916" s="59" t="n"/>
      <c r="M916" s="59" t="n"/>
      <c r="N916" s="59" t="n"/>
      <c r="O916" s="59" t="n"/>
      <c r="P916" s="59" t="n"/>
      <c r="Q916" s="59" t="n"/>
      <c r="R916" s="59" t="n"/>
      <c r="S916" s="59" t="n"/>
      <c r="T916" s="59" t="n"/>
      <c r="U916" s="59" t="n"/>
      <c r="V916" s="59" t="n"/>
      <c r="W916" s="59" t="n"/>
      <c r="X916" s="59" t="n"/>
      <c r="Y916" s="59" t="n"/>
      <c r="Z916" s="59" t="n"/>
      <c r="AA916" s="59" t="n"/>
      <c r="AB916" s="59" t="n"/>
      <c r="AC916" s="59" t="n"/>
      <c r="AD916" s="59" t="n"/>
    </row>
    <row r="917">
      <c r="A917" s="59" t="n"/>
      <c r="B917" s="59" t="n"/>
      <c r="C917" s="59" t="n"/>
      <c r="D917" s="59" t="n"/>
      <c r="E917" s="59" t="n"/>
      <c r="F917" s="59" t="n"/>
      <c r="G917" s="60" t="n"/>
      <c r="H917" s="59" t="n"/>
      <c r="I917" s="59" t="n"/>
      <c r="J917" s="59" t="n"/>
      <c r="K917" s="59" t="n"/>
      <c r="L917" s="59" t="n"/>
      <c r="M917" s="59" t="n"/>
      <c r="N917" s="59" t="n"/>
      <c r="O917" s="59" t="n"/>
      <c r="P917" s="59" t="n"/>
      <c r="Q917" s="59" t="n"/>
      <c r="R917" s="59" t="n"/>
      <c r="S917" s="59" t="n"/>
      <c r="T917" s="59" t="n"/>
      <c r="U917" s="59" t="n"/>
      <c r="V917" s="59" t="n"/>
      <c r="W917" s="59" t="n"/>
      <c r="X917" s="59" t="n"/>
      <c r="Y917" s="59" t="n"/>
      <c r="Z917" s="59" t="n"/>
      <c r="AA917" s="59" t="n"/>
      <c r="AB917" s="59" t="n"/>
      <c r="AC917" s="59" t="n"/>
      <c r="AD917" s="59" t="n"/>
    </row>
    <row r="918">
      <c r="A918" s="59" t="n"/>
      <c r="B918" s="59" t="n"/>
      <c r="C918" s="59" t="n"/>
      <c r="D918" s="59" t="n"/>
      <c r="E918" s="59" t="n"/>
      <c r="F918" s="59" t="n"/>
      <c r="G918" s="60" t="n"/>
      <c r="H918" s="59" t="n"/>
      <c r="I918" s="59" t="n"/>
      <c r="J918" s="59" t="n"/>
      <c r="K918" s="59" t="n"/>
      <c r="L918" s="59" t="n"/>
      <c r="M918" s="59" t="n"/>
      <c r="N918" s="59" t="n"/>
      <c r="O918" s="59" t="n"/>
      <c r="P918" s="59" t="n"/>
      <c r="Q918" s="59" t="n"/>
      <c r="R918" s="59" t="n"/>
      <c r="S918" s="59" t="n"/>
      <c r="T918" s="59" t="n"/>
      <c r="U918" s="59" t="n"/>
      <c r="V918" s="59" t="n"/>
      <c r="W918" s="59" t="n"/>
      <c r="X918" s="59" t="n"/>
      <c r="Y918" s="59" t="n"/>
      <c r="Z918" s="59" t="n"/>
      <c r="AA918" s="59" t="n"/>
      <c r="AB918" s="59" t="n"/>
      <c r="AC918" s="59" t="n"/>
      <c r="AD918" s="59" t="n"/>
    </row>
    <row r="919">
      <c r="A919" s="59" t="n"/>
      <c r="B919" s="59" t="n"/>
      <c r="C919" s="59" t="n"/>
      <c r="D919" s="59" t="n"/>
      <c r="E919" s="59" t="n"/>
      <c r="F919" s="59" t="n"/>
      <c r="G919" s="60" t="n"/>
      <c r="H919" s="59" t="n"/>
      <c r="I919" s="59" t="n"/>
      <c r="J919" s="59" t="n"/>
      <c r="K919" s="59" t="n"/>
      <c r="L919" s="59" t="n"/>
      <c r="M919" s="59" t="n"/>
      <c r="N919" s="59" t="n"/>
      <c r="O919" s="59" t="n"/>
      <c r="P919" s="59" t="n"/>
      <c r="Q919" s="59" t="n"/>
      <c r="R919" s="59" t="n"/>
      <c r="S919" s="59" t="n"/>
      <c r="T919" s="59" t="n"/>
      <c r="U919" s="59" t="n"/>
      <c r="V919" s="59" t="n"/>
      <c r="W919" s="59" t="n"/>
      <c r="X919" s="59" t="n"/>
      <c r="Y919" s="59" t="n"/>
      <c r="Z919" s="59" t="n"/>
      <c r="AA919" s="59" t="n"/>
      <c r="AB919" s="59" t="n"/>
      <c r="AC919" s="59" t="n"/>
      <c r="AD919" s="59" t="n"/>
    </row>
    <row r="920">
      <c r="A920" s="59" t="n"/>
      <c r="B920" s="59" t="n"/>
      <c r="C920" s="59" t="n"/>
      <c r="D920" s="59" t="n"/>
      <c r="E920" s="59" t="n"/>
      <c r="F920" s="59" t="n"/>
      <c r="G920" s="60" t="n"/>
      <c r="H920" s="59" t="n"/>
      <c r="I920" s="59" t="n"/>
      <c r="J920" s="59" t="n"/>
      <c r="K920" s="59" t="n"/>
      <c r="L920" s="59" t="n"/>
      <c r="M920" s="59" t="n"/>
      <c r="N920" s="59" t="n"/>
      <c r="O920" s="59" t="n"/>
      <c r="P920" s="59" t="n"/>
      <c r="Q920" s="59" t="n"/>
      <c r="R920" s="59" t="n"/>
      <c r="S920" s="59" t="n"/>
      <c r="T920" s="59" t="n"/>
      <c r="U920" s="59" t="n"/>
      <c r="V920" s="59" t="n"/>
      <c r="W920" s="59" t="n"/>
      <c r="X920" s="59" t="n"/>
      <c r="Y920" s="59" t="n"/>
      <c r="Z920" s="59" t="n"/>
      <c r="AA920" s="59" t="n"/>
      <c r="AB920" s="59" t="n"/>
      <c r="AC920" s="59" t="n"/>
      <c r="AD920" s="59" t="n"/>
    </row>
    <row r="921">
      <c r="A921" s="59" t="n"/>
      <c r="B921" s="59" t="n"/>
      <c r="C921" s="59" t="n"/>
      <c r="D921" s="59" t="n"/>
      <c r="E921" s="59" t="n"/>
      <c r="F921" s="59" t="n"/>
      <c r="G921" s="60" t="n"/>
      <c r="H921" s="59" t="n"/>
      <c r="I921" s="59" t="n"/>
      <c r="J921" s="59" t="n"/>
      <c r="K921" s="59" t="n"/>
      <c r="L921" s="59" t="n"/>
      <c r="M921" s="59" t="n"/>
      <c r="N921" s="59" t="n"/>
      <c r="O921" s="59" t="n"/>
      <c r="P921" s="59" t="n"/>
      <c r="Q921" s="59" t="n"/>
      <c r="R921" s="59" t="n"/>
      <c r="S921" s="59" t="n"/>
      <c r="T921" s="59" t="n"/>
      <c r="U921" s="59" t="n"/>
      <c r="V921" s="59" t="n"/>
      <c r="W921" s="59" t="n"/>
      <c r="X921" s="59" t="n"/>
      <c r="Y921" s="59" t="n"/>
      <c r="Z921" s="59" t="n"/>
      <c r="AA921" s="59" t="n"/>
      <c r="AB921" s="59" t="n"/>
      <c r="AC921" s="59" t="n"/>
      <c r="AD921" s="59" t="n"/>
    </row>
    <row r="922">
      <c r="A922" s="59" t="n"/>
      <c r="B922" s="59" t="n"/>
      <c r="C922" s="59" t="n"/>
      <c r="D922" s="59" t="n"/>
      <c r="E922" s="59" t="n"/>
      <c r="F922" s="59" t="n"/>
      <c r="G922" s="60" t="n"/>
      <c r="H922" s="59" t="n"/>
      <c r="I922" s="59" t="n"/>
      <c r="J922" s="59" t="n"/>
      <c r="K922" s="59" t="n"/>
      <c r="L922" s="59" t="n"/>
      <c r="M922" s="59" t="n"/>
      <c r="N922" s="59" t="n"/>
      <c r="O922" s="59" t="n"/>
      <c r="P922" s="59" t="n"/>
      <c r="Q922" s="59" t="n"/>
      <c r="R922" s="59" t="n"/>
      <c r="S922" s="59" t="n"/>
      <c r="T922" s="59" t="n"/>
      <c r="U922" s="59" t="n"/>
      <c r="V922" s="59" t="n"/>
      <c r="W922" s="59" t="n"/>
      <c r="X922" s="59" t="n"/>
      <c r="Y922" s="59" t="n"/>
      <c r="Z922" s="59" t="n"/>
      <c r="AA922" s="59" t="n"/>
      <c r="AB922" s="59" t="n"/>
      <c r="AC922" s="59" t="n"/>
      <c r="AD922" s="59" t="n"/>
    </row>
    <row r="923">
      <c r="A923" s="59" t="n"/>
      <c r="B923" s="59" t="n"/>
      <c r="C923" s="59" t="n"/>
      <c r="D923" s="59" t="n"/>
      <c r="E923" s="59" t="n"/>
      <c r="F923" s="59" t="n"/>
      <c r="G923" s="60" t="n"/>
      <c r="H923" s="59" t="n"/>
      <c r="I923" s="59" t="n"/>
      <c r="J923" s="59" t="n"/>
      <c r="K923" s="59" t="n"/>
      <c r="L923" s="59" t="n"/>
      <c r="M923" s="59" t="n"/>
      <c r="N923" s="59" t="n"/>
      <c r="O923" s="59" t="n"/>
      <c r="P923" s="59" t="n"/>
      <c r="Q923" s="59" t="n"/>
      <c r="R923" s="59" t="n"/>
      <c r="S923" s="59" t="n"/>
      <c r="T923" s="59" t="n"/>
      <c r="U923" s="59" t="n"/>
      <c r="V923" s="59" t="n"/>
      <c r="W923" s="59" t="n"/>
      <c r="X923" s="59" t="n"/>
      <c r="Y923" s="59" t="n"/>
      <c r="Z923" s="59" t="n"/>
      <c r="AA923" s="59" t="n"/>
      <c r="AB923" s="59" t="n"/>
      <c r="AC923" s="59" t="n"/>
      <c r="AD923" s="59" t="n"/>
    </row>
    <row r="924">
      <c r="A924" s="59" t="n"/>
      <c r="B924" s="59" t="n"/>
      <c r="C924" s="59" t="n"/>
      <c r="D924" s="59" t="n"/>
      <c r="E924" s="59" t="n"/>
      <c r="F924" s="59" t="n"/>
      <c r="G924" s="60" t="n"/>
      <c r="H924" s="59" t="n"/>
      <c r="I924" s="59" t="n"/>
      <c r="J924" s="59" t="n"/>
      <c r="K924" s="59" t="n"/>
      <c r="L924" s="59" t="n"/>
      <c r="M924" s="59" t="n"/>
      <c r="N924" s="59" t="n"/>
      <c r="O924" s="59" t="n"/>
      <c r="P924" s="59" t="n"/>
      <c r="Q924" s="59" t="n"/>
      <c r="R924" s="59" t="n"/>
      <c r="S924" s="59" t="n"/>
      <c r="T924" s="59" t="n"/>
      <c r="U924" s="59" t="n"/>
      <c r="V924" s="59" t="n"/>
      <c r="W924" s="59" t="n"/>
      <c r="X924" s="59" t="n"/>
      <c r="Y924" s="59" t="n"/>
      <c r="Z924" s="59" t="n"/>
      <c r="AA924" s="59" t="n"/>
      <c r="AB924" s="59" t="n"/>
      <c r="AC924" s="59" t="n"/>
      <c r="AD924" s="59" t="n"/>
    </row>
    <row r="925">
      <c r="A925" s="59" t="n"/>
      <c r="B925" s="59" t="n"/>
      <c r="C925" s="59" t="n"/>
      <c r="D925" s="59" t="n"/>
      <c r="E925" s="59" t="n"/>
      <c r="F925" s="59" t="n"/>
      <c r="G925" s="60" t="n"/>
      <c r="H925" s="59" t="n"/>
      <c r="I925" s="59" t="n"/>
      <c r="J925" s="59" t="n"/>
      <c r="K925" s="59" t="n"/>
      <c r="L925" s="59" t="n"/>
      <c r="M925" s="59" t="n"/>
      <c r="N925" s="59" t="n"/>
      <c r="O925" s="59" t="n"/>
      <c r="P925" s="59" t="n"/>
      <c r="Q925" s="59" t="n"/>
      <c r="R925" s="59" t="n"/>
      <c r="S925" s="59" t="n"/>
      <c r="T925" s="59" t="n"/>
      <c r="U925" s="59" t="n"/>
      <c r="V925" s="59" t="n"/>
      <c r="W925" s="59" t="n"/>
      <c r="X925" s="59" t="n"/>
      <c r="Y925" s="59" t="n"/>
      <c r="Z925" s="59" t="n"/>
      <c r="AA925" s="59" t="n"/>
      <c r="AB925" s="59" t="n"/>
      <c r="AC925" s="59" t="n"/>
      <c r="AD925" s="59" t="n"/>
    </row>
    <row r="926">
      <c r="A926" s="59" t="n"/>
      <c r="B926" s="59" t="n"/>
      <c r="C926" s="59" t="n"/>
      <c r="D926" s="59" t="n"/>
      <c r="E926" s="59" t="n"/>
      <c r="F926" s="59" t="n"/>
      <c r="G926" s="60" t="n"/>
      <c r="H926" s="59" t="n"/>
      <c r="I926" s="59" t="n"/>
      <c r="J926" s="59" t="n"/>
      <c r="K926" s="59" t="n"/>
      <c r="L926" s="59" t="n"/>
      <c r="M926" s="59" t="n"/>
      <c r="N926" s="59" t="n"/>
      <c r="O926" s="59" t="n"/>
      <c r="P926" s="59" t="n"/>
      <c r="Q926" s="59" t="n"/>
      <c r="R926" s="59" t="n"/>
      <c r="S926" s="59" t="n"/>
      <c r="T926" s="59" t="n"/>
      <c r="U926" s="59" t="n"/>
      <c r="V926" s="59" t="n"/>
      <c r="W926" s="59" t="n"/>
      <c r="X926" s="59" t="n"/>
      <c r="Y926" s="59" t="n"/>
      <c r="Z926" s="59" t="n"/>
      <c r="AA926" s="59" t="n"/>
      <c r="AB926" s="59" t="n"/>
      <c r="AC926" s="59" t="n"/>
      <c r="AD926" s="59" t="n"/>
    </row>
    <row r="927">
      <c r="A927" s="59" t="n"/>
      <c r="B927" s="59" t="n"/>
      <c r="C927" s="59" t="n"/>
      <c r="D927" s="59" t="n"/>
      <c r="E927" s="59" t="n"/>
      <c r="F927" s="59" t="n"/>
      <c r="G927" s="60" t="n"/>
      <c r="H927" s="59" t="n"/>
      <c r="I927" s="59" t="n"/>
      <c r="J927" s="59" t="n"/>
      <c r="K927" s="59" t="n"/>
      <c r="L927" s="59" t="n"/>
      <c r="M927" s="59" t="n"/>
      <c r="N927" s="59" t="n"/>
      <c r="O927" s="59" t="n"/>
      <c r="P927" s="59" t="n"/>
      <c r="Q927" s="59" t="n"/>
      <c r="R927" s="59" t="n"/>
      <c r="S927" s="59" t="n"/>
      <c r="T927" s="59" t="n"/>
      <c r="U927" s="59" t="n"/>
      <c r="V927" s="59" t="n"/>
      <c r="W927" s="59" t="n"/>
      <c r="X927" s="59" t="n"/>
      <c r="Y927" s="59" t="n"/>
      <c r="Z927" s="59" t="n"/>
      <c r="AA927" s="59" t="n"/>
      <c r="AB927" s="59" t="n"/>
      <c r="AC927" s="59" t="n"/>
      <c r="AD927" s="59" t="n"/>
    </row>
    <row r="928">
      <c r="A928" s="59" t="n"/>
      <c r="B928" s="59" t="n"/>
      <c r="C928" s="59" t="n"/>
      <c r="D928" s="59" t="n"/>
      <c r="E928" s="59" t="n"/>
      <c r="F928" s="59" t="n"/>
      <c r="G928" s="60" t="n"/>
      <c r="H928" s="59" t="n"/>
      <c r="I928" s="59" t="n"/>
      <c r="J928" s="59" t="n"/>
      <c r="K928" s="59" t="n"/>
      <c r="L928" s="59" t="n"/>
      <c r="M928" s="59" t="n"/>
      <c r="N928" s="59" t="n"/>
      <c r="O928" s="59" t="n"/>
      <c r="P928" s="59" t="n"/>
      <c r="Q928" s="59" t="n"/>
      <c r="R928" s="59" t="n"/>
      <c r="S928" s="59" t="n"/>
      <c r="T928" s="59" t="n"/>
      <c r="U928" s="59" t="n"/>
      <c r="V928" s="59" t="n"/>
      <c r="W928" s="59" t="n"/>
      <c r="X928" s="59" t="n"/>
      <c r="Y928" s="59" t="n"/>
      <c r="Z928" s="59" t="n"/>
      <c r="AA928" s="59" t="n"/>
      <c r="AB928" s="59" t="n"/>
      <c r="AC928" s="59" t="n"/>
      <c r="AD928" s="59" t="n"/>
    </row>
    <row r="929">
      <c r="A929" s="59" t="n"/>
      <c r="B929" s="59" t="n"/>
      <c r="C929" s="59" t="n"/>
      <c r="D929" s="59" t="n"/>
      <c r="E929" s="59" t="n"/>
      <c r="F929" s="59" t="n"/>
      <c r="G929" s="60" t="n"/>
      <c r="H929" s="59" t="n"/>
      <c r="I929" s="59" t="n"/>
      <c r="J929" s="59" t="n"/>
      <c r="K929" s="59" t="n"/>
      <c r="L929" s="59" t="n"/>
      <c r="M929" s="59" t="n"/>
      <c r="N929" s="59" t="n"/>
      <c r="O929" s="59" t="n"/>
      <c r="P929" s="59" t="n"/>
      <c r="Q929" s="59" t="n"/>
      <c r="R929" s="59" t="n"/>
      <c r="S929" s="59" t="n"/>
      <c r="T929" s="59" t="n"/>
      <c r="U929" s="59" t="n"/>
      <c r="V929" s="59" t="n"/>
      <c r="W929" s="59" t="n"/>
      <c r="X929" s="59" t="n"/>
      <c r="Y929" s="59" t="n"/>
      <c r="Z929" s="59" t="n"/>
      <c r="AA929" s="59" t="n"/>
      <c r="AB929" s="59" t="n"/>
      <c r="AC929" s="59" t="n"/>
      <c r="AD929" s="59" t="n"/>
    </row>
    <row r="930">
      <c r="A930" s="59" t="n"/>
      <c r="B930" s="59" t="n"/>
      <c r="C930" s="59" t="n"/>
      <c r="D930" s="59" t="n"/>
      <c r="E930" s="59" t="n"/>
      <c r="F930" s="59" t="n"/>
      <c r="G930" s="60" t="n"/>
      <c r="H930" s="59" t="n"/>
      <c r="I930" s="59" t="n"/>
      <c r="J930" s="59" t="n"/>
      <c r="K930" s="59" t="n"/>
      <c r="L930" s="59" t="n"/>
      <c r="M930" s="59" t="n"/>
      <c r="N930" s="59" t="n"/>
      <c r="O930" s="59" t="n"/>
      <c r="P930" s="59" t="n"/>
      <c r="Q930" s="59" t="n"/>
      <c r="R930" s="59" t="n"/>
      <c r="S930" s="59" t="n"/>
      <c r="T930" s="59" t="n"/>
      <c r="U930" s="59" t="n"/>
      <c r="V930" s="59" t="n"/>
      <c r="W930" s="59" t="n"/>
      <c r="X930" s="59" t="n"/>
      <c r="Y930" s="59" t="n"/>
      <c r="Z930" s="59" t="n"/>
      <c r="AA930" s="59" t="n"/>
      <c r="AB930" s="59" t="n"/>
      <c r="AC930" s="59" t="n"/>
      <c r="AD930" s="59" t="n"/>
    </row>
    <row r="931">
      <c r="A931" s="59" t="n"/>
      <c r="B931" s="59" t="n"/>
      <c r="C931" s="59" t="n"/>
      <c r="D931" s="59" t="n"/>
      <c r="E931" s="59" t="n"/>
      <c r="F931" s="59" t="n"/>
      <c r="G931" s="60" t="n"/>
      <c r="H931" s="59" t="n"/>
      <c r="I931" s="59" t="n"/>
      <c r="J931" s="59" t="n"/>
      <c r="K931" s="59" t="n"/>
      <c r="L931" s="59" t="n"/>
      <c r="M931" s="59" t="n"/>
      <c r="N931" s="59" t="n"/>
      <c r="O931" s="59" t="n"/>
      <c r="P931" s="59" t="n"/>
      <c r="Q931" s="59" t="n"/>
      <c r="R931" s="59" t="n"/>
      <c r="S931" s="59" t="n"/>
      <c r="T931" s="59" t="n"/>
      <c r="U931" s="59" t="n"/>
      <c r="V931" s="59" t="n"/>
      <c r="W931" s="59" t="n"/>
      <c r="X931" s="59" t="n"/>
      <c r="Y931" s="59" t="n"/>
      <c r="Z931" s="59" t="n"/>
      <c r="AA931" s="59" t="n"/>
      <c r="AB931" s="59" t="n"/>
      <c r="AC931" s="59" t="n"/>
      <c r="AD931" s="59" t="n"/>
    </row>
    <row r="932">
      <c r="A932" s="59" t="n"/>
      <c r="B932" s="59" t="n"/>
      <c r="C932" s="59" t="n"/>
      <c r="D932" s="59" t="n"/>
      <c r="E932" s="59" t="n"/>
      <c r="F932" s="59" t="n"/>
      <c r="G932" s="60" t="n"/>
      <c r="H932" s="59" t="n"/>
      <c r="I932" s="59" t="n"/>
      <c r="J932" s="59" t="n"/>
      <c r="K932" s="59" t="n"/>
      <c r="L932" s="59" t="n"/>
      <c r="M932" s="59" t="n"/>
      <c r="N932" s="59" t="n"/>
      <c r="O932" s="59" t="n"/>
      <c r="P932" s="59" t="n"/>
      <c r="Q932" s="59" t="n"/>
      <c r="R932" s="59" t="n"/>
      <c r="S932" s="59" t="n"/>
      <c r="T932" s="59" t="n"/>
      <c r="U932" s="59" t="n"/>
      <c r="V932" s="59" t="n"/>
      <c r="W932" s="59" t="n"/>
      <c r="X932" s="59" t="n"/>
      <c r="Y932" s="59" t="n"/>
      <c r="Z932" s="59" t="n"/>
      <c r="AA932" s="59" t="n"/>
      <c r="AB932" s="59" t="n"/>
      <c r="AC932" s="59" t="n"/>
      <c r="AD932" s="59" t="n"/>
    </row>
    <row r="933">
      <c r="A933" s="59" t="n"/>
      <c r="B933" s="59" t="n"/>
      <c r="C933" s="59" t="n"/>
      <c r="D933" s="59" t="n"/>
      <c r="E933" s="59" t="n"/>
      <c r="F933" s="59" t="n"/>
      <c r="G933" s="60" t="n"/>
      <c r="H933" s="59" t="n"/>
      <c r="I933" s="59" t="n"/>
      <c r="J933" s="59" t="n"/>
      <c r="K933" s="59" t="n"/>
      <c r="L933" s="59" t="n"/>
      <c r="M933" s="59" t="n"/>
      <c r="N933" s="59" t="n"/>
      <c r="O933" s="59" t="n"/>
      <c r="P933" s="59" t="n"/>
      <c r="Q933" s="59" t="n"/>
      <c r="R933" s="59" t="n"/>
      <c r="S933" s="59" t="n"/>
      <c r="T933" s="59" t="n"/>
      <c r="U933" s="59" t="n"/>
      <c r="V933" s="59" t="n"/>
      <c r="W933" s="59" t="n"/>
      <c r="X933" s="59" t="n"/>
      <c r="Y933" s="59" t="n"/>
      <c r="Z933" s="59" t="n"/>
      <c r="AA933" s="59" t="n"/>
      <c r="AB933" s="59" t="n"/>
      <c r="AC933" s="59" t="n"/>
      <c r="AD933" s="59" t="n"/>
    </row>
    <row r="934">
      <c r="A934" s="59" t="n"/>
      <c r="B934" s="59" t="n"/>
      <c r="C934" s="59" t="n"/>
      <c r="D934" s="59" t="n"/>
      <c r="E934" s="59" t="n"/>
      <c r="F934" s="59" t="n"/>
      <c r="G934" s="60" t="n"/>
      <c r="H934" s="59" t="n"/>
      <c r="I934" s="59" t="n"/>
      <c r="J934" s="59" t="n"/>
      <c r="K934" s="59" t="n"/>
      <c r="L934" s="59" t="n"/>
      <c r="M934" s="59" t="n"/>
      <c r="N934" s="59" t="n"/>
      <c r="O934" s="59" t="n"/>
      <c r="P934" s="59" t="n"/>
      <c r="Q934" s="59" t="n"/>
      <c r="R934" s="59" t="n"/>
      <c r="S934" s="59" t="n"/>
      <c r="T934" s="59" t="n"/>
      <c r="U934" s="59" t="n"/>
      <c r="V934" s="59" t="n"/>
      <c r="W934" s="59" t="n"/>
      <c r="X934" s="59" t="n"/>
      <c r="Y934" s="59" t="n"/>
      <c r="Z934" s="59" t="n"/>
      <c r="AA934" s="59" t="n"/>
      <c r="AB934" s="59" t="n"/>
      <c r="AC934" s="59" t="n"/>
      <c r="AD934" s="59" t="n"/>
    </row>
    <row r="935">
      <c r="A935" s="59" t="n"/>
      <c r="B935" s="59" t="n"/>
      <c r="C935" s="59" t="n"/>
      <c r="D935" s="59" t="n"/>
      <c r="E935" s="59" t="n"/>
      <c r="F935" s="59" t="n"/>
      <c r="G935" s="60" t="n"/>
      <c r="H935" s="59" t="n"/>
      <c r="I935" s="59" t="n"/>
      <c r="J935" s="59" t="n"/>
      <c r="K935" s="59" t="n"/>
      <c r="L935" s="59" t="n"/>
      <c r="M935" s="59" t="n"/>
      <c r="N935" s="59" t="n"/>
      <c r="O935" s="59" t="n"/>
      <c r="P935" s="59" t="n"/>
      <c r="Q935" s="59" t="n"/>
      <c r="R935" s="59" t="n"/>
      <c r="S935" s="59" t="n"/>
      <c r="T935" s="59" t="n"/>
      <c r="U935" s="59" t="n"/>
      <c r="V935" s="59" t="n"/>
      <c r="W935" s="59" t="n"/>
      <c r="X935" s="59" t="n"/>
      <c r="Y935" s="59" t="n"/>
      <c r="Z935" s="59" t="n"/>
      <c r="AA935" s="59" t="n"/>
      <c r="AB935" s="59" t="n"/>
      <c r="AC935" s="59" t="n"/>
      <c r="AD935" s="59" t="n"/>
    </row>
    <row r="936">
      <c r="A936" s="59" t="n"/>
      <c r="B936" s="59" t="n"/>
      <c r="C936" s="59" t="n"/>
      <c r="D936" s="59" t="n"/>
      <c r="E936" s="59" t="n"/>
      <c r="F936" s="59" t="n"/>
      <c r="G936" s="60" t="n"/>
      <c r="H936" s="59" t="n"/>
      <c r="I936" s="59" t="n"/>
      <c r="J936" s="59" t="n"/>
      <c r="K936" s="59" t="n"/>
      <c r="L936" s="59" t="n"/>
      <c r="M936" s="59" t="n"/>
      <c r="N936" s="59" t="n"/>
      <c r="O936" s="59" t="n"/>
      <c r="P936" s="59" t="n"/>
      <c r="Q936" s="59" t="n"/>
      <c r="R936" s="59" t="n"/>
      <c r="S936" s="59" t="n"/>
      <c r="T936" s="59" t="n"/>
      <c r="U936" s="59" t="n"/>
      <c r="V936" s="59" t="n"/>
      <c r="W936" s="59" t="n"/>
      <c r="X936" s="59" t="n"/>
      <c r="Y936" s="59" t="n"/>
      <c r="Z936" s="59" t="n"/>
      <c r="AA936" s="59" t="n"/>
      <c r="AB936" s="59" t="n"/>
      <c r="AC936" s="59" t="n"/>
      <c r="AD936" s="59" t="n"/>
    </row>
    <row r="937">
      <c r="A937" s="59" t="n"/>
      <c r="B937" s="59" t="n"/>
      <c r="C937" s="59" t="n"/>
      <c r="D937" s="59" t="n"/>
      <c r="E937" s="59" t="n"/>
      <c r="F937" s="59" t="n"/>
      <c r="G937" s="60" t="n"/>
      <c r="H937" s="59" t="n"/>
      <c r="I937" s="59" t="n"/>
      <c r="J937" s="59" t="n"/>
      <c r="K937" s="59" t="n"/>
      <c r="L937" s="59" t="n"/>
      <c r="M937" s="59" t="n"/>
      <c r="N937" s="59" t="n"/>
      <c r="O937" s="59" t="n"/>
      <c r="P937" s="59" t="n"/>
      <c r="Q937" s="59" t="n"/>
      <c r="R937" s="59" t="n"/>
      <c r="S937" s="59" t="n"/>
      <c r="T937" s="59" t="n"/>
      <c r="U937" s="59" t="n"/>
      <c r="V937" s="59" t="n"/>
      <c r="W937" s="59" t="n"/>
      <c r="X937" s="59" t="n"/>
      <c r="Y937" s="59" t="n"/>
      <c r="Z937" s="59" t="n"/>
      <c r="AA937" s="59" t="n"/>
      <c r="AB937" s="59" t="n"/>
      <c r="AC937" s="59" t="n"/>
      <c r="AD937" s="59" t="n"/>
    </row>
    <row r="938">
      <c r="A938" s="59" t="n"/>
      <c r="B938" s="59" t="n"/>
      <c r="C938" s="59" t="n"/>
      <c r="D938" s="59" t="n"/>
      <c r="E938" s="59" t="n"/>
      <c r="F938" s="59" t="n"/>
      <c r="G938" s="60" t="n"/>
      <c r="H938" s="59" t="n"/>
      <c r="I938" s="59" t="n"/>
      <c r="J938" s="59" t="n"/>
      <c r="K938" s="59" t="n"/>
      <c r="L938" s="59" t="n"/>
      <c r="M938" s="59" t="n"/>
      <c r="N938" s="59" t="n"/>
      <c r="O938" s="59" t="n"/>
      <c r="P938" s="59" t="n"/>
      <c r="Q938" s="59" t="n"/>
      <c r="R938" s="59" t="n"/>
      <c r="S938" s="59" t="n"/>
      <c r="T938" s="59" t="n"/>
      <c r="U938" s="59" t="n"/>
      <c r="V938" s="59" t="n"/>
      <c r="W938" s="59" t="n"/>
      <c r="X938" s="59" t="n"/>
      <c r="Y938" s="59" t="n"/>
      <c r="Z938" s="59" t="n"/>
      <c r="AA938" s="59" t="n"/>
      <c r="AB938" s="59" t="n"/>
      <c r="AC938" s="59" t="n"/>
      <c r="AD938" s="59" t="n"/>
    </row>
    <row r="939">
      <c r="A939" s="59" t="n"/>
      <c r="B939" s="59" t="n"/>
      <c r="C939" s="59" t="n"/>
      <c r="D939" s="59" t="n"/>
      <c r="E939" s="59" t="n"/>
      <c r="F939" s="59" t="n"/>
      <c r="G939" s="60" t="n"/>
      <c r="H939" s="59" t="n"/>
      <c r="I939" s="59" t="n"/>
      <c r="J939" s="59" t="n"/>
      <c r="K939" s="59" t="n"/>
      <c r="L939" s="59" t="n"/>
      <c r="M939" s="59" t="n"/>
      <c r="N939" s="59" t="n"/>
      <c r="O939" s="59" t="n"/>
      <c r="P939" s="59" t="n"/>
      <c r="Q939" s="59" t="n"/>
      <c r="R939" s="59" t="n"/>
      <c r="S939" s="59" t="n"/>
      <c r="T939" s="59" t="n"/>
      <c r="U939" s="59" t="n"/>
      <c r="V939" s="59" t="n"/>
      <c r="W939" s="59" t="n"/>
      <c r="X939" s="59" t="n"/>
      <c r="Y939" s="59" t="n"/>
      <c r="Z939" s="59" t="n"/>
      <c r="AA939" s="59" t="n"/>
      <c r="AB939" s="59" t="n"/>
      <c r="AC939" s="59" t="n"/>
      <c r="AD939" s="59" t="n"/>
    </row>
    <row r="940">
      <c r="A940" s="59" t="n"/>
      <c r="B940" s="59" t="n"/>
      <c r="C940" s="59" t="n"/>
      <c r="D940" s="59" t="n"/>
      <c r="E940" s="59" t="n"/>
      <c r="F940" s="59" t="n"/>
      <c r="G940" s="60" t="n"/>
      <c r="H940" s="59" t="n"/>
      <c r="I940" s="59" t="n"/>
      <c r="J940" s="59" t="n"/>
      <c r="K940" s="59" t="n"/>
      <c r="L940" s="59" t="n"/>
      <c r="M940" s="59" t="n"/>
      <c r="N940" s="59" t="n"/>
      <c r="O940" s="59" t="n"/>
      <c r="P940" s="59" t="n"/>
      <c r="Q940" s="59" t="n"/>
      <c r="R940" s="59" t="n"/>
      <c r="S940" s="59" t="n"/>
      <c r="T940" s="59" t="n"/>
      <c r="U940" s="59" t="n"/>
      <c r="V940" s="59" t="n"/>
      <c r="W940" s="59" t="n"/>
      <c r="X940" s="59" t="n"/>
      <c r="Y940" s="59" t="n"/>
      <c r="Z940" s="59" t="n"/>
      <c r="AA940" s="59" t="n"/>
      <c r="AB940" s="59" t="n"/>
      <c r="AC940" s="59" t="n"/>
      <c r="AD940" s="59" t="n"/>
    </row>
    <row r="941">
      <c r="A941" s="59" t="n"/>
      <c r="B941" s="59" t="n"/>
      <c r="C941" s="59" t="n"/>
      <c r="D941" s="59" t="n"/>
      <c r="E941" s="59" t="n"/>
      <c r="F941" s="59" t="n"/>
      <c r="G941" s="60" t="n"/>
      <c r="H941" s="59" t="n"/>
      <c r="I941" s="59" t="n"/>
      <c r="J941" s="59" t="n"/>
      <c r="K941" s="59" t="n"/>
      <c r="L941" s="59" t="n"/>
      <c r="M941" s="59" t="n"/>
      <c r="N941" s="59" t="n"/>
      <c r="O941" s="59" t="n"/>
      <c r="P941" s="59" t="n"/>
      <c r="Q941" s="59" t="n"/>
      <c r="R941" s="59" t="n"/>
      <c r="S941" s="59" t="n"/>
      <c r="T941" s="59" t="n"/>
      <c r="U941" s="59" t="n"/>
      <c r="V941" s="59" t="n"/>
      <c r="W941" s="59" t="n"/>
      <c r="X941" s="59" t="n"/>
      <c r="Y941" s="59" t="n"/>
      <c r="Z941" s="59" t="n"/>
      <c r="AA941" s="59" t="n"/>
      <c r="AB941" s="59" t="n"/>
      <c r="AC941" s="59" t="n"/>
      <c r="AD941" s="59" t="n"/>
    </row>
    <row r="942">
      <c r="A942" s="59" t="n"/>
      <c r="B942" s="59" t="n"/>
      <c r="C942" s="59" t="n"/>
      <c r="D942" s="59" t="n"/>
      <c r="E942" s="59" t="n"/>
      <c r="F942" s="59" t="n"/>
      <c r="G942" s="60" t="n"/>
      <c r="H942" s="59" t="n"/>
      <c r="I942" s="59" t="n"/>
      <c r="J942" s="59" t="n"/>
      <c r="K942" s="59" t="n"/>
      <c r="L942" s="59" t="n"/>
      <c r="M942" s="59" t="n"/>
      <c r="N942" s="59" t="n"/>
      <c r="O942" s="59" t="n"/>
      <c r="P942" s="59" t="n"/>
      <c r="Q942" s="59" t="n"/>
      <c r="R942" s="59" t="n"/>
      <c r="S942" s="59" t="n"/>
      <c r="T942" s="59" t="n"/>
      <c r="U942" s="59" t="n"/>
      <c r="V942" s="59" t="n"/>
      <c r="W942" s="59" t="n"/>
      <c r="X942" s="59" t="n"/>
      <c r="Y942" s="59" t="n"/>
      <c r="Z942" s="59" t="n"/>
      <c r="AA942" s="59" t="n"/>
      <c r="AB942" s="59" t="n"/>
      <c r="AC942" s="59" t="n"/>
      <c r="AD942" s="59" t="n"/>
    </row>
    <row r="943">
      <c r="A943" s="59" t="n"/>
      <c r="B943" s="59" t="n"/>
      <c r="C943" s="59" t="n"/>
      <c r="D943" s="59" t="n"/>
      <c r="E943" s="59" t="n"/>
      <c r="F943" s="59" t="n"/>
      <c r="G943" s="60" t="n"/>
      <c r="H943" s="59" t="n"/>
      <c r="I943" s="59" t="n"/>
      <c r="J943" s="59" t="n"/>
      <c r="K943" s="59" t="n"/>
      <c r="L943" s="59" t="n"/>
      <c r="M943" s="59" t="n"/>
      <c r="N943" s="59" t="n"/>
      <c r="O943" s="59" t="n"/>
      <c r="P943" s="59" t="n"/>
      <c r="Q943" s="59" t="n"/>
      <c r="R943" s="59" t="n"/>
      <c r="S943" s="59" t="n"/>
      <c r="T943" s="59" t="n"/>
      <c r="U943" s="59" t="n"/>
      <c r="V943" s="59" t="n"/>
      <c r="W943" s="59" t="n"/>
      <c r="X943" s="59" t="n"/>
      <c r="Y943" s="59" t="n"/>
      <c r="Z943" s="59" t="n"/>
      <c r="AA943" s="59" t="n"/>
      <c r="AB943" s="59" t="n"/>
      <c r="AC943" s="59" t="n"/>
      <c r="AD943" s="59" t="n"/>
    </row>
    <row r="944">
      <c r="A944" s="59" t="n"/>
      <c r="B944" s="59" t="n"/>
      <c r="C944" s="59" t="n"/>
      <c r="D944" s="59" t="n"/>
      <c r="E944" s="59" t="n"/>
      <c r="F944" s="59" t="n"/>
      <c r="G944" s="60" t="n"/>
      <c r="H944" s="59" t="n"/>
      <c r="I944" s="59" t="n"/>
      <c r="J944" s="59" t="n"/>
      <c r="K944" s="59" t="n"/>
      <c r="L944" s="59" t="n"/>
      <c r="M944" s="59" t="n"/>
      <c r="N944" s="59" t="n"/>
      <c r="O944" s="59" t="n"/>
      <c r="P944" s="59" t="n"/>
      <c r="Q944" s="59" t="n"/>
      <c r="R944" s="59" t="n"/>
      <c r="S944" s="59" t="n"/>
      <c r="T944" s="59" t="n"/>
      <c r="U944" s="59" t="n"/>
      <c r="V944" s="59" t="n"/>
      <c r="W944" s="59" t="n"/>
      <c r="X944" s="59" t="n"/>
      <c r="Y944" s="59" t="n"/>
      <c r="Z944" s="59" t="n"/>
      <c r="AA944" s="59" t="n"/>
      <c r="AB944" s="59" t="n"/>
      <c r="AC944" s="59" t="n"/>
      <c r="AD944" s="59" t="n"/>
    </row>
    <row r="945">
      <c r="A945" s="59" t="n"/>
      <c r="B945" s="59" t="n"/>
      <c r="C945" s="59" t="n"/>
      <c r="D945" s="59" t="n"/>
      <c r="E945" s="59" t="n"/>
      <c r="F945" s="59" t="n"/>
      <c r="G945" s="60" t="n"/>
      <c r="H945" s="59" t="n"/>
      <c r="I945" s="59" t="n"/>
      <c r="J945" s="59" t="n"/>
      <c r="K945" s="59" t="n"/>
      <c r="L945" s="59" t="n"/>
      <c r="M945" s="59" t="n"/>
      <c r="N945" s="59" t="n"/>
      <c r="O945" s="59" t="n"/>
      <c r="P945" s="59" t="n"/>
      <c r="Q945" s="59" t="n"/>
      <c r="R945" s="59" t="n"/>
      <c r="S945" s="59" t="n"/>
      <c r="T945" s="59" t="n"/>
      <c r="U945" s="59" t="n"/>
      <c r="V945" s="59" t="n"/>
      <c r="W945" s="59" t="n"/>
      <c r="X945" s="59" t="n"/>
      <c r="Y945" s="59" t="n"/>
      <c r="Z945" s="59" t="n"/>
      <c r="AA945" s="59" t="n"/>
      <c r="AB945" s="59" t="n"/>
      <c r="AC945" s="59" t="n"/>
      <c r="AD945" s="59" t="n"/>
    </row>
    <row r="946">
      <c r="A946" s="59" t="n"/>
      <c r="B946" s="59" t="n"/>
      <c r="C946" s="59" t="n"/>
      <c r="D946" s="59" t="n"/>
      <c r="E946" s="59" t="n"/>
      <c r="F946" s="59" t="n"/>
      <c r="G946" s="60" t="n"/>
      <c r="H946" s="59" t="n"/>
      <c r="I946" s="59" t="n"/>
      <c r="J946" s="59" t="n"/>
      <c r="K946" s="59" t="n"/>
      <c r="L946" s="59" t="n"/>
      <c r="M946" s="59" t="n"/>
      <c r="N946" s="59" t="n"/>
      <c r="O946" s="59" t="n"/>
      <c r="P946" s="59" t="n"/>
      <c r="Q946" s="59" t="n"/>
      <c r="R946" s="59" t="n"/>
      <c r="S946" s="59" t="n"/>
      <c r="T946" s="59" t="n"/>
      <c r="U946" s="59" t="n"/>
      <c r="V946" s="59" t="n"/>
      <c r="W946" s="59" t="n"/>
      <c r="X946" s="59" t="n"/>
      <c r="Y946" s="59" t="n"/>
      <c r="Z946" s="59" t="n"/>
      <c r="AA946" s="59" t="n"/>
      <c r="AB946" s="59" t="n"/>
      <c r="AC946" s="59" t="n"/>
      <c r="AD946" s="59" t="n"/>
    </row>
    <row r="947">
      <c r="A947" s="59" t="n"/>
      <c r="B947" s="59" t="n"/>
      <c r="C947" s="59" t="n"/>
      <c r="D947" s="59" t="n"/>
      <c r="E947" s="59" t="n"/>
      <c r="F947" s="59" t="n"/>
      <c r="G947" s="60" t="n"/>
      <c r="H947" s="59" t="n"/>
      <c r="I947" s="59" t="n"/>
      <c r="J947" s="59" t="n"/>
      <c r="K947" s="59" t="n"/>
      <c r="L947" s="59" t="n"/>
      <c r="M947" s="59" t="n"/>
      <c r="N947" s="59" t="n"/>
      <c r="O947" s="59" t="n"/>
      <c r="P947" s="59" t="n"/>
      <c r="Q947" s="59" t="n"/>
      <c r="R947" s="59" t="n"/>
      <c r="S947" s="59" t="n"/>
      <c r="T947" s="59" t="n"/>
      <c r="U947" s="59" t="n"/>
      <c r="V947" s="59" t="n"/>
      <c r="W947" s="59" t="n"/>
      <c r="X947" s="59" t="n"/>
      <c r="Y947" s="59" t="n"/>
      <c r="Z947" s="59" t="n"/>
      <c r="AA947" s="59" t="n"/>
      <c r="AB947" s="59" t="n"/>
      <c r="AC947" s="59" t="n"/>
      <c r="AD947" s="59" t="n"/>
    </row>
    <row r="948">
      <c r="A948" s="59" t="n"/>
      <c r="B948" s="59" t="n"/>
      <c r="C948" s="59" t="n"/>
      <c r="D948" s="59" t="n"/>
      <c r="E948" s="59" t="n"/>
      <c r="F948" s="59" t="n"/>
      <c r="G948" s="60" t="n"/>
      <c r="H948" s="59" t="n"/>
      <c r="I948" s="59" t="n"/>
      <c r="J948" s="59" t="n"/>
      <c r="K948" s="59" t="n"/>
      <c r="L948" s="59" t="n"/>
      <c r="M948" s="59" t="n"/>
      <c r="N948" s="59" t="n"/>
      <c r="O948" s="59" t="n"/>
      <c r="P948" s="59" t="n"/>
      <c r="Q948" s="59" t="n"/>
      <c r="R948" s="59" t="n"/>
      <c r="S948" s="59" t="n"/>
      <c r="T948" s="59" t="n"/>
      <c r="U948" s="59" t="n"/>
      <c r="V948" s="59" t="n"/>
      <c r="W948" s="59" t="n"/>
      <c r="X948" s="59" t="n"/>
      <c r="Y948" s="59" t="n"/>
      <c r="Z948" s="59" t="n"/>
      <c r="AA948" s="59" t="n"/>
      <c r="AB948" s="59" t="n"/>
      <c r="AC948" s="59" t="n"/>
      <c r="AD948" s="59" t="n"/>
    </row>
    <row r="949">
      <c r="A949" s="59" t="n"/>
      <c r="B949" s="59" t="n"/>
      <c r="C949" s="59" t="n"/>
      <c r="D949" s="59" t="n"/>
      <c r="E949" s="59" t="n"/>
      <c r="F949" s="59" t="n"/>
      <c r="G949" s="60" t="n"/>
      <c r="H949" s="59" t="n"/>
      <c r="I949" s="59" t="n"/>
      <c r="J949" s="59" t="n"/>
      <c r="K949" s="59" t="n"/>
      <c r="L949" s="59" t="n"/>
      <c r="M949" s="59" t="n"/>
      <c r="N949" s="59" t="n"/>
      <c r="O949" s="59" t="n"/>
      <c r="P949" s="59" t="n"/>
      <c r="Q949" s="59" t="n"/>
      <c r="R949" s="59" t="n"/>
      <c r="S949" s="59" t="n"/>
      <c r="T949" s="59" t="n"/>
      <c r="U949" s="59" t="n"/>
      <c r="V949" s="59" t="n"/>
      <c r="W949" s="59" t="n"/>
      <c r="X949" s="59" t="n"/>
      <c r="Y949" s="59" t="n"/>
      <c r="Z949" s="59" t="n"/>
      <c r="AA949" s="59" t="n"/>
      <c r="AB949" s="59" t="n"/>
      <c r="AC949" s="59" t="n"/>
      <c r="AD949" s="59" t="n"/>
    </row>
    <row r="950">
      <c r="A950" s="59" t="n"/>
      <c r="B950" s="59" t="n"/>
      <c r="C950" s="59" t="n"/>
      <c r="D950" s="59" t="n"/>
      <c r="E950" s="59" t="n"/>
      <c r="F950" s="59" t="n"/>
      <c r="G950" s="60" t="n"/>
      <c r="H950" s="59" t="n"/>
      <c r="I950" s="59" t="n"/>
      <c r="J950" s="59" t="n"/>
      <c r="K950" s="59" t="n"/>
      <c r="L950" s="59" t="n"/>
      <c r="M950" s="59" t="n"/>
      <c r="N950" s="59" t="n"/>
      <c r="O950" s="59" t="n"/>
      <c r="P950" s="59" t="n"/>
      <c r="Q950" s="59" t="n"/>
      <c r="R950" s="59" t="n"/>
      <c r="S950" s="59" t="n"/>
      <c r="T950" s="59" t="n"/>
      <c r="U950" s="59" t="n"/>
      <c r="V950" s="59" t="n"/>
      <c r="W950" s="59" t="n"/>
      <c r="X950" s="59" t="n"/>
      <c r="Y950" s="59" t="n"/>
      <c r="Z950" s="59" t="n"/>
      <c r="AA950" s="59" t="n"/>
      <c r="AB950" s="59" t="n"/>
      <c r="AC950" s="59" t="n"/>
      <c r="AD950" s="59" t="n"/>
    </row>
    <row r="951">
      <c r="A951" s="59" t="n"/>
      <c r="B951" s="59" t="n"/>
      <c r="C951" s="59" t="n"/>
      <c r="D951" s="59" t="n"/>
      <c r="E951" s="59" t="n"/>
      <c r="F951" s="59" t="n"/>
      <c r="G951" s="60" t="n"/>
      <c r="H951" s="59" t="n"/>
      <c r="I951" s="59" t="n"/>
      <c r="J951" s="59" t="n"/>
      <c r="K951" s="59" t="n"/>
      <c r="L951" s="59" t="n"/>
      <c r="M951" s="59" t="n"/>
      <c r="N951" s="59" t="n"/>
      <c r="O951" s="59" t="n"/>
      <c r="P951" s="59" t="n"/>
      <c r="Q951" s="59" t="n"/>
      <c r="R951" s="59" t="n"/>
      <c r="S951" s="59" t="n"/>
      <c r="T951" s="59" t="n"/>
      <c r="U951" s="59" t="n"/>
      <c r="V951" s="59" t="n"/>
      <c r="W951" s="59" t="n"/>
      <c r="X951" s="59" t="n"/>
      <c r="Y951" s="59" t="n"/>
      <c r="Z951" s="59" t="n"/>
      <c r="AA951" s="59" t="n"/>
      <c r="AB951" s="59" t="n"/>
      <c r="AC951" s="59" t="n"/>
      <c r="AD951" s="59" t="n"/>
    </row>
    <row r="952">
      <c r="A952" s="59" t="n"/>
      <c r="B952" s="59" t="n"/>
      <c r="C952" s="59" t="n"/>
      <c r="D952" s="59" t="n"/>
      <c r="E952" s="59" t="n"/>
      <c r="F952" s="59" t="n"/>
      <c r="G952" s="60" t="n"/>
      <c r="H952" s="59" t="n"/>
      <c r="I952" s="59" t="n"/>
      <c r="J952" s="59" t="n"/>
      <c r="K952" s="59" t="n"/>
      <c r="L952" s="59" t="n"/>
      <c r="M952" s="59" t="n"/>
      <c r="N952" s="59" t="n"/>
      <c r="O952" s="59" t="n"/>
      <c r="P952" s="59" t="n"/>
      <c r="Q952" s="59" t="n"/>
      <c r="R952" s="59" t="n"/>
      <c r="S952" s="59" t="n"/>
      <c r="T952" s="59" t="n"/>
      <c r="U952" s="59" t="n"/>
      <c r="V952" s="59" t="n"/>
      <c r="W952" s="59" t="n"/>
      <c r="X952" s="59" t="n"/>
      <c r="Y952" s="59" t="n"/>
      <c r="Z952" s="59" t="n"/>
      <c r="AA952" s="59" t="n"/>
      <c r="AB952" s="59" t="n"/>
      <c r="AC952" s="59" t="n"/>
      <c r="AD952" s="59" t="n"/>
    </row>
    <row r="953">
      <c r="A953" s="59" t="n"/>
      <c r="B953" s="59" t="n"/>
      <c r="C953" s="59" t="n"/>
      <c r="D953" s="59" t="n"/>
      <c r="E953" s="59" t="n"/>
      <c r="F953" s="59" t="n"/>
      <c r="G953" s="60" t="n"/>
      <c r="H953" s="59" t="n"/>
      <c r="I953" s="59" t="n"/>
      <c r="J953" s="59" t="n"/>
      <c r="K953" s="59" t="n"/>
      <c r="L953" s="59" t="n"/>
      <c r="M953" s="59" t="n"/>
      <c r="N953" s="59" t="n"/>
      <c r="O953" s="59" t="n"/>
      <c r="P953" s="59" t="n"/>
      <c r="Q953" s="59" t="n"/>
      <c r="R953" s="59" t="n"/>
      <c r="S953" s="59" t="n"/>
      <c r="T953" s="59" t="n"/>
      <c r="U953" s="59" t="n"/>
      <c r="V953" s="59" t="n"/>
      <c r="W953" s="59" t="n"/>
      <c r="X953" s="59" t="n"/>
      <c r="Y953" s="59" t="n"/>
      <c r="Z953" s="59" t="n"/>
      <c r="AA953" s="59" t="n"/>
      <c r="AB953" s="59" t="n"/>
      <c r="AC953" s="59" t="n"/>
      <c r="AD953" s="59" t="n"/>
    </row>
    <row r="954">
      <c r="A954" s="59" t="n"/>
      <c r="B954" s="59" t="n"/>
      <c r="C954" s="59" t="n"/>
      <c r="D954" s="59" t="n"/>
      <c r="E954" s="59" t="n"/>
      <c r="F954" s="59" t="n"/>
      <c r="G954" s="60" t="n"/>
      <c r="H954" s="59" t="n"/>
      <c r="I954" s="59" t="n"/>
      <c r="J954" s="59" t="n"/>
      <c r="K954" s="59" t="n"/>
      <c r="L954" s="59" t="n"/>
      <c r="M954" s="59" t="n"/>
      <c r="N954" s="59" t="n"/>
      <c r="O954" s="59" t="n"/>
      <c r="P954" s="59" t="n"/>
      <c r="Q954" s="59" t="n"/>
      <c r="R954" s="59" t="n"/>
      <c r="S954" s="59" t="n"/>
      <c r="T954" s="59" t="n"/>
      <c r="U954" s="59" t="n"/>
      <c r="V954" s="59" t="n"/>
      <c r="W954" s="59" t="n"/>
      <c r="X954" s="59" t="n"/>
      <c r="Y954" s="59" t="n"/>
      <c r="Z954" s="59" t="n"/>
      <c r="AA954" s="59" t="n"/>
      <c r="AB954" s="59" t="n"/>
      <c r="AC954" s="59" t="n"/>
      <c r="AD954" s="59" t="n"/>
    </row>
    <row r="955">
      <c r="A955" s="59" t="n"/>
      <c r="B955" s="59" t="n"/>
      <c r="C955" s="59" t="n"/>
      <c r="D955" s="59" t="n"/>
      <c r="E955" s="59" t="n"/>
      <c r="F955" s="59" t="n"/>
      <c r="G955" s="60" t="n"/>
      <c r="H955" s="59" t="n"/>
      <c r="I955" s="59" t="n"/>
      <c r="J955" s="59" t="n"/>
      <c r="K955" s="59" t="n"/>
      <c r="L955" s="59" t="n"/>
      <c r="M955" s="59" t="n"/>
      <c r="N955" s="59" t="n"/>
      <c r="O955" s="59" t="n"/>
      <c r="P955" s="59" t="n"/>
      <c r="Q955" s="59" t="n"/>
      <c r="R955" s="59" t="n"/>
      <c r="S955" s="59" t="n"/>
      <c r="T955" s="59" t="n"/>
      <c r="U955" s="59" t="n"/>
      <c r="V955" s="59" t="n"/>
      <c r="W955" s="59" t="n"/>
      <c r="X955" s="59" t="n"/>
      <c r="Y955" s="59" t="n"/>
      <c r="Z955" s="59" t="n"/>
      <c r="AA955" s="59" t="n"/>
      <c r="AB955" s="59" t="n"/>
      <c r="AC955" s="59" t="n"/>
      <c r="AD955" s="59" t="n"/>
    </row>
    <row r="956">
      <c r="A956" s="59" t="n"/>
      <c r="B956" s="59" t="n"/>
      <c r="C956" s="59" t="n"/>
      <c r="D956" s="59" t="n"/>
      <c r="E956" s="59" t="n"/>
      <c r="F956" s="59" t="n"/>
      <c r="G956" s="60" t="n"/>
      <c r="H956" s="59" t="n"/>
      <c r="I956" s="59" t="n"/>
      <c r="J956" s="59" t="n"/>
      <c r="K956" s="59" t="n"/>
      <c r="L956" s="59" t="n"/>
      <c r="M956" s="59" t="n"/>
      <c r="N956" s="59" t="n"/>
      <c r="O956" s="59" t="n"/>
      <c r="P956" s="59" t="n"/>
      <c r="Q956" s="59" t="n"/>
      <c r="R956" s="59" t="n"/>
      <c r="S956" s="59" t="n"/>
      <c r="T956" s="59" t="n"/>
      <c r="U956" s="59" t="n"/>
      <c r="V956" s="59" t="n"/>
      <c r="W956" s="59" t="n"/>
      <c r="X956" s="59" t="n"/>
      <c r="Y956" s="59" t="n"/>
      <c r="Z956" s="59" t="n"/>
      <c r="AA956" s="59" t="n"/>
      <c r="AB956" s="59" t="n"/>
      <c r="AC956" s="59" t="n"/>
      <c r="AD956" s="59" t="n"/>
    </row>
    <row r="957">
      <c r="A957" s="59" t="n"/>
      <c r="B957" s="59" t="n"/>
      <c r="C957" s="59" t="n"/>
      <c r="D957" s="59" t="n"/>
      <c r="E957" s="59" t="n"/>
      <c r="F957" s="59" t="n"/>
      <c r="G957" s="60" t="n"/>
      <c r="H957" s="59" t="n"/>
      <c r="I957" s="59" t="n"/>
      <c r="J957" s="59" t="n"/>
      <c r="K957" s="59" t="n"/>
      <c r="L957" s="59" t="n"/>
      <c r="M957" s="59" t="n"/>
      <c r="N957" s="59" t="n"/>
      <c r="O957" s="59" t="n"/>
      <c r="P957" s="59" t="n"/>
      <c r="Q957" s="59" t="n"/>
      <c r="R957" s="59" t="n"/>
      <c r="S957" s="59" t="n"/>
      <c r="T957" s="59" t="n"/>
      <c r="U957" s="59" t="n"/>
      <c r="V957" s="59" t="n"/>
      <c r="W957" s="59" t="n"/>
      <c r="X957" s="59" t="n"/>
      <c r="Y957" s="59" t="n"/>
      <c r="Z957" s="59" t="n"/>
      <c r="AA957" s="59" t="n"/>
      <c r="AB957" s="59" t="n"/>
      <c r="AC957" s="59" t="n"/>
      <c r="AD957" s="59" t="n"/>
    </row>
    <row r="958">
      <c r="A958" s="59" t="n"/>
      <c r="B958" s="59" t="n"/>
      <c r="C958" s="59" t="n"/>
      <c r="D958" s="59" t="n"/>
      <c r="E958" s="59" t="n"/>
      <c r="F958" s="59" t="n"/>
      <c r="G958" s="60" t="n"/>
      <c r="H958" s="59" t="n"/>
      <c r="I958" s="59" t="n"/>
      <c r="J958" s="59" t="n"/>
      <c r="K958" s="59" t="n"/>
      <c r="L958" s="59" t="n"/>
      <c r="M958" s="59" t="n"/>
      <c r="N958" s="59" t="n"/>
      <c r="O958" s="59" t="n"/>
      <c r="P958" s="59" t="n"/>
      <c r="Q958" s="59" t="n"/>
      <c r="R958" s="59" t="n"/>
      <c r="S958" s="59" t="n"/>
      <c r="T958" s="59" t="n"/>
      <c r="U958" s="59" t="n"/>
      <c r="V958" s="59" t="n"/>
      <c r="W958" s="59" t="n"/>
      <c r="X958" s="59" t="n"/>
      <c r="Y958" s="59" t="n"/>
      <c r="Z958" s="59" t="n"/>
      <c r="AA958" s="59" t="n"/>
      <c r="AB958" s="59" t="n"/>
      <c r="AC958" s="59" t="n"/>
      <c r="AD958" s="59" t="n"/>
    </row>
    <row r="959">
      <c r="A959" s="59" t="n"/>
      <c r="B959" s="59" t="n"/>
      <c r="C959" s="59" t="n"/>
      <c r="D959" s="59" t="n"/>
      <c r="E959" s="59" t="n"/>
      <c r="F959" s="59" t="n"/>
      <c r="G959" s="60" t="n"/>
      <c r="H959" s="59" t="n"/>
      <c r="I959" s="59" t="n"/>
      <c r="J959" s="59" t="n"/>
      <c r="K959" s="59" t="n"/>
      <c r="L959" s="59" t="n"/>
      <c r="M959" s="59" t="n"/>
      <c r="N959" s="59" t="n"/>
      <c r="O959" s="59" t="n"/>
      <c r="P959" s="59" t="n"/>
      <c r="Q959" s="59" t="n"/>
      <c r="R959" s="59" t="n"/>
      <c r="S959" s="59" t="n"/>
      <c r="T959" s="59" t="n"/>
      <c r="U959" s="59" t="n"/>
      <c r="V959" s="59" t="n"/>
      <c r="W959" s="59" t="n"/>
      <c r="X959" s="59" t="n"/>
      <c r="Y959" s="59" t="n"/>
      <c r="Z959" s="59" t="n"/>
      <c r="AA959" s="59" t="n"/>
      <c r="AB959" s="59" t="n"/>
      <c r="AC959" s="59" t="n"/>
      <c r="AD959" s="59" t="n"/>
    </row>
    <row r="960">
      <c r="A960" s="59" t="n"/>
      <c r="B960" s="59" t="n"/>
      <c r="C960" s="59" t="n"/>
      <c r="D960" s="59" t="n"/>
      <c r="E960" s="59" t="n"/>
      <c r="F960" s="59" t="n"/>
      <c r="G960" s="60" t="n"/>
      <c r="H960" s="59" t="n"/>
      <c r="I960" s="59" t="n"/>
      <c r="J960" s="59" t="n"/>
      <c r="K960" s="59" t="n"/>
      <c r="L960" s="59" t="n"/>
      <c r="M960" s="59" t="n"/>
      <c r="N960" s="59" t="n"/>
      <c r="O960" s="59" t="n"/>
      <c r="P960" s="59" t="n"/>
      <c r="Q960" s="59" t="n"/>
      <c r="R960" s="59" t="n"/>
      <c r="S960" s="59" t="n"/>
      <c r="T960" s="59" t="n"/>
      <c r="U960" s="59" t="n"/>
      <c r="V960" s="59" t="n"/>
      <c r="W960" s="59" t="n"/>
      <c r="X960" s="59" t="n"/>
      <c r="Y960" s="59" t="n"/>
      <c r="Z960" s="59" t="n"/>
      <c r="AA960" s="59" t="n"/>
      <c r="AB960" s="59" t="n"/>
      <c r="AC960" s="59" t="n"/>
      <c r="AD960" s="59" t="n"/>
    </row>
    <row r="961">
      <c r="A961" s="59" t="n"/>
      <c r="B961" s="59" t="n"/>
      <c r="C961" s="59" t="n"/>
      <c r="D961" s="59" t="n"/>
      <c r="E961" s="59" t="n"/>
      <c r="F961" s="59" t="n"/>
      <c r="G961" s="60" t="n"/>
      <c r="H961" s="59" t="n"/>
      <c r="I961" s="59" t="n"/>
      <c r="J961" s="59" t="n"/>
      <c r="K961" s="59" t="n"/>
      <c r="L961" s="59" t="n"/>
      <c r="M961" s="59" t="n"/>
      <c r="N961" s="59" t="n"/>
      <c r="O961" s="59" t="n"/>
      <c r="P961" s="59" t="n"/>
      <c r="Q961" s="59" t="n"/>
      <c r="R961" s="59" t="n"/>
      <c r="S961" s="59" t="n"/>
      <c r="T961" s="59" t="n"/>
      <c r="U961" s="59" t="n"/>
      <c r="V961" s="59" t="n"/>
      <c r="W961" s="59" t="n"/>
      <c r="X961" s="59" t="n"/>
      <c r="Y961" s="59" t="n"/>
      <c r="Z961" s="59" t="n"/>
      <c r="AA961" s="59" t="n"/>
      <c r="AB961" s="59" t="n"/>
      <c r="AC961" s="59" t="n"/>
      <c r="AD961" s="59" t="n"/>
    </row>
    <row r="962">
      <c r="A962" s="59" t="n"/>
      <c r="B962" s="59" t="n"/>
      <c r="C962" s="59" t="n"/>
      <c r="D962" s="59" t="n"/>
      <c r="E962" s="59" t="n"/>
      <c r="F962" s="59" t="n"/>
      <c r="G962" s="60" t="n"/>
      <c r="H962" s="59" t="n"/>
      <c r="I962" s="59" t="n"/>
      <c r="J962" s="59" t="n"/>
      <c r="K962" s="59" t="n"/>
      <c r="L962" s="59" t="n"/>
      <c r="M962" s="59" t="n"/>
      <c r="N962" s="59" t="n"/>
      <c r="O962" s="59" t="n"/>
      <c r="P962" s="59" t="n"/>
      <c r="Q962" s="59" t="n"/>
      <c r="R962" s="59" t="n"/>
      <c r="S962" s="59" t="n"/>
      <c r="T962" s="59" t="n"/>
      <c r="U962" s="59" t="n"/>
      <c r="V962" s="59" t="n"/>
      <c r="W962" s="59" t="n"/>
      <c r="X962" s="59" t="n"/>
      <c r="Y962" s="59" t="n"/>
      <c r="Z962" s="59" t="n"/>
      <c r="AA962" s="59" t="n"/>
      <c r="AB962" s="59" t="n"/>
      <c r="AC962" s="59" t="n"/>
      <c r="AD962" s="59" t="n"/>
    </row>
    <row r="963">
      <c r="A963" s="59" t="n"/>
      <c r="B963" s="59" t="n"/>
      <c r="C963" s="59" t="n"/>
      <c r="D963" s="59" t="n"/>
      <c r="E963" s="59" t="n"/>
      <c r="F963" s="59" t="n"/>
      <c r="G963" s="60" t="n"/>
      <c r="H963" s="59" t="n"/>
      <c r="I963" s="59" t="n"/>
      <c r="J963" s="59" t="n"/>
      <c r="K963" s="59" t="n"/>
      <c r="L963" s="59" t="n"/>
      <c r="M963" s="59" t="n"/>
      <c r="N963" s="59" t="n"/>
      <c r="O963" s="59" t="n"/>
      <c r="P963" s="59" t="n"/>
      <c r="Q963" s="59" t="n"/>
      <c r="R963" s="59" t="n"/>
      <c r="S963" s="59" t="n"/>
      <c r="T963" s="59" t="n"/>
      <c r="U963" s="59" t="n"/>
      <c r="V963" s="59" t="n"/>
      <c r="W963" s="59" t="n"/>
      <c r="X963" s="59" t="n"/>
      <c r="Y963" s="59" t="n"/>
      <c r="Z963" s="59" t="n"/>
      <c r="AA963" s="59" t="n"/>
      <c r="AB963" s="59" t="n"/>
      <c r="AC963" s="59" t="n"/>
      <c r="AD963" s="59" t="n"/>
    </row>
    <row r="964">
      <c r="A964" s="59" t="n"/>
      <c r="B964" s="59" t="n"/>
      <c r="C964" s="59" t="n"/>
      <c r="D964" s="59" t="n"/>
      <c r="E964" s="59" t="n"/>
      <c r="F964" s="59" t="n"/>
      <c r="G964" s="60" t="n"/>
      <c r="H964" s="59" t="n"/>
      <c r="I964" s="59" t="n"/>
      <c r="J964" s="59" t="n"/>
      <c r="K964" s="59" t="n"/>
      <c r="L964" s="59" t="n"/>
      <c r="M964" s="59" t="n"/>
      <c r="N964" s="59" t="n"/>
      <c r="O964" s="59" t="n"/>
      <c r="P964" s="59" t="n"/>
      <c r="Q964" s="59" t="n"/>
      <c r="R964" s="59" t="n"/>
      <c r="S964" s="59" t="n"/>
      <c r="T964" s="59" t="n"/>
      <c r="U964" s="59" t="n"/>
      <c r="V964" s="59" t="n"/>
      <c r="W964" s="59" t="n"/>
      <c r="X964" s="59" t="n"/>
      <c r="Y964" s="59" t="n"/>
      <c r="Z964" s="59" t="n"/>
      <c r="AA964" s="59" t="n"/>
      <c r="AB964" s="59" t="n"/>
      <c r="AC964" s="59" t="n"/>
      <c r="AD964" s="59" t="n"/>
    </row>
    <row r="965">
      <c r="A965" s="59" t="n"/>
      <c r="B965" s="59" t="n"/>
      <c r="C965" s="59" t="n"/>
      <c r="D965" s="59" t="n"/>
      <c r="E965" s="59" t="n"/>
      <c r="F965" s="59" t="n"/>
      <c r="G965" s="60" t="n"/>
      <c r="H965" s="59" t="n"/>
      <c r="I965" s="59" t="n"/>
      <c r="J965" s="59" t="n"/>
      <c r="K965" s="59" t="n"/>
      <c r="L965" s="59" t="n"/>
      <c r="M965" s="59" t="n"/>
      <c r="N965" s="59" t="n"/>
      <c r="O965" s="59" t="n"/>
      <c r="P965" s="59" t="n"/>
      <c r="Q965" s="59" t="n"/>
      <c r="R965" s="59" t="n"/>
      <c r="S965" s="59" t="n"/>
      <c r="T965" s="59" t="n"/>
      <c r="U965" s="59" t="n"/>
      <c r="V965" s="59" t="n"/>
      <c r="W965" s="59" t="n"/>
      <c r="X965" s="59" t="n"/>
      <c r="Y965" s="59" t="n"/>
      <c r="Z965" s="59" t="n"/>
      <c r="AA965" s="59" t="n"/>
      <c r="AB965" s="59" t="n"/>
      <c r="AC965" s="59" t="n"/>
      <c r="AD965" s="59" t="n"/>
    </row>
    <row r="966">
      <c r="A966" s="59" t="n"/>
      <c r="B966" s="59" t="n"/>
      <c r="C966" s="59" t="n"/>
      <c r="D966" s="59" t="n"/>
      <c r="E966" s="59" t="n"/>
      <c r="F966" s="59" t="n"/>
      <c r="G966" s="60" t="n"/>
      <c r="H966" s="59" t="n"/>
      <c r="I966" s="59" t="n"/>
      <c r="J966" s="59" t="n"/>
      <c r="K966" s="59" t="n"/>
      <c r="L966" s="59" t="n"/>
      <c r="M966" s="59" t="n"/>
      <c r="N966" s="59" t="n"/>
      <c r="O966" s="59" t="n"/>
      <c r="P966" s="59" t="n"/>
      <c r="Q966" s="59" t="n"/>
      <c r="R966" s="59" t="n"/>
      <c r="S966" s="59" t="n"/>
      <c r="T966" s="59" t="n"/>
      <c r="U966" s="59" t="n"/>
      <c r="V966" s="59" t="n"/>
      <c r="W966" s="59" t="n"/>
      <c r="X966" s="59" t="n"/>
      <c r="Y966" s="59" t="n"/>
      <c r="Z966" s="59" t="n"/>
      <c r="AA966" s="59" t="n"/>
      <c r="AB966" s="59" t="n"/>
      <c r="AC966" s="59" t="n"/>
      <c r="AD966" s="59" t="n"/>
    </row>
    <row r="967">
      <c r="A967" s="59" t="n"/>
      <c r="B967" s="59" t="n"/>
      <c r="C967" s="59" t="n"/>
      <c r="D967" s="59" t="n"/>
      <c r="E967" s="59" t="n"/>
      <c r="F967" s="59" t="n"/>
      <c r="G967" s="60" t="n"/>
      <c r="H967" s="59" t="n"/>
      <c r="I967" s="59" t="n"/>
      <c r="J967" s="59" t="n"/>
      <c r="K967" s="59" t="n"/>
      <c r="L967" s="59" t="n"/>
      <c r="M967" s="59" t="n"/>
      <c r="N967" s="59" t="n"/>
      <c r="O967" s="59" t="n"/>
      <c r="P967" s="59" t="n"/>
      <c r="Q967" s="59" t="n"/>
      <c r="R967" s="59" t="n"/>
      <c r="S967" s="59" t="n"/>
      <c r="T967" s="59" t="n"/>
      <c r="U967" s="59" t="n"/>
      <c r="V967" s="59" t="n"/>
      <c r="W967" s="59" t="n"/>
      <c r="X967" s="59" t="n"/>
      <c r="Y967" s="59" t="n"/>
      <c r="Z967" s="59" t="n"/>
      <c r="AA967" s="59" t="n"/>
      <c r="AB967" s="59" t="n"/>
      <c r="AC967" s="59" t="n"/>
      <c r="AD967" s="59" t="n"/>
    </row>
    <row r="968">
      <c r="A968" s="59" t="n"/>
      <c r="B968" s="59" t="n"/>
      <c r="C968" s="59" t="n"/>
      <c r="D968" s="59" t="n"/>
      <c r="E968" s="59" t="n"/>
      <c r="F968" s="59" t="n"/>
      <c r="G968" s="60" t="n"/>
      <c r="H968" s="59" t="n"/>
      <c r="I968" s="59" t="n"/>
      <c r="J968" s="59" t="n"/>
      <c r="K968" s="59" t="n"/>
      <c r="L968" s="59" t="n"/>
      <c r="M968" s="59" t="n"/>
      <c r="N968" s="59" t="n"/>
      <c r="O968" s="59" t="n"/>
      <c r="P968" s="59" t="n"/>
      <c r="Q968" s="59" t="n"/>
      <c r="R968" s="59" t="n"/>
      <c r="S968" s="59" t="n"/>
      <c r="T968" s="59" t="n"/>
      <c r="U968" s="59" t="n"/>
      <c r="V968" s="59" t="n"/>
      <c r="W968" s="59" t="n"/>
      <c r="X968" s="59" t="n"/>
      <c r="Y968" s="59" t="n"/>
      <c r="Z968" s="59" t="n"/>
      <c r="AA968" s="59" t="n"/>
      <c r="AB968" s="59" t="n"/>
      <c r="AC968" s="59" t="n"/>
      <c r="AD968" s="59" t="n"/>
    </row>
    <row r="969">
      <c r="A969" s="59" t="n"/>
      <c r="B969" s="59" t="n"/>
      <c r="C969" s="59" t="n"/>
      <c r="D969" s="59" t="n"/>
      <c r="E969" s="59" t="n"/>
      <c r="F969" s="59" t="n"/>
      <c r="G969" s="60" t="n"/>
      <c r="H969" s="59" t="n"/>
      <c r="I969" s="59" t="n"/>
      <c r="J969" s="59" t="n"/>
      <c r="K969" s="59" t="n"/>
      <c r="L969" s="59" t="n"/>
      <c r="M969" s="59" t="n"/>
      <c r="N969" s="59" t="n"/>
      <c r="O969" s="59" t="n"/>
      <c r="P969" s="59" t="n"/>
      <c r="Q969" s="59" t="n"/>
      <c r="R969" s="59" t="n"/>
      <c r="S969" s="59" t="n"/>
      <c r="T969" s="59" t="n"/>
      <c r="U969" s="59" t="n"/>
      <c r="V969" s="59" t="n"/>
      <c r="W969" s="59" t="n"/>
      <c r="X969" s="59" t="n"/>
      <c r="Y969" s="59" t="n"/>
      <c r="Z969" s="59" t="n"/>
      <c r="AA969" s="59" t="n"/>
      <c r="AB969" s="59" t="n"/>
      <c r="AC969" s="59" t="n"/>
      <c r="AD969" s="59" t="n"/>
    </row>
    <row r="970">
      <c r="A970" s="59" t="n"/>
      <c r="B970" s="59" t="n"/>
      <c r="C970" s="59" t="n"/>
      <c r="D970" s="59" t="n"/>
      <c r="E970" s="59" t="n"/>
      <c r="F970" s="59" t="n"/>
      <c r="G970" s="60" t="n"/>
      <c r="H970" s="59" t="n"/>
      <c r="I970" s="59" t="n"/>
      <c r="J970" s="59" t="n"/>
      <c r="K970" s="59" t="n"/>
      <c r="L970" s="59" t="n"/>
      <c r="M970" s="59" t="n"/>
      <c r="N970" s="59" t="n"/>
      <c r="O970" s="59" t="n"/>
      <c r="P970" s="59" t="n"/>
      <c r="Q970" s="59" t="n"/>
      <c r="R970" s="59" t="n"/>
      <c r="S970" s="59" t="n"/>
      <c r="T970" s="59" t="n"/>
      <c r="U970" s="59" t="n"/>
      <c r="V970" s="59" t="n"/>
      <c r="W970" s="59" t="n"/>
      <c r="X970" s="59" t="n"/>
      <c r="Y970" s="59" t="n"/>
      <c r="Z970" s="59" t="n"/>
      <c r="AA970" s="59" t="n"/>
      <c r="AB970" s="59" t="n"/>
      <c r="AC970" s="59" t="n"/>
      <c r="AD970" s="59" t="n"/>
    </row>
    <row r="971">
      <c r="A971" s="59" t="n"/>
      <c r="B971" s="59" t="n"/>
      <c r="C971" s="59" t="n"/>
      <c r="D971" s="59" t="n"/>
      <c r="E971" s="59" t="n"/>
      <c r="F971" s="59" t="n"/>
      <c r="G971" s="60" t="n"/>
      <c r="H971" s="59" t="n"/>
      <c r="I971" s="59" t="n"/>
      <c r="J971" s="59" t="n"/>
      <c r="K971" s="59" t="n"/>
      <c r="L971" s="59" t="n"/>
      <c r="M971" s="59" t="n"/>
      <c r="N971" s="59" t="n"/>
      <c r="O971" s="59" t="n"/>
      <c r="P971" s="59" t="n"/>
      <c r="Q971" s="59" t="n"/>
      <c r="R971" s="59" t="n"/>
      <c r="S971" s="59" t="n"/>
      <c r="T971" s="59" t="n"/>
      <c r="U971" s="59" t="n"/>
      <c r="V971" s="59" t="n"/>
      <c r="W971" s="59" t="n"/>
      <c r="X971" s="59" t="n"/>
      <c r="Y971" s="59" t="n"/>
      <c r="Z971" s="59" t="n"/>
      <c r="AA971" s="59" t="n"/>
      <c r="AB971" s="59" t="n"/>
      <c r="AC971" s="59" t="n"/>
      <c r="AD971" s="59" t="n"/>
    </row>
    <row r="972">
      <c r="A972" s="59" t="n"/>
      <c r="B972" s="59" t="n"/>
      <c r="C972" s="59" t="n"/>
      <c r="D972" s="59" t="n"/>
      <c r="E972" s="59" t="n"/>
      <c r="F972" s="59" t="n"/>
      <c r="G972" s="60" t="n"/>
      <c r="H972" s="59" t="n"/>
      <c r="I972" s="59" t="n"/>
      <c r="J972" s="59" t="n"/>
      <c r="K972" s="59" t="n"/>
      <c r="L972" s="59" t="n"/>
      <c r="M972" s="59" t="n"/>
      <c r="N972" s="59" t="n"/>
      <c r="O972" s="59" t="n"/>
      <c r="P972" s="59" t="n"/>
      <c r="Q972" s="59" t="n"/>
      <c r="R972" s="59" t="n"/>
      <c r="S972" s="59" t="n"/>
      <c r="T972" s="59" t="n"/>
      <c r="U972" s="59" t="n"/>
      <c r="V972" s="59" t="n"/>
      <c r="W972" s="59" t="n"/>
      <c r="X972" s="59" t="n"/>
      <c r="Y972" s="59" t="n"/>
      <c r="Z972" s="59" t="n"/>
      <c r="AA972" s="59" t="n"/>
      <c r="AB972" s="59" t="n"/>
      <c r="AC972" s="59" t="n"/>
      <c r="AD972" s="59" t="n"/>
    </row>
    <row r="973">
      <c r="A973" s="59" t="n"/>
      <c r="B973" s="59" t="n"/>
      <c r="C973" s="59" t="n"/>
      <c r="D973" s="59" t="n"/>
      <c r="E973" s="59" t="n"/>
      <c r="F973" s="59" t="n"/>
      <c r="G973" s="60" t="n"/>
      <c r="H973" s="59" t="n"/>
      <c r="I973" s="59" t="n"/>
      <c r="J973" s="59" t="n"/>
      <c r="K973" s="59" t="n"/>
      <c r="L973" s="59" t="n"/>
      <c r="M973" s="59" t="n"/>
      <c r="N973" s="59" t="n"/>
      <c r="O973" s="59" t="n"/>
      <c r="P973" s="59" t="n"/>
      <c r="Q973" s="59" t="n"/>
      <c r="R973" s="59" t="n"/>
      <c r="S973" s="59" t="n"/>
      <c r="T973" s="59" t="n"/>
      <c r="U973" s="59" t="n"/>
      <c r="V973" s="59" t="n"/>
      <c r="W973" s="59" t="n"/>
      <c r="X973" s="59" t="n"/>
      <c r="Y973" s="59" t="n"/>
      <c r="Z973" s="59" t="n"/>
      <c r="AA973" s="59" t="n"/>
      <c r="AB973" s="59" t="n"/>
      <c r="AC973" s="59" t="n"/>
      <c r="AD973" s="59" t="n"/>
    </row>
    <row r="974">
      <c r="A974" s="59" t="n"/>
      <c r="B974" s="59" t="n"/>
      <c r="C974" s="59" t="n"/>
      <c r="D974" s="59" t="n"/>
      <c r="E974" s="59" t="n"/>
      <c r="F974" s="59" t="n"/>
      <c r="G974" s="60" t="n"/>
      <c r="H974" s="59" t="n"/>
      <c r="I974" s="59" t="n"/>
      <c r="J974" s="59" t="n"/>
      <c r="K974" s="59" t="n"/>
      <c r="L974" s="59" t="n"/>
      <c r="M974" s="59" t="n"/>
      <c r="N974" s="59" t="n"/>
      <c r="O974" s="59" t="n"/>
      <c r="P974" s="59" t="n"/>
      <c r="Q974" s="59" t="n"/>
      <c r="R974" s="59" t="n"/>
      <c r="S974" s="59" t="n"/>
      <c r="T974" s="59" t="n"/>
      <c r="U974" s="59" t="n"/>
      <c r="V974" s="59" t="n"/>
      <c r="W974" s="59" t="n"/>
      <c r="X974" s="59" t="n"/>
      <c r="Y974" s="59" t="n"/>
      <c r="Z974" s="59" t="n"/>
      <c r="AA974" s="59" t="n"/>
      <c r="AB974" s="59" t="n"/>
      <c r="AC974" s="59" t="n"/>
      <c r="AD974" s="59" t="n"/>
    </row>
    <row r="975">
      <c r="A975" s="59" t="n"/>
      <c r="B975" s="59" t="n"/>
      <c r="C975" s="59" t="n"/>
      <c r="D975" s="59" t="n"/>
      <c r="E975" s="59" t="n"/>
      <c r="F975" s="59" t="n"/>
      <c r="G975" s="60" t="n"/>
      <c r="H975" s="59" t="n"/>
      <c r="I975" s="59" t="n"/>
      <c r="J975" s="59" t="n"/>
      <c r="K975" s="59" t="n"/>
      <c r="L975" s="59" t="n"/>
      <c r="M975" s="59" t="n"/>
      <c r="N975" s="59" t="n"/>
      <c r="O975" s="59" t="n"/>
      <c r="P975" s="59" t="n"/>
      <c r="Q975" s="59" t="n"/>
      <c r="R975" s="59" t="n"/>
      <c r="S975" s="59" t="n"/>
      <c r="T975" s="59" t="n"/>
      <c r="U975" s="59" t="n"/>
      <c r="V975" s="59" t="n"/>
      <c r="W975" s="59" t="n"/>
      <c r="X975" s="59" t="n"/>
      <c r="Y975" s="59" t="n"/>
      <c r="Z975" s="59" t="n"/>
      <c r="AA975" s="59" t="n"/>
      <c r="AB975" s="59" t="n"/>
      <c r="AC975" s="59" t="n"/>
      <c r="AD975" s="59" t="n"/>
    </row>
    <row r="976">
      <c r="A976" s="59" t="n"/>
      <c r="B976" s="59" t="n"/>
      <c r="C976" s="59" t="n"/>
      <c r="D976" s="59" t="n"/>
      <c r="E976" s="59" t="n"/>
      <c r="F976" s="59" t="n"/>
      <c r="G976" s="60" t="n"/>
      <c r="H976" s="59" t="n"/>
      <c r="I976" s="59" t="n"/>
      <c r="J976" s="59" t="n"/>
      <c r="K976" s="59" t="n"/>
      <c r="L976" s="59" t="n"/>
      <c r="M976" s="59" t="n"/>
      <c r="N976" s="59" t="n"/>
      <c r="O976" s="59" t="n"/>
      <c r="P976" s="59" t="n"/>
      <c r="Q976" s="59" t="n"/>
      <c r="R976" s="59" t="n"/>
      <c r="S976" s="59" t="n"/>
      <c r="T976" s="59" t="n"/>
      <c r="U976" s="59" t="n"/>
      <c r="V976" s="59" t="n"/>
      <c r="W976" s="59" t="n"/>
      <c r="X976" s="59" t="n"/>
      <c r="Y976" s="59" t="n"/>
      <c r="Z976" s="59" t="n"/>
      <c r="AA976" s="59" t="n"/>
      <c r="AB976" s="59" t="n"/>
      <c r="AC976" s="59" t="n"/>
      <c r="AD976" s="59" t="n"/>
    </row>
    <row r="977">
      <c r="A977" s="59" t="n"/>
      <c r="B977" s="59" t="n"/>
      <c r="C977" s="59" t="n"/>
      <c r="D977" s="59" t="n"/>
      <c r="E977" s="59" t="n"/>
      <c r="F977" s="59" t="n"/>
      <c r="G977" s="60" t="n"/>
      <c r="H977" s="59" t="n"/>
      <c r="I977" s="59" t="n"/>
      <c r="J977" s="59" t="n"/>
      <c r="K977" s="59" t="n"/>
      <c r="L977" s="59" t="n"/>
      <c r="M977" s="59" t="n"/>
      <c r="N977" s="59" t="n"/>
      <c r="O977" s="59" t="n"/>
      <c r="P977" s="59" t="n"/>
      <c r="Q977" s="59" t="n"/>
      <c r="R977" s="59" t="n"/>
      <c r="S977" s="59" t="n"/>
      <c r="T977" s="59" t="n"/>
      <c r="U977" s="59" t="n"/>
      <c r="V977" s="59" t="n"/>
      <c r="W977" s="59" t="n"/>
      <c r="X977" s="59" t="n"/>
      <c r="Y977" s="59" t="n"/>
      <c r="Z977" s="59" t="n"/>
      <c r="AA977" s="59" t="n"/>
      <c r="AB977" s="59" t="n"/>
      <c r="AC977" s="59" t="n"/>
      <c r="AD977" s="59" t="n"/>
    </row>
    <row r="978">
      <c r="A978" s="59" t="n"/>
      <c r="B978" s="59" t="n"/>
      <c r="C978" s="59" t="n"/>
      <c r="D978" s="59" t="n"/>
      <c r="E978" s="59" t="n"/>
      <c r="F978" s="59" t="n"/>
      <c r="G978" s="60" t="n"/>
      <c r="H978" s="59" t="n"/>
      <c r="I978" s="59" t="n"/>
      <c r="J978" s="59" t="n"/>
      <c r="K978" s="59" t="n"/>
      <c r="L978" s="59" t="n"/>
      <c r="M978" s="59" t="n"/>
      <c r="N978" s="59" t="n"/>
      <c r="O978" s="59" t="n"/>
      <c r="P978" s="59" t="n"/>
      <c r="Q978" s="59" t="n"/>
      <c r="R978" s="59" t="n"/>
      <c r="S978" s="59" t="n"/>
      <c r="T978" s="59" t="n"/>
      <c r="U978" s="59" t="n"/>
      <c r="V978" s="59" t="n"/>
      <c r="W978" s="59" t="n"/>
      <c r="X978" s="59" t="n"/>
      <c r="Y978" s="59" t="n"/>
      <c r="Z978" s="59" t="n"/>
      <c r="AA978" s="59" t="n"/>
      <c r="AB978" s="59" t="n"/>
      <c r="AC978" s="59" t="n"/>
      <c r="AD978" s="59" t="n"/>
    </row>
    <row r="979">
      <c r="A979" s="59" t="n"/>
      <c r="B979" s="59" t="n"/>
      <c r="C979" s="59" t="n"/>
      <c r="D979" s="59" t="n"/>
      <c r="E979" s="59" t="n"/>
      <c r="F979" s="59" t="n"/>
      <c r="G979" s="60" t="n"/>
      <c r="H979" s="59" t="n"/>
      <c r="I979" s="59" t="n"/>
      <c r="J979" s="59" t="n"/>
      <c r="K979" s="59" t="n"/>
      <c r="L979" s="59" t="n"/>
      <c r="M979" s="59" t="n"/>
      <c r="N979" s="59" t="n"/>
      <c r="O979" s="59" t="n"/>
      <c r="P979" s="59" t="n"/>
      <c r="Q979" s="59" t="n"/>
      <c r="R979" s="59" t="n"/>
      <c r="S979" s="59" t="n"/>
      <c r="T979" s="59" t="n"/>
      <c r="U979" s="59" t="n"/>
      <c r="V979" s="59" t="n"/>
      <c r="W979" s="59" t="n"/>
      <c r="X979" s="59" t="n"/>
      <c r="Y979" s="59" t="n"/>
      <c r="Z979" s="59" t="n"/>
      <c r="AA979" s="59" t="n"/>
      <c r="AB979" s="59" t="n"/>
      <c r="AC979" s="59" t="n"/>
      <c r="AD979" s="59" t="n"/>
    </row>
    <row r="980">
      <c r="A980" s="59" t="n"/>
      <c r="B980" s="59" t="n"/>
      <c r="C980" s="59" t="n"/>
      <c r="D980" s="59" t="n"/>
      <c r="E980" s="59" t="n"/>
      <c r="F980" s="59" t="n"/>
      <c r="G980" s="60" t="n"/>
      <c r="H980" s="59" t="n"/>
      <c r="I980" s="59" t="n"/>
      <c r="J980" s="59" t="n"/>
      <c r="K980" s="59" t="n"/>
      <c r="L980" s="59" t="n"/>
      <c r="M980" s="59" t="n"/>
      <c r="N980" s="59" t="n"/>
      <c r="O980" s="59" t="n"/>
      <c r="P980" s="59" t="n"/>
      <c r="Q980" s="59" t="n"/>
      <c r="R980" s="59" t="n"/>
      <c r="S980" s="59" t="n"/>
      <c r="T980" s="59" t="n"/>
      <c r="U980" s="59" t="n"/>
      <c r="V980" s="59" t="n"/>
      <c r="W980" s="59" t="n"/>
      <c r="X980" s="59" t="n"/>
      <c r="Y980" s="59" t="n"/>
      <c r="Z980" s="59" t="n"/>
      <c r="AA980" s="59" t="n"/>
      <c r="AB980" s="59" t="n"/>
      <c r="AC980" s="59" t="n"/>
      <c r="AD980" s="59" t="n"/>
    </row>
    <row r="981">
      <c r="A981" s="59" t="n"/>
      <c r="B981" s="59" t="n"/>
      <c r="C981" s="59" t="n"/>
      <c r="D981" s="59" t="n"/>
      <c r="E981" s="59" t="n"/>
      <c r="F981" s="59" t="n"/>
      <c r="G981" s="60" t="n"/>
      <c r="H981" s="59" t="n"/>
      <c r="I981" s="59" t="n"/>
      <c r="J981" s="59" t="n"/>
      <c r="K981" s="59" t="n"/>
      <c r="L981" s="59" t="n"/>
      <c r="M981" s="59" t="n"/>
      <c r="N981" s="59" t="n"/>
      <c r="O981" s="59" t="n"/>
      <c r="P981" s="59" t="n"/>
      <c r="Q981" s="59" t="n"/>
      <c r="R981" s="59" t="n"/>
      <c r="S981" s="59" t="n"/>
      <c r="T981" s="59" t="n"/>
      <c r="U981" s="59" t="n"/>
      <c r="V981" s="59" t="n"/>
      <c r="W981" s="59" t="n"/>
      <c r="X981" s="59" t="n"/>
      <c r="Y981" s="59" t="n"/>
      <c r="Z981" s="59" t="n"/>
      <c r="AA981" s="59" t="n"/>
      <c r="AB981" s="59" t="n"/>
      <c r="AC981" s="59" t="n"/>
      <c r="AD981" s="59" t="n"/>
    </row>
    <row r="982">
      <c r="A982" s="59" t="n"/>
      <c r="B982" s="59" t="n"/>
      <c r="C982" s="59" t="n"/>
      <c r="D982" s="59" t="n"/>
      <c r="E982" s="59" t="n"/>
      <c r="F982" s="59" t="n"/>
      <c r="G982" s="60" t="n"/>
      <c r="H982" s="59" t="n"/>
      <c r="I982" s="59" t="n"/>
      <c r="J982" s="59" t="n"/>
      <c r="K982" s="59" t="n"/>
      <c r="L982" s="59" t="n"/>
      <c r="M982" s="59" t="n"/>
      <c r="N982" s="59" t="n"/>
      <c r="O982" s="59" t="n"/>
      <c r="P982" s="59" t="n"/>
      <c r="Q982" s="59" t="n"/>
      <c r="R982" s="59" t="n"/>
      <c r="S982" s="59" t="n"/>
      <c r="T982" s="59" t="n"/>
      <c r="U982" s="59" t="n"/>
      <c r="V982" s="59" t="n"/>
      <c r="W982" s="59" t="n"/>
      <c r="X982" s="59" t="n"/>
      <c r="Y982" s="59" t="n"/>
      <c r="Z982" s="59" t="n"/>
      <c r="AA982" s="59" t="n"/>
      <c r="AB982" s="59" t="n"/>
      <c r="AC982" s="59" t="n"/>
      <c r="AD982" s="59" t="n"/>
    </row>
    <row r="983">
      <c r="A983" s="59" t="n"/>
      <c r="B983" s="59" t="n"/>
      <c r="C983" s="59" t="n"/>
      <c r="D983" s="59" t="n"/>
      <c r="E983" s="59" t="n"/>
      <c r="F983" s="59" t="n"/>
      <c r="G983" s="60" t="n"/>
      <c r="H983" s="59" t="n"/>
      <c r="I983" s="59" t="n"/>
      <c r="J983" s="59" t="n"/>
      <c r="K983" s="59" t="n"/>
      <c r="L983" s="59" t="n"/>
      <c r="M983" s="59" t="n"/>
      <c r="N983" s="59" t="n"/>
      <c r="O983" s="59" t="n"/>
      <c r="P983" s="59" t="n"/>
      <c r="Q983" s="59" t="n"/>
      <c r="R983" s="59" t="n"/>
      <c r="S983" s="59" t="n"/>
      <c r="T983" s="59" t="n"/>
      <c r="U983" s="59" t="n"/>
      <c r="V983" s="59" t="n"/>
      <c r="W983" s="59" t="n"/>
      <c r="X983" s="59" t="n"/>
      <c r="Y983" s="59" t="n"/>
      <c r="Z983" s="59" t="n"/>
      <c r="AA983" s="59" t="n"/>
      <c r="AB983" s="59" t="n"/>
      <c r="AC983" s="59" t="n"/>
      <c r="AD983" s="59" t="n"/>
    </row>
    <row r="984">
      <c r="A984" s="59" t="n"/>
      <c r="B984" s="59" t="n"/>
      <c r="C984" s="59" t="n"/>
      <c r="D984" s="59" t="n"/>
      <c r="E984" s="59" t="n"/>
      <c r="F984" s="59" t="n"/>
      <c r="G984" s="60" t="n"/>
      <c r="H984" s="59" t="n"/>
      <c r="I984" s="59" t="n"/>
      <c r="J984" s="59" t="n"/>
      <c r="K984" s="59" t="n"/>
      <c r="L984" s="59" t="n"/>
      <c r="M984" s="59" t="n"/>
      <c r="N984" s="59" t="n"/>
      <c r="O984" s="59" t="n"/>
      <c r="P984" s="59" t="n"/>
      <c r="Q984" s="59" t="n"/>
      <c r="R984" s="59" t="n"/>
      <c r="S984" s="59" t="n"/>
      <c r="T984" s="59" t="n"/>
      <c r="U984" s="59" t="n"/>
      <c r="V984" s="59" t="n"/>
      <c r="W984" s="59" t="n"/>
      <c r="X984" s="59" t="n"/>
      <c r="Y984" s="59" t="n"/>
      <c r="Z984" s="59" t="n"/>
      <c r="AA984" s="59" t="n"/>
      <c r="AB984" s="59" t="n"/>
      <c r="AC984" s="59" t="n"/>
      <c r="AD984" s="59" t="n"/>
    </row>
    <row r="985">
      <c r="A985" s="59" t="n"/>
      <c r="B985" s="59" t="n"/>
      <c r="C985" s="59" t="n"/>
      <c r="D985" s="59" t="n"/>
      <c r="E985" s="59" t="n"/>
      <c r="F985" s="59" t="n"/>
      <c r="G985" s="60" t="n"/>
      <c r="H985" s="59" t="n"/>
      <c r="I985" s="59" t="n"/>
      <c r="J985" s="59" t="n"/>
      <c r="K985" s="59" t="n"/>
      <c r="L985" s="59" t="n"/>
      <c r="M985" s="59" t="n"/>
      <c r="N985" s="59" t="n"/>
      <c r="O985" s="59" t="n"/>
      <c r="P985" s="59" t="n"/>
      <c r="Q985" s="59" t="n"/>
      <c r="R985" s="59" t="n"/>
      <c r="S985" s="59" t="n"/>
      <c r="T985" s="59" t="n"/>
      <c r="U985" s="59" t="n"/>
      <c r="V985" s="59" t="n"/>
      <c r="W985" s="59" t="n"/>
      <c r="X985" s="59" t="n"/>
      <c r="Y985" s="59" t="n"/>
      <c r="Z985" s="59" t="n"/>
      <c r="AA985" s="59" t="n"/>
      <c r="AB985" s="59" t="n"/>
      <c r="AC985" s="59" t="n"/>
      <c r="AD985" s="59" t="n"/>
    </row>
    <row r="986">
      <c r="A986" s="59" t="n"/>
      <c r="B986" s="59" t="n"/>
      <c r="C986" s="59" t="n"/>
      <c r="D986" s="59" t="n"/>
      <c r="E986" s="59" t="n"/>
      <c r="F986" s="59" t="n"/>
      <c r="G986" s="60" t="n"/>
      <c r="H986" s="59" t="n"/>
      <c r="I986" s="59" t="n"/>
      <c r="J986" s="59" t="n"/>
      <c r="K986" s="59" t="n"/>
      <c r="L986" s="59" t="n"/>
      <c r="M986" s="59" t="n"/>
      <c r="N986" s="59" t="n"/>
      <c r="O986" s="59" t="n"/>
      <c r="P986" s="59" t="n"/>
      <c r="Q986" s="59" t="n"/>
      <c r="R986" s="59" t="n"/>
      <c r="S986" s="59" t="n"/>
      <c r="T986" s="59" t="n"/>
      <c r="U986" s="59" t="n"/>
      <c r="V986" s="59" t="n"/>
      <c r="W986" s="59" t="n"/>
      <c r="X986" s="59" t="n"/>
      <c r="Y986" s="59" t="n"/>
      <c r="Z986" s="59" t="n"/>
      <c r="AA986" s="59" t="n"/>
      <c r="AB986" s="59" t="n"/>
      <c r="AC986" s="59" t="n"/>
      <c r="AD986" s="59" t="n"/>
    </row>
    <row r="987">
      <c r="A987" s="59" t="n"/>
      <c r="B987" s="59" t="n"/>
      <c r="C987" s="59" t="n"/>
      <c r="D987" s="59" t="n"/>
      <c r="E987" s="59" t="n"/>
      <c r="F987" s="59" t="n"/>
      <c r="G987" s="60" t="n"/>
      <c r="H987" s="59" t="n"/>
      <c r="I987" s="59" t="n"/>
      <c r="J987" s="59" t="n"/>
      <c r="K987" s="59" t="n"/>
      <c r="L987" s="59" t="n"/>
      <c r="M987" s="59" t="n"/>
      <c r="N987" s="59" t="n"/>
      <c r="O987" s="59" t="n"/>
      <c r="P987" s="59" t="n"/>
      <c r="Q987" s="59" t="n"/>
      <c r="R987" s="59" t="n"/>
      <c r="S987" s="59" t="n"/>
      <c r="T987" s="59" t="n"/>
      <c r="U987" s="59" t="n"/>
      <c r="V987" s="59" t="n"/>
      <c r="W987" s="59" t="n"/>
      <c r="X987" s="59" t="n"/>
      <c r="Y987" s="59" t="n"/>
      <c r="Z987" s="59" t="n"/>
      <c r="AA987" s="59" t="n"/>
      <c r="AB987" s="59" t="n"/>
      <c r="AC987" s="59" t="n"/>
      <c r="AD987" s="59" t="n"/>
    </row>
    <row r="988">
      <c r="A988" s="59" t="n"/>
      <c r="B988" s="59" t="n"/>
      <c r="C988" s="59" t="n"/>
      <c r="D988" s="59" t="n"/>
      <c r="E988" s="59" t="n"/>
      <c r="F988" s="59" t="n"/>
      <c r="G988" s="60" t="n"/>
      <c r="H988" s="59" t="n"/>
      <c r="I988" s="59" t="n"/>
      <c r="J988" s="59" t="n"/>
      <c r="K988" s="59" t="n"/>
      <c r="L988" s="59" t="n"/>
      <c r="M988" s="59" t="n"/>
      <c r="N988" s="59" t="n"/>
      <c r="O988" s="59" t="n"/>
      <c r="P988" s="59" t="n"/>
      <c r="Q988" s="59" t="n"/>
      <c r="R988" s="59" t="n"/>
      <c r="S988" s="59" t="n"/>
      <c r="T988" s="59" t="n"/>
      <c r="U988" s="59" t="n"/>
      <c r="V988" s="59" t="n"/>
      <c r="W988" s="59" t="n"/>
      <c r="X988" s="59" t="n"/>
      <c r="Y988" s="59" t="n"/>
      <c r="Z988" s="59" t="n"/>
      <c r="AA988" s="59" t="n"/>
      <c r="AB988" s="59" t="n"/>
      <c r="AC988" s="59" t="n"/>
      <c r="AD988" s="59" t="n"/>
    </row>
    <row r="989">
      <c r="A989" s="59" t="n"/>
      <c r="B989" s="59" t="n"/>
      <c r="C989" s="59" t="n"/>
      <c r="D989" s="59" t="n"/>
      <c r="E989" s="59" t="n"/>
      <c r="F989" s="59" t="n"/>
      <c r="G989" s="60" t="n"/>
      <c r="H989" s="59" t="n"/>
      <c r="I989" s="59" t="n"/>
      <c r="J989" s="59" t="n"/>
      <c r="K989" s="59" t="n"/>
      <c r="L989" s="59" t="n"/>
      <c r="M989" s="59" t="n"/>
      <c r="N989" s="59" t="n"/>
      <c r="O989" s="59" t="n"/>
      <c r="P989" s="59" t="n"/>
      <c r="Q989" s="59" t="n"/>
      <c r="R989" s="59" t="n"/>
      <c r="S989" s="59" t="n"/>
      <c r="T989" s="59" t="n"/>
      <c r="U989" s="59" t="n"/>
      <c r="V989" s="59" t="n"/>
      <c r="W989" s="59" t="n"/>
      <c r="X989" s="59" t="n"/>
      <c r="Y989" s="59" t="n"/>
      <c r="Z989" s="59" t="n"/>
      <c r="AA989" s="59" t="n"/>
      <c r="AB989" s="59" t="n"/>
      <c r="AC989" s="59" t="n"/>
      <c r="AD989" s="59" t="n"/>
    </row>
    <row r="990">
      <c r="A990" s="59" t="n"/>
      <c r="B990" s="59" t="n"/>
      <c r="C990" s="59" t="n"/>
      <c r="D990" s="59" t="n"/>
      <c r="E990" s="59" t="n"/>
      <c r="F990" s="59" t="n"/>
      <c r="G990" s="60" t="n"/>
      <c r="H990" s="59" t="n"/>
      <c r="I990" s="59" t="n"/>
      <c r="J990" s="59" t="n"/>
      <c r="K990" s="59" t="n"/>
      <c r="L990" s="59" t="n"/>
      <c r="M990" s="59" t="n"/>
      <c r="N990" s="59" t="n"/>
      <c r="O990" s="59" t="n"/>
      <c r="P990" s="59" t="n"/>
      <c r="Q990" s="59" t="n"/>
      <c r="R990" s="59" t="n"/>
      <c r="S990" s="59" t="n"/>
      <c r="T990" s="59" t="n"/>
      <c r="U990" s="59" t="n"/>
      <c r="V990" s="59" t="n"/>
      <c r="W990" s="59" t="n"/>
      <c r="X990" s="59" t="n"/>
      <c r="Y990" s="59" t="n"/>
      <c r="Z990" s="59" t="n"/>
      <c r="AA990" s="59" t="n"/>
      <c r="AB990" s="59" t="n"/>
      <c r="AC990" s="59" t="n"/>
      <c r="AD990" s="59" t="n"/>
    </row>
    <row r="991">
      <c r="A991" s="59" t="n"/>
      <c r="B991" s="59" t="n"/>
      <c r="C991" s="59" t="n"/>
      <c r="D991" s="59" t="n"/>
      <c r="E991" s="59" t="n"/>
      <c r="F991" s="59" t="n"/>
      <c r="G991" s="60" t="n"/>
      <c r="H991" s="59" t="n"/>
      <c r="I991" s="59" t="n"/>
      <c r="J991" s="59" t="n"/>
      <c r="K991" s="59" t="n"/>
      <c r="L991" s="59" t="n"/>
      <c r="M991" s="59" t="n"/>
      <c r="N991" s="59" t="n"/>
      <c r="O991" s="59" t="n"/>
      <c r="P991" s="59" t="n"/>
      <c r="Q991" s="59" t="n"/>
      <c r="R991" s="59" t="n"/>
      <c r="S991" s="59" t="n"/>
      <c r="T991" s="59" t="n"/>
      <c r="U991" s="59" t="n"/>
      <c r="V991" s="59" t="n"/>
      <c r="W991" s="59" t="n"/>
      <c r="X991" s="59" t="n"/>
      <c r="Y991" s="59" t="n"/>
      <c r="Z991" s="59" t="n"/>
      <c r="AA991" s="59" t="n"/>
      <c r="AB991" s="59" t="n"/>
      <c r="AC991" s="59" t="n"/>
      <c r="AD991" s="59" t="n"/>
    </row>
    <row r="992">
      <c r="A992" s="59" t="n"/>
      <c r="B992" s="59" t="n"/>
      <c r="C992" s="59" t="n"/>
      <c r="D992" s="59" t="n"/>
      <c r="E992" s="59" t="n"/>
      <c r="F992" s="59" t="n"/>
      <c r="G992" s="60" t="n"/>
      <c r="H992" s="59" t="n"/>
      <c r="I992" s="59" t="n"/>
      <c r="J992" s="59" t="n"/>
      <c r="K992" s="59" t="n"/>
      <c r="L992" s="59" t="n"/>
      <c r="M992" s="59" t="n"/>
      <c r="N992" s="59" t="n"/>
      <c r="O992" s="59" t="n"/>
      <c r="P992" s="59" t="n"/>
      <c r="Q992" s="59" t="n"/>
      <c r="R992" s="59" t="n"/>
      <c r="S992" s="59" t="n"/>
      <c r="T992" s="59" t="n"/>
      <c r="U992" s="59" t="n"/>
      <c r="V992" s="59" t="n"/>
      <c r="W992" s="59" t="n"/>
      <c r="X992" s="59" t="n"/>
      <c r="Y992" s="59" t="n"/>
      <c r="Z992" s="59" t="n"/>
      <c r="AA992" s="59" t="n"/>
      <c r="AB992" s="59" t="n"/>
      <c r="AC992" s="59" t="n"/>
      <c r="AD992" s="59" t="n"/>
    </row>
    <row r="993">
      <c r="A993" s="59" t="n"/>
      <c r="B993" s="59" t="n"/>
      <c r="C993" s="59" t="n"/>
      <c r="D993" s="59" t="n"/>
      <c r="E993" s="59" t="n"/>
      <c r="F993" s="59" t="n"/>
      <c r="G993" s="60" t="n"/>
      <c r="H993" s="59" t="n"/>
      <c r="I993" s="59" t="n"/>
      <c r="J993" s="59" t="n"/>
      <c r="K993" s="59" t="n"/>
      <c r="L993" s="59" t="n"/>
      <c r="M993" s="59" t="n"/>
      <c r="N993" s="59" t="n"/>
      <c r="O993" s="59" t="n"/>
      <c r="P993" s="59" t="n"/>
      <c r="Q993" s="59" t="n"/>
      <c r="R993" s="59" t="n"/>
      <c r="S993" s="59" t="n"/>
      <c r="T993" s="59" t="n"/>
      <c r="U993" s="59" t="n"/>
      <c r="V993" s="59" t="n"/>
      <c r="W993" s="59" t="n"/>
      <c r="X993" s="59" t="n"/>
      <c r="Y993" s="59" t="n"/>
      <c r="Z993" s="59" t="n"/>
      <c r="AA993" s="59" t="n"/>
      <c r="AB993" s="59" t="n"/>
      <c r="AC993" s="59" t="n"/>
      <c r="AD993" s="59" t="n"/>
    </row>
    <row r="994">
      <c r="A994" s="59" t="n"/>
      <c r="B994" s="59" t="n"/>
      <c r="C994" s="59" t="n"/>
      <c r="D994" s="59" t="n"/>
      <c r="E994" s="59" t="n"/>
      <c r="F994" s="59" t="n"/>
      <c r="G994" s="60" t="n"/>
      <c r="H994" s="59" t="n"/>
      <c r="I994" s="59" t="n"/>
      <c r="J994" s="59" t="n"/>
      <c r="K994" s="59" t="n"/>
      <c r="L994" s="59" t="n"/>
      <c r="M994" s="59" t="n"/>
      <c r="N994" s="59" t="n"/>
      <c r="O994" s="59" t="n"/>
      <c r="P994" s="59" t="n"/>
      <c r="Q994" s="59" t="n"/>
      <c r="R994" s="59" t="n"/>
      <c r="S994" s="59" t="n"/>
      <c r="T994" s="59" t="n"/>
      <c r="U994" s="59" t="n"/>
      <c r="V994" s="59" t="n"/>
      <c r="W994" s="59" t="n"/>
      <c r="X994" s="59" t="n"/>
      <c r="Y994" s="59" t="n"/>
      <c r="Z994" s="59" t="n"/>
      <c r="AA994" s="59" t="n"/>
      <c r="AB994" s="59" t="n"/>
      <c r="AC994" s="59" t="n"/>
      <c r="AD994" s="59" t="n"/>
    </row>
    <row r="995">
      <c r="A995" s="59" t="n"/>
      <c r="B995" s="59" t="n"/>
      <c r="C995" s="59" t="n"/>
      <c r="D995" s="59" t="n"/>
      <c r="E995" s="59" t="n"/>
      <c r="F995" s="59" t="n"/>
      <c r="G995" s="60" t="n"/>
      <c r="H995" s="59" t="n"/>
      <c r="I995" s="59" t="n"/>
      <c r="J995" s="59" t="n"/>
      <c r="K995" s="59" t="n"/>
      <c r="L995" s="59" t="n"/>
      <c r="M995" s="59" t="n"/>
      <c r="N995" s="59" t="n"/>
      <c r="O995" s="59" t="n"/>
      <c r="P995" s="59" t="n"/>
      <c r="Q995" s="59" t="n"/>
      <c r="R995" s="59" t="n"/>
      <c r="S995" s="59" t="n"/>
      <c r="T995" s="59" t="n"/>
      <c r="U995" s="59" t="n"/>
      <c r="V995" s="59" t="n"/>
      <c r="W995" s="59" t="n"/>
      <c r="X995" s="59" t="n"/>
      <c r="Y995" s="59" t="n"/>
      <c r="Z995" s="59" t="n"/>
      <c r="AA995" s="59" t="n"/>
      <c r="AB995" s="59" t="n"/>
      <c r="AC995" s="59" t="n"/>
      <c r="AD995" s="59" t="n"/>
    </row>
    <row r="996">
      <c r="A996" s="59" t="n"/>
      <c r="B996" s="59" t="n"/>
      <c r="C996" s="59" t="n"/>
      <c r="D996" s="59" t="n"/>
      <c r="E996" s="59" t="n"/>
      <c r="F996" s="59" t="n"/>
      <c r="G996" s="60" t="n"/>
      <c r="H996" s="59" t="n"/>
      <c r="I996" s="59" t="n"/>
      <c r="J996" s="59" t="n"/>
      <c r="K996" s="59" t="n"/>
      <c r="L996" s="59" t="n"/>
      <c r="M996" s="59" t="n"/>
      <c r="N996" s="59" t="n"/>
      <c r="O996" s="59" t="n"/>
      <c r="P996" s="59" t="n"/>
      <c r="Q996" s="59" t="n"/>
      <c r="R996" s="59" t="n"/>
      <c r="S996" s="59" t="n"/>
      <c r="T996" s="59" t="n"/>
      <c r="U996" s="59" t="n"/>
      <c r="V996" s="59" t="n"/>
      <c r="W996" s="59" t="n"/>
      <c r="X996" s="59" t="n"/>
      <c r="Y996" s="59" t="n"/>
      <c r="Z996" s="59" t="n"/>
      <c r="AA996" s="59" t="n"/>
      <c r="AB996" s="59" t="n"/>
      <c r="AC996" s="59" t="n"/>
      <c r="AD996" s="59" t="n"/>
    </row>
    <row r="997">
      <c r="A997" s="59" t="n"/>
      <c r="B997" s="59" t="n"/>
      <c r="C997" s="59" t="n"/>
      <c r="D997" s="59" t="n"/>
      <c r="E997" s="59" t="n"/>
      <c r="F997" s="59" t="n"/>
      <c r="G997" s="60" t="n"/>
      <c r="H997" s="59" t="n"/>
      <c r="I997" s="59" t="n"/>
      <c r="J997" s="59" t="n"/>
      <c r="K997" s="59" t="n"/>
      <c r="L997" s="59" t="n"/>
      <c r="M997" s="59" t="n"/>
      <c r="N997" s="59" t="n"/>
      <c r="O997" s="59" t="n"/>
      <c r="P997" s="59" t="n"/>
      <c r="Q997" s="59" t="n"/>
      <c r="R997" s="59" t="n"/>
      <c r="S997" s="59" t="n"/>
      <c r="T997" s="59" t="n"/>
      <c r="U997" s="59" t="n"/>
      <c r="V997" s="59" t="n"/>
      <c r="W997" s="59" t="n"/>
      <c r="X997" s="59" t="n"/>
      <c r="Y997" s="59" t="n"/>
      <c r="Z997" s="59" t="n"/>
      <c r="AA997" s="59" t="n"/>
      <c r="AB997" s="59" t="n"/>
      <c r="AC997" s="59" t="n"/>
      <c r="AD997" s="59" t="n"/>
    </row>
    <row r="998">
      <c r="A998" s="59" t="n"/>
      <c r="B998" s="59" t="n"/>
      <c r="C998" s="59" t="n"/>
      <c r="D998" s="59" t="n"/>
      <c r="E998" s="59" t="n"/>
      <c r="F998" s="59" t="n"/>
      <c r="G998" s="60" t="n"/>
      <c r="H998" s="59" t="n"/>
      <c r="I998" s="59" t="n"/>
      <c r="J998" s="59" t="n"/>
      <c r="K998" s="59" t="n"/>
      <c r="L998" s="59" t="n"/>
      <c r="M998" s="59" t="n"/>
      <c r="N998" s="59" t="n"/>
      <c r="O998" s="59" t="n"/>
      <c r="P998" s="59" t="n"/>
      <c r="Q998" s="59" t="n"/>
      <c r="R998" s="59" t="n"/>
      <c r="S998" s="59" t="n"/>
      <c r="T998" s="59" t="n"/>
      <c r="U998" s="59" t="n"/>
      <c r="V998" s="59" t="n"/>
      <c r="W998" s="59" t="n"/>
      <c r="X998" s="59" t="n"/>
      <c r="Y998" s="59" t="n"/>
      <c r="Z998" s="59" t="n"/>
      <c r="AA998" s="59" t="n"/>
      <c r="AB998" s="59" t="n"/>
      <c r="AC998" s="59" t="n"/>
      <c r="AD998" s="59" t="n"/>
    </row>
    <row r="999">
      <c r="A999" s="59" t="n"/>
      <c r="B999" s="59" t="n"/>
      <c r="C999" s="59" t="n"/>
      <c r="D999" s="59" t="n"/>
      <c r="E999" s="59" t="n"/>
      <c r="F999" s="59" t="n"/>
      <c r="G999" s="60" t="n"/>
      <c r="H999" s="59" t="n"/>
      <c r="I999" s="59" t="n"/>
      <c r="J999" s="59" t="n"/>
      <c r="K999" s="59" t="n"/>
      <c r="L999" s="59" t="n"/>
      <c r="M999" s="59" t="n"/>
      <c r="N999" s="59" t="n"/>
      <c r="O999" s="59" t="n"/>
      <c r="P999" s="59" t="n"/>
      <c r="Q999" s="59" t="n"/>
      <c r="R999" s="59" t="n"/>
      <c r="S999" s="59" t="n"/>
      <c r="T999" s="59" t="n"/>
      <c r="U999" s="59" t="n"/>
      <c r="V999" s="59" t="n"/>
      <c r="W999" s="59" t="n"/>
      <c r="X999" s="59" t="n"/>
      <c r="Y999" s="59" t="n"/>
      <c r="Z999" s="59" t="n"/>
      <c r="AA999" s="59" t="n"/>
      <c r="AB999" s="59" t="n"/>
      <c r="AC999" s="59" t="n"/>
      <c r="AD999" s="59" t="n"/>
    </row>
    <row r="1000">
      <c r="A1000" s="59" t="n"/>
      <c r="B1000" s="59" t="n"/>
      <c r="C1000" s="59" t="n"/>
      <c r="D1000" s="59" t="n"/>
      <c r="E1000" s="59" t="n"/>
      <c r="F1000" s="59" t="n"/>
      <c r="G1000" s="60" t="n"/>
      <c r="H1000" s="59" t="n"/>
      <c r="I1000" s="59" t="n"/>
      <c r="J1000" s="59" t="n"/>
      <c r="K1000" s="59" t="n"/>
      <c r="L1000" s="59" t="n"/>
      <c r="M1000" s="59" t="n"/>
      <c r="N1000" s="59" t="n"/>
      <c r="O1000" s="59" t="n"/>
      <c r="P1000" s="59" t="n"/>
      <c r="Q1000" s="59" t="n"/>
      <c r="R1000" s="59" t="n"/>
      <c r="S1000" s="59" t="n"/>
      <c r="T1000" s="59" t="n"/>
      <c r="U1000" s="59" t="n"/>
      <c r="V1000" s="59" t="n"/>
      <c r="W1000" s="59" t="n"/>
      <c r="X1000" s="59" t="n"/>
      <c r="Y1000" s="59" t="n"/>
      <c r="Z1000" s="59" t="n"/>
      <c r="AA1000" s="59" t="n"/>
      <c r="AB1000" s="59" t="n"/>
      <c r="AC1000" s="59" t="n"/>
      <c r="AD1000" s="59" t="n"/>
    </row>
    <row r="1001">
      <c r="A1001" s="59" t="n"/>
      <c r="B1001" s="59" t="n"/>
      <c r="C1001" s="59" t="n"/>
      <c r="D1001" s="59" t="n"/>
      <c r="E1001" s="59" t="n"/>
      <c r="F1001" s="59" t="n"/>
      <c r="G1001" s="60" t="n"/>
      <c r="H1001" s="59" t="n"/>
      <c r="I1001" s="59" t="n"/>
      <c r="J1001" s="59" t="n"/>
      <c r="K1001" s="59" t="n"/>
      <c r="L1001" s="59" t="n"/>
      <c r="M1001" s="59" t="n"/>
      <c r="N1001" s="59" t="n"/>
      <c r="O1001" s="59" t="n"/>
      <c r="P1001" s="59" t="n"/>
      <c r="Q1001" s="59" t="n"/>
      <c r="R1001" s="59" t="n"/>
      <c r="S1001" s="59" t="n"/>
      <c r="T1001" s="59" t="n"/>
      <c r="U1001" s="59" t="n"/>
      <c r="V1001" s="59" t="n"/>
      <c r="W1001" s="59" t="n"/>
      <c r="X1001" s="59" t="n"/>
      <c r="Y1001" s="59" t="n"/>
      <c r="Z1001" s="59" t="n"/>
      <c r="AA1001" s="59" t="n"/>
      <c r="AB1001" s="59" t="n"/>
      <c r="AC1001" s="59" t="n"/>
      <c r="AD1001" s="59" t="n"/>
    </row>
    <row r="1002">
      <c r="A1002" s="59" t="n"/>
      <c r="B1002" s="59" t="n"/>
      <c r="C1002" s="59" t="n"/>
      <c r="D1002" s="59" t="n"/>
      <c r="E1002" s="59" t="n"/>
      <c r="F1002" s="59" t="n"/>
      <c r="G1002" s="60" t="n"/>
      <c r="H1002" s="59" t="n"/>
      <c r="I1002" s="59" t="n"/>
      <c r="J1002" s="59" t="n"/>
      <c r="K1002" s="59" t="n"/>
      <c r="L1002" s="59" t="n"/>
      <c r="M1002" s="59" t="n"/>
      <c r="N1002" s="59" t="n"/>
      <c r="O1002" s="59" t="n"/>
      <c r="P1002" s="59" t="n"/>
      <c r="Q1002" s="59" t="n"/>
      <c r="R1002" s="59" t="n"/>
      <c r="S1002" s="59" t="n"/>
      <c r="T1002" s="59" t="n"/>
      <c r="U1002" s="59" t="n"/>
      <c r="V1002" s="59" t="n"/>
      <c r="W1002" s="59" t="n"/>
      <c r="X1002" s="59" t="n"/>
      <c r="Y1002" s="59" t="n"/>
      <c r="Z1002" s="59" t="n"/>
      <c r="AA1002" s="59" t="n"/>
      <c r="AB1002" s="59" t="n"/>
      <c r="AC1002" s="59" t="n"/>
      <c r="AD1002" s="59" t="n"/>
    </row>
    <row r="1003">
      <c r="A1003" s="59" t="n"/>
      <c r="B1003" s="59" t="n"/>
      <c r="C1003" s="59" t="n"/>
      <c r="D1003" s="59" t="n"/>
      <c r="E1003" s="59" t="n"/>
      <c r="F1003" s="59" t="n"/>
      <c r="G1003" s="60" t="n"/>
      <c r="H1003" s="59" t="n"/>
      <c r="I1003" s="59" t="n"/>
      <c r="J1003" s="59" t="n"/>
      <c r="K1003" s="59" t="n"/>
      <c r="L1003" s="59" t="n"/>
      <c r="M1003" s="59" t="n"/>
      <c r="N1003" s="59" t="n"/>
      <c r="O1003" s="59" t="n"/>
      <c r="P1003" s="59" t="n"/>
      <c r="Q1003" s="59" t="n"/>
      <c r="R1003" s="59" t="n"/>
      <c r="S1003" s="59" t="n"/>
      <c r="T1003" s="59" t="n"/>
      <c r="U1003" s="59" t="n"/>
      <c r="V1003" s="59" t="n"/>
      <c r="W1003" s="59" t="n"/>
      <c r="X1003" s="59" t="n"/>
      <c r="Y1003" s="59" t="n"/>
      <c r="Z1003" s="59" t="n"/>
      <c r="AA1003" s="59" t="n"/>
      <c r="AB1003" s="59" t="n"/>
      <c r="AC1003" s="59" t="n"/>
      <c r="AD1003" s="59" t="n"/>
    </row>
    <row r="1004">
      <c r="A1004" s="59" t="n"/>
      <c r="B1004" s="59" t="n"/>
      <c r="C1004" s="59" t="n"/>
      <c r="D1004" s="59" t="n"/>
      <c r="E1004" s="59" t="n"/>
      <c r="F1004" s="59" t="n"/>
      <c r="G1004" s="60" t="n"/>
      <c r="H1004" s="59" t="n"/>
      <c r="I1004" s="59" t="n"/>
      <c r="J1004" s="59" t="n"/>
      <c r="K1004" s="59" t="n"/>
      <c r="L1004" s="59" t="n"/>
      <c r="M1004" s="59" t="n"/>
      <c r="N1004" s="59" t="n"/>
      <c r="O1004" s="59" t="n"/>
      <c r="P1004" s="59" t="n"/>
      <c r="Q1004" s="59" t="n"/>
      <c r="R1004" s="59" t="n"/>
      <c r="S1004" s="59" t="n"/>
      <c r="T1004" s="59" t="n"/>
      <c r="U1004" s="59" t="n"/>
      <c r="V1004" s="59" t="n"/>
      <c r="W1004" s="59" t="n"/>
      <c r="X1004" s="59" t="n"/>
      <c r="Y1004" s="59" t="n"/>
      <c r="Z1004" s="59" t="n"/>
      <c r="AA1004" s="59" t="n"/>
      <c r="AB1004" s="59" t="n"/>
      <c r="AC1004" s="59" t="n"/>
      <c r="AD1004" s="59" t="n"/>
    </row>
    <row r="1005">
      <c r="A1005" s="59" t="n"/>
      <c r="B1005" s="59" t="n"/>
      <c r="C1005" s="59" t="n"/>
      <c r="D1005" s="59" t="n"/>
      <c r="E1005" s="59" t="n"/>
      <c r="F1005" s="59" t="n"/>
      <c r="G1005" s="60" t="n"/>
      <c r="H1005" s="59" t="n"/>
      <c r="I1005" s="59" t="n"/>
      <c r="J1005" s="59" t="n"/>
      <c r="K1005" s="59" t="n"/>
      <c r="L1005" s="59" t="n"/>
      <c r="M1005" s="59" t="n"/>
      <c r="N1005" s="59" t="n"/>
      <c r="O1005" s="59" t="n"/>
      <c r="P1005" s="59" t="n"/>
      <c r="Q1005" s="59" t="n"/>
      <c r="R1005" s="59" t="n"/>
      <c r="S1005" s="59" t="n"/>
      <c r="T1005" s="59" t="n"/>
      <c r="U1005" s="59" t="n"/>
      <c r="V1005" s="59" t="n"/>
      <c r="W1005" s="59" t="n"/>
      <c r="X1005" s="59" t="n"/>
      <c r="Y1005" s="59" t="n"/>
      <c r="Z1005" s="59" t="n"/>
      <c r="AA1005" s="59" t="n"/>
      <c r="AB1005" s="59" t="n"/>
      <c r="AC1005" s="59" t="n"/>
      <c r="AD1005" s="59" t="n"/>
    </row>
    <row r="1006">
      <c r="A1006" s="59" t="n"/>
      <c r="B1006" s="59" t="n"/>
      <c r="C1006" s="59" t="n"/>
      <c r="D1006" s="59" t="n"/>
      <c r="E1006" s="59" t="n"/>
      <c r="F1006" s="59" t="n"/>
      <c r="G1006" s="60" t="n"/>
      <c r="H1006" s="59" t="n"/>
      <c r="I1006" s="59" t="n"/>
      <c r="J1006" s="59" t="n"/>
      <c r="K1006" s="59" t="n"/>
      <c r="L1006" s="59" t="n"/>
      <c r="M1006" s="59" t="n"/>
      <c r="N1006" s="59" t="n"/>
      <c r="O1006" s="59" t="n"/>
      <c r="P1006" s="59" t="n"/>
      <c r="Q1006" s="59" t="n"/>
      <c r="R1006" s="59" t="n"/>
      <c r="S1006" s="59" t="n"/>
      <c r="T1006" s="59" t="n"/>
      <c r="U1006" s="59" t="n"/>
      <c r="V1006" s="59" t="n"/>
      <c r="W1006" s="59" t="n"/>
      <c r="X1006" s="59" t="n"/>
      <c r="Y1006" s="59" t="n"/>
      <c r="Z1006" s="59" t="n"/>
      <c r="AA1006" s="59" t="n"/>
      <c r="AB1006" s="59" t="n"/>
      <c r="AC1006" s="59" t="n"/>
      <c r="AD1006" s="59" t="n"/>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B3" sqref="B3"/>
    </sheetView>
  </sheetViews>
  <sheetFormatPr baseColWidth="8" defaultColWidth="14.43" defaultRowHeight="15" customHeight="1"/>
  <cols>
    <col width="32.43" customWidth="1" style="74" min="1" max="1"/>
    <col width="52.57" customWidth="1" style="74" min="2" max="2"/>
    <col width="67.29000000000001" customWidth="1" style="74" min="3" max="3"/>
    <col width="119.71" customWidth="1" style="74" min="4" max="4"/>
    <col width="39" customWidth="1" style="74" min="5" max="5"/>
    <col width="16" customWidth="1" style="74" min="6" max="8"/>
    <col width="8.710000000000001" customWidth="1" style="74" min="9" max="26"/>
  </cols>
  <sheetData>
    <row r="1">
      <c r="A1" s="6" t="inlineStr">
        <is>
          <t>Phase</t>
        </is>
      </c>
      <c r="B1" s="6" t="inlineStr">
        <is>
          <t>Activity</t>
        </is>
      </c>
      <c r="C1" s="6" t="inlineStr">
        <is>
          <t>Deliverable</t>
        </is>
      </c>
      <c r="D1" s="6" t="inlineStr">
        <is>
          <t>Description</t>
        </is>
      </c>
      <c r="E1" s="6" t="inlineStr">
        <is>
          <t>Knapsack Role Description</t>
        </is>
      </c>
      <c r="F1" s="6" t="inlineStr">
        <is>
          <t>Start Date</t>
        </is>
      </c>
      <c r="G1" s="6" t="inlineStr">
        <is>
          <t>End Date</t>
        </is>
      </c>
      <c r="H1" s="6" t="inlineStr">
        <is>
          <t>Accountable Party</t>
        </is>
      </c>
    </row>
    <row r="2">
      <c r="A2" s="11" t="inlineStr">
        <is>
          <t>Scaled Rollout and Adoption</t>
        </is>
      </c>
      <c r="B2" s="10" t="inlineStr">
        <is>
          <t>Program management and Steering Committee coordination</t>
        </is>
      </c>
      <c r="C2" s="11" t="inlineStr">
        <is>
          <t>Governance Toolkit + Monthly Summary Reports</t>
        </is>
      </c>
      <c r="D2" s="11" t="inlineStr">
        <is>
          <t>Kickoff, bi-weekly stand-ups, monthly reports, phase gate reviews</t>
        </is>
      </c>
      <c r="E2" s="11" t="inlineStr">
        <is>
          <t>Project Manager</t>
        </is>
      </c>
      <c r="F2" s="70" t="n">
        <v>45992</v>
      </c>
      <c r="G2" s="70" t="n">
        <v>46356</v>
      </c>
      <c r="H2" s="11" t="inlineStr">
        <is>
          <t>Adobe</t>
        </is>
      </c>
    </row>
    <row r="3">
      <c r="A3" s="11" t="inlineStr">
        <is>
          <t>Scaled Rollout and Adoption</t>
        </is>
      </c>
      <c r="B3" s="10" t="inlineStr">
        <is>
          <t>Facilitating and supporting deliverables</t>
        </is>
      </c>
      <c r="C3" s="11" t="inlineStr">
        <is>
          <t>Change Management Dashboard</t>
        </is>
      </c>
      <c r="D3" s="11" t="inlineStr">
        <is>
          <t>Track adoption metrics, stakeholder engagement, and training completion</t>
        </is>
      </c>
      <c r="E3" s="11" t="inlineStr">
        <is>
          <t>CX Partner - Change Management SME</t>
        </is>
      </c>
      <c r="F3" s="70" t="n">
        <v>45992</v>
      </c>
      <c r="G3" s="70" t="n">
        <v>46356</v>
      </c>
      <c r="H3" s="11" t="inlineStr">
        <is>
          <t>Adobe</t>
        </is>
      </c>
    </row>
    <row r="4">
      <c r="A4" s="11" t="inlineStr">
        <is>
          <t>Implementation + Onboarding</t>
        </is>
      </c>
      <c r="B4" s="10" t="inlineStr">
        <is>
          <t>Stakeholder Alignment Workshops</t>
        </is>
      </c>
      <c r="C4" s="11" t="inlineStr">
        <is>
          <t>Stakeholder Map, Communication Strategy Draft</t>
        </is>
      </c>
      <c r="D4" s="11" t="inlineStr">
        <is>
          <t>Ensure executive and stakeholder alignment before kickoff.</t>
        </is>
      </c>
      <c r="E4" s="11" t="inlineStr">
        <is>
          <t>CX Partner - Change Management SME</t>
        </is>
      </c>
      <c r="F4" s="70" t="n">
        <v>45992</v>
      </c>
      <c r="G4" s="70" t="n">
        <v>46023</v>
      </c>
      <c r="H4" s="11" t="inlineStr">
        <is>
          <t>Adobe</t>
        </is>
      </c>
    </row>
    <row r="5">
      <c r="A5" s="11" t="inlineStr">
        <is>
          <t>Scaled Rollout and Adoption</t>
        </is>
      </c>
      <c r="B5" s="10" t="inlineStr">
        <is>
          <t>Change Readiness Assessment</t>
        </is>
      </c>
      <c r="C5" s="11" t="inlineStr">
        <is>
          <t>Readiness Survey, Baseline Adoption Index</t>
        </is>
      </c>
      <c r="D5" s="11" t="inlineStr">
        <is>
          <t>Assess cultural, technical, and operational readiness prior to implementation.</t>
        </is>
      </c>
      <c r="E5" s="11" t="inlineStr">
        <is>
          <t>CX Partner - Change Management SME</t>
        </is>
      </c>
      <c r="F5" s="70" t="n">
        <v>45992</v>
      </c>
      <c r="G5" s="70" t="n">
        <v>46023</v>
      </c>
      <c r="H5" s="11" t="inlineStr">
        <is>
          <t>Adobe</t>
        </is>
      </c>
    </row>
    <row r="6">
      <c r="A6" s="11" t="inlineStr">
        <is>
          <t>Implementation + Onboarding</t>
        </is>
      </c>
      <c r="B6" s="10" t="inlineStr">
        <is>
          <t>Program management and coordination</t>
        </is>
      </c>
      <c r="C6" s="11" t="inlineStr">
        <is>
          <t>Project Governance Tracker, Phase 1 Exit Report</t>
        </is>
      </c>
      <c r="D6" s="11" t="inlineStr">
        <is>
          <t>Program coordination, kickoff, and phase review oversight</t>
        </is>
      </c>
      <c r="E6" s="11" t="inlineStr">
        <is>
          <t>Project Manager</t>
        </is>
      </c>
      <c r="F6" s="70" t="n">
        <v>45992</v>
      </c>
      <c r="G6" s="70" t="n">
        <v>46356</v>
      </c>
      <c r="H6" s="11" t="inlineStr">
        <is>
          <t>Knapsack</t>
        </is>
      </c>
    </row>
    <row r="7">
      <c r="A7" s="11" t="inlineStr">
        <is>
          <t>Implementation + Onboarding</t>
        </is>
      </c>
      <c r="B7" s="10" t="inlineStr">
        <is>
          <t>Communication Launch Plan</t>
        </is>
      </c>
      <c r="C7" s="11" t="inlineStr">
        <is>
          <t>Internal Communication Plan, Branding Package</t>
        </is>
      </c>
      <c r="D7" s="11" t="inlineStr">
        <is>
          <t>Launch program messaging, goals, and brand identity across teams.</t>
        </is>
      </c>
      <c r="E7" s="11" t="inlineStr">
        <is>
          <t>CX Partner - Change Management SME</t>
        </is>
      </c>
      <c r="F7" s="70" t="n">
        <v>45992</v>
      </c>
      <c r="G7" s="70" t="n">
        <v>46023</v>
      </c>
      <c r="H7" s="11" t="inlineStr">
        <is>
          <t>Adobe</t>
        </is>
      </c>
    </row>
    <row r="8">
      <c r="A8" s="11" t="inlineStr">
        <is>
          <t>Implementation + Onboarding</t>
        </is>
      </c>
      <c r="B8" s="10" t="inlineStr">
        <is>
          <t>Preparation</t>
        </is>
      </c>
      <c r="C8" s="11" t="inlineStr">
        <is>
          <t>Technical Readiness Checklist</t>
        </is>
      </c>
      <c r="D8" s="11" t="inlineStr">
        <is>
          <t>Verify infrastructure readiness, environment setup, and permissions</t>
        </is>
      </c>
      <c r="E8" s="11" t="inlineStr">
        <is>
          <t>Project Manager</t>
        </is>
      </c>
      <c r="F8" s="70" t="n">
        <v>46023</v>
      </c>
      <c r="G8" s="70" t="n">
        <v>46054</v>
      </c>
      <c r="H8" s="11" t="inlineStr">
        <is>
          <t>Knapsack</t>
        </is>
      </c>
    </row>
    <row r="9">
      <c r="A9" s="11" t="inlineStr">
        <is>
          <t>Implementation + Onboarding</t>
        </is>
      </c>
      <c r="B9" s="10" t="inlineStr">
        <is>
          <t>Local install support</t>
        </is>
      </c>
      <c r="C9" s="11" t="inlineStr">
        <is>
          <t>Installation Validation Report</t>
        </is>
      </c>
      <c r="D9" s="11" t="inlineStr">
        <is>
          <t>Validate local environment setup for Knapsack and IPE components</t>
        </is>
      </c>
      <c r="E9" s="11" t="inlineStr">
        <is>
          <t>Senior Solutions Engineer</t>
        </is>
      </c>
      <c r="F9" s="70" t="n">
        <v>46023</v>
      </c>
      <c r="G9" s="70" t="n">
        <v>46054</v>
      </c>
      <c r="H9" s="11" t="inlineStr">
        <is>
          <t>Knapsack</t>
        </is>
      </c>
    </row>
    <row r="10">
      <c r="A10" s="11" t="inlineStr">
        <is>
          <t>Implementation + Onboarding</t>
        </is>
      </c>
      <c r="B10" s="10" t="inlineStr">
        <is>
          <t>Component rendering</t>
        </is>
      </c>
      <c r="C10" s="11" t="inlineStr">
        <is>
          <t>Rendering QA Report</t>
        </is>
      </c>
      <c r="D10" s="11" t="inlineStr">
        <is>
          <t>Validate successful rendering of Spectrum components across environments</t>
        </is>
      </c>
      <c r="E10" s="11" t="inlineStr">
        <is>
          <t>Senior Solutions Engineer</t>
        </is>
      </c>
      <c r="F10" s="70" t="n">
        <v>46023</v>
      </c>
      <c r="G10" s="70" t="n">
        <v>46054</v>
      </c>
      <c r="H10" s="11" t="inlineStr">
        <is>
          <t>Knapsack</t>
        </is>
      </c>
    </row>
    <row r="11">
      <c r="A11" s="11" t="inlineStr">
        <is>
          <t>Implementation + Onboarding</t>
        </is>
      </c>
      <c r="B11" s="10" t="inlineStr">
        <is>
          <t>SME support for rendering</t>
        </is>
      </c>
      <c r="C11" s="11" t="inlineStr">
        <is>
          <t>Architecture Validation Log</t>
        </is>
      </c>
      <c r="D11" s="11" t="inlineStr">
        <is>
          <t>SME oversight of rendering logic and architectural consistency</t>
        </is>
      </c>
      <c r="E11" s="11" t="inlineStr">
        <is>
          <t>Subject Matter Expert</t>
        </is>
      </c>
      <c r="F11" s="70" t="n">
        <v>46023</v>
      </c>
      <c r="G11" s="70" t="n">
        <v>46054</v>
      </c>
      <c r="H11" s="11" t="inlineStr">
        <is>
          <t>Knapsack</t>
        </is>
      </c>
    </row>
    <row r="12">
      <c r="A12" s="11" t="inlineStr">
        <is>
          <t>Implementation + Onboarding</t>
        </is>
      </c>
      <c r="B12" s="10" t="inlineStr">
        <is>
          <t>Deployment support</t>
        </is>
      </c>
      <c r="C12" s="11" t="inlineStr">
        <is>
          <t>Deployment Plan + Success Metrics</t>
        </is>
      </c>
      <c r="D12" s="11" t="inlineStr">
        <is>
          <t>Plan and validate deployment pipelines with measurable success criteria</t>
        </is>
      </c>
      <c r="E12" s="11" t="inlineStr">
        <is>
          <t>Senior Solutions Engineer</t>
        </is>
      </c>
      <c r="F12" s="70" t="n">
        <v>46082</v>
      </c>
      <c r="G12" s="70" t="n">
        <v>46204</v>
      </c>
      <c r="H12" s="11" t="inlineStr">
        <is>
          <t>Knapsack</t>
        </is>
      </c>
    </row>
    <row r="13">
      <c r="A13" s="11" t="inlineStr">
        <is>
          <t>Scaled Rollout and Adoption</t>
        </is>
      </c>
      <c r="B13" s="10" t="inlineStr">
        <is>
          <t>FDE led Implementation + Architecture + Governance</t>
        </is>
      </c>
      <c r="C13" s="11" t="inlineStr">
        <is>
          <t xml:space="preserve">System of Systems Architecture Document </t>
        </is>
      </c>
      <c r="D13" s="11" t="inlineStr">
        <is>
          <t>Define architecture, component contribution model, accessibility, governance framework</t>
        </is>
      </c>
      <c r="E13" s="11" t="inlineStr">
        <is>
          <t>Senior Solutions Engineer</t>
        </is>
      </c>
      <c r="F13" s="70" t="n">
        <v>46023</v>
      </c>
      <c r="G13" s="70" t="n">
        <v>46082</v>
      </c>
      <c r="H13" s="11" t="inlineStr">
        <is>
          <t>Knapsack</t>
        </is>
      </c>
    </row>
    <row r="14">
      <c r="A14" s="11" t="inlineStr">
        <is>
          <t>Scaled Rollout and Adoption</t>
        </is>
      </c>
      <c r="B14" s="10" t="inlineStr">
        <is>
          <t>Stakeholder Interviews/Workshops</t>
        </is>
      </c>
      <c r="C14" s="11" t="inlineStr">
        <is>
          <t>Strategic Readout and Recommendations</t>
        </is>
      </c>
      <c r="D14" s="11" t="inlineStr">
        <is>
          <t>Collect stakeholder inputs and align roadmap</t>
        </is>
      </c>
      <c r="E14" s="11" t="inlineStr">
        <is>
          <t>Senior Solutions Engineer</t>
        </is>
      </c>
      <c r="F14" s="70" t="n">
        <v>46023</v>
      </c>
      <c r="G14" s="70" t="n">
        <v>46082</v>
      </c>
      <c r="H14" s="11" t="inlineStr">
        <is>
          <t>Knapsack</t>
        </is>
      </c>
    </row>
    <row r="15">
      <c r="A15" s="11" t="inlineStr">
        <is>
          <t>Scaled Rollout and Adoption</t>
        </is>
      </c>
      <c r="B15" s="10" t="inlineStr">
        <is>
          <t>Pilot Enablement &amp; Feedback Loop</t>
        </is>
      </c>
      <c r="C15" s="11" t="inlineStr">
        <is>
          <t>Pilot Feedback Summary, Sentiment Dashboard</t>
        </is>
      </c>
      <c r="D15" s="11" t="inlineStr">
        <is>
          <t>Gather early adopter feedback and adjust onboarding approach.</t>
        </is>
      </c>
      <c r="E15" s="11" t="inlineStr">
        <is>
          <t>CX Partner - Change Management SME</t>
        </is>
      </c>
      <c r="F15" s="70" t="n">
        <v>46082</v>
      </c>
      <c r="G15" s="70" t="n">
        <v>46143</v>
      </c>
      <c r="H15" s="11" t="inlineStr">
        <is>
          <t>Adobe</t>
        </is>
      </c>
    </row>
    <row r="16">
      <c r="A16" s="11" t="inlineStr">
        <is>
          <t>Scaled Rollout and Adoption</t>
        </is>
      </c>
      <c r="B16" s="10" t="inlineStr">
        <is>
          <t>Role-Based Training Enablement</t>
        </is>
      </c>
      <c r="C16" s="11" t="inlineStr">
        <is>
          <t>Persona-Based Training Modules (UX, Eng, Partner)</t>
        </is>
      </c>
      <c r="D16" s="11" t="inlineStr">
        <is>
          <t>Deliver tailored enablement by persona to improve comprehension and adoption.</t>
        </is>
      </c>
      <c r="E16" s="11" t="inlineStr">
        <is>
          <t>CX Partner - Change Management SME</t>
        </is>
      </c>
      <c r="F16" s="70" t="n">
        <v>46174</v>
      </c>
      <c r="G16" s="70" t="n">
        <v>46235</v>
      </c>
      <c r="H16" s="11" t="inlineStr">
        <is>
          <t>Adobe</t>
        </is>
      </c>
    </row>
    <row r="17">
      <c r="A17" s="11" t="inlineStr">
        <is>
          <t>Scaled Rollout and Adoption</t>
        </is>
      </c>
      <c r="B17" s="10" t="inlineStr">
        <is>
          <t>SME support for Deployment/DevOps</t>
        </is>
      </c>
      <c r="C17" s="11" t="inlineStr">
        <is>
          <t>DevOps Readiness</t>
        </is>
      </c>
      <c r="D17" s="11" t="inlineStr">
        <is>
          <t>Validate CI/CD, cloud authoring, and deployment automation readiness</t>
        </is>
      </c>
      <c r="E17" s="11" t="inlineStr">
        <is>
          <t>Subject Matter Expert</t>
        </is>
      </c>
      <c r="F17" s="70" t="n">
        <v>46023</v>
      </c>
      <c r="G17" s="70" t="n">
        <v>46113</v>
      </c>
      <c r="H17" s="11" t="inlineStr">
        <is>
          <t>Knapsack</t>
        </is>
      </c>
    </row>
    <row r="18">
      <c r="A18" s="11" t="inlineStr">
        <is>
          <t>Scaled Rollout and Adoption</t>
        </is>
      </c>
      <c r="B18" s="10" t="inlineStr">
        <is>
          <t>Cloud authoring setup and testing</t>
        </is>
      </c>
      <c r="C18" s="11" t="inlineStr">
        <is>
          <t>Cloud Authoring Validation</t>
        </is>
      </c>
      <c r="D18" s="11" t="inlineStr">
        <is>
          <t>Setup and validate authoring in cloud environments</t>
        </is>
      </c>
      <c r="E18" s="11" t="inlineStr">
        <is>
          <t>Senior Solutions Engineer</t>
        </is>
      </c>
      <c r="F18" s="70" t="n">
        <v>46143</v>
      </c>
      <c r="G18" s="70" t="n">
        <v>46174</v>
      </c>
      <c r="H18" s="11" t="inlineStr">
        <is>
          <t>Knapsack</t>
        </is>
      </c>
    </row>
    <row r="19">
      <c r="A19" s="11" t="inlineStr">
        <is>
          <t>Scaled Rollout and Adoption</t>
        </is>
      </c>
      <c r="B19" s="10" t="inlineStr">
        <is>
          <t>SSO setup and testing</t>
        </is>
      </c>
      <c r="C19" s="11" t="inlineStr">
        <is>
          <t>SSO Integration Checklist</t>
        </is>
      </c>
      <c r="D19" s="11" t="inlineStr">
        <is>
          <t>Configure and test single sign-on with enterprise identity provider</t>
        </is>
      </c>
      <c r="E19" s="11" t="inlineStr">
        <is>
          <t>Subject Matter Expert</t>
        </is>
      </c>
      <c r="F19" s="70" t="n">
        <v>46143</v>
      </c>
      <c r="G19" s="70" t="n">
        <v>46174</v>
      </c>
      <c r="H19" s="11" t="inlineStr">
        <is>
          <t>Knapsack</t>
        </is>
      </c>
    </row>
    <row r="20" ht="15.75" customHeight="1" s="74">
      <c r="A20" s="11" t="inlineStr">
        <is>
          <t>Scaled Rollout and Adoption</t>
        </is>
      </c>
      <c r="B20" s="10" t="inlineStr">
        <is>
          <t>Training - Eng / UX / Partners</t>
        </is>
      </c>
      <c r="C20" s="11" t="inlineStr">
        <is>
          <t>Unified Enablement Curriculum</t>
        </is>
      </c>
      <c r="D20" s="11" t="inlineStr">
        <is>
          <t>Integrated training for engineering, UX, and partner audiences</t>
        </is>
      </c>
      <c r="E20" s="11" t="inlineStr">
        <is>
          <t>Senior Solutions Engineer</t>
        </is>
      </c>
      <c r="F20" s="70" t="n">
        <v>46204</v>
      </c>
      <c r="G20" s="70" t="n">
        <v>46266</v>
      </c>
      <c r="H20" s="11" t="inlineStr">
        <is>
          <t>Adobe</t>
        </is>
      </c>
    </row>
    <row r="21" ht="15.75" customHeight="1" s="74">
      <c r="A21" s="11" t="inlineStr">
        <is>
          <t>Scaled Rollout and Adoption</t>
        </is>
      </c>
      <c r="B21" s="10" t="inlineStr">
        <is>
          <t>Workflow Diagrams</t>
        </is>
      </c>
      <c r="C21" s="11" t="inlineStr">
        <is>
          <t>Workflow Documentation (FigJam, Token Studio, Contribution Workflows)</t>
        </is>
      </c>
      <c r="D21" s="11" t="inlineStr">
        <is>
          <t>Map self-service contribution and implementation workflows</t>
        </is>
      </c>
      <c r="E21" s="11" t="inlineStr">
        <is>
          <t>Senior Solutions Engineer</t>
        </is>
      </c>
      <c r="F21" s="70" t="n">
        <v>46054</v>
      </c>
      <c r="G21" s="70" t="n">
        <v>46082</v>
      </c>
      <c r="H21" s="11" t="inlineStr">
        <is>
          <t>Knapsack</t>
        </is>
      </c>
    </row>
    <row r="22" ht="15.75" customHeight="1" s="74">
      <c r="A22" s="11" t="inlineStr">
        <is>
          <t>Scaled Rollout and Adoption</t>
        </is>
      </c>
      <c r="B22" s="10" t="inlineStr">
        <is>
          <t>Content planning and integration</t>
        </is>
      </c>
      <c r="C22" s="11" t="inlineStr">
        <is>
          <t>Multi-platform Implementation Guides</t>
        </is>
      </c>
      <c r="D22" s="11" t="inlineStr">
        <is>
          <t>Documentation for web, React, iOS, Android implementations</t>
        </is>
      </c>
      <c r="E22" s="11" t="inlineStr">
        <is>
          <t>Senior Solutions Engineer</t>
        </is>
      </c>
      <c r="F22" s="70" t="n">
        <v>46143</v>
      </c>
      <c r="G22" s="70" t="n">
        <v>46204</v>
      </c>
      <c r="H22" s="11" t="inlineStr">
        <is>
          <t>Knapsack</t>
        </is>
      </c>
    </row>
    <row r="23" ht="15.75" customHeight="1" s="74">
      <c r="A23" s="11" t="inlineStr">
        <is>
          <t>Scaled Rollout and Adoption</t>
        </is>
      </c>
      <c r="B23" s="10" t="inlineStr">
        <is>
          <t>Advanced Training - Partners + Contribution</t>
        </is>
      </c>
      <c r="C23" s="11" t="inlineStr">
        <is>
          <t>Advanced Enablement Program</t>
        </is>
      </c>
      <c r="D23" s="11" t="inlineStr">
        <is>
          <t>Deep-dive enablement for partner contributions</t>
        </is>
      </c>
      <c r="E23" s="11" t="inlineStr">
        <is>
          <t>Senior Solutions Engineer</t>
        </is>
      </c>
      <c r="F23" s="70" t="n">
        <v>46204</v>
      </c>
      <c r="G23" s="70" t="n">
        <v>46266</v>
      </c>
      <c r="H23" s="11" t="inlineStr">
        <is>
          <t>Adobe</t>
        </is>
      </c>
    </row>
    <row r="24" ht="15.75" customHeight="1" s="74">
      <c r="A24" s="11" t="inlineStr">
        <is>
          <t>Scaled Rollout and Adoption</t>
        </is>
      </c>
      <c r="B24" s="10" t="inlineStr">
        <is>
          <t>Phase Gate Strategic Recommendations + Documentation</t>
        </is>
      </c>
      <c r="C24" s="11" t="inlineStr">
        <is>
          <t>Scaled Rollout Readiness Review</t>
        </is>
      </c>
      <c r="D24" s="11" t="inlineStr">
        <is>
          <t>Formal phase gate review and recommendations</t>
        </is>
      </c>
      <c r="E24" s="11" t="inlineStr">
        <is>
          <t>Senior Solutions Engineer</t>
        </is>
      </c>
      <c r="F24" s="70" t="n">
        <v>45992</v>
      </c>
      <c r="G24" s="70" t="n">
        <v>46327</v>
      </c>
      <c r="H24" s="11" t="inlineStr">
        <is>
          <t>Knapsack</t>
        </is>
      </c>
    </row>
    <row r="25" ht="15.75" customHeight="1" s="74">
      <c r="A25" s="11" t="inlineStr">
        <is>
          <t>Scaled Rollout and Adoption</t>
        </is>
      </c>
      <c r="B25" s="10" t="inlineStr">
        <is>
          <t>Pre-Cutover Readiness Review</t>
        </is>
      </c>
      <c r="C25" s="11" t="inlineStr">
        <is>
          <t>Cutover Readiness Checklist, Technical Validation Sign-off, Risk Mitigation Plan</t>
        </is>
      </c>
      <c r="D25" s="11" t="inlineStr">
        <is>
          <t>Validate all technical, operational, and training prerequisites; confirm SSO, component rendering, deployment readiness before final rollout.</t>
        </is>
      </c>
      <c r="E25" s="11" t="inlineStr">
        <is>
          <t>Senior Solutions Engineer</t>
        </is>
      </c>
      <c r="F25" s="70" t="n">
        <v>46174</v>
      </c>
      <c r="G25" s="70" t="n">
        <v>46204</v>
      </c>
      <c r="H25" s="11" t="inlineStr">
        <is>
          <t>Knapsack</t>
        </is>
      </c>
    </row>
    <row r="26" ht="15.75" customHeight="1" s="74">
      <c r="A26" s="11" t="inlineStr">
        <is>
          <t>Scaled Rollout and Adoption</t>
        </is>
      </c>
      <c r="B26" s="10" t="inlineStr">
        <is>
          <t>Data &amp; Configuration Freeze</t>
        </is>
      </c>
      <c r="C26" s="11" t="inlineStr">
        <is>
          <t>Configuration Freeze Log, Environment Snapshot</t>
        </is>
      </c>
      <c r="D26" s="11" t="inlineStr">
        <is>
          <t>Lock configuration and repositories; capture environment snapshot for rollback if needed before go-live.</t>
        </is>
      </c>
      <c r="E26" s="11" t="inlineStr">
        <is>
          <t>Senior Solutions Engineer</t>
        </is>
      </c>
      <c r="F26" s="70" t="n">
        <v>46174</v>
      </c>
      <c r="G26" s="70" t="n">
        <v>46204</v>
      </c>
      <c r="H26" s="11" t="inlineStr">
        <is>
          <t>Knapsack</t>
        </is>
      </c>
    </row>
    <row r="27" ht="15.75" customHeight="1" s="74">
      <c r="A27" s="11" t="inlineStr">
        <is>
          <t>Scaled Rollout and Adoption</t>
        </is>
      </c>
      <c r="B27" s="10" t="inlineStr">
        <is>
          <t>Final UAT &amp; Stakeholder Acceptance</t>
        </is>
      </c>
      <c r="C27" s="11" t="inlineStr">
        <is>
          <t>UAT Sign-off Report, Known Issues Log</t>
        </is>
      </c>
      <c r="D27" s="11" t="inlineStr">
        <is>
          <t>Conduct final user acceptance testing with pilot teams; log and triage known issues before launch.</t>
        </is>
      </c>
      <c r="E27" s="11" t="inlineStr">
        <is>
          <t>Senior Solutions Engineer</t>
        </is>
      </c>
      <c r="F27" s="70" t="n">
        <v>46174</v>
      </c>
      <c r="G27" s="70" t="n">
        <v>46204</v>
      </c>
      <c r="H27" s="11" t="inlineStr">
        <is>
          <t>Knapsack</t>
        </is>
      </c>
    </row>
    <row r="28" ht="15.75" customHeight="1" s="74">
      <c r="A28" s="11" t="inlineStr">
        <is>
          <t>Scaled Rollout and Adoption</t>
        </is>
      </c>
      <c r="B28" s="10" t="inlineStr">
        <is>
          <t>Change Impact Analysis</t>
        </is>
      </c>
      <c r="C28" s="11" t="inlineStr">
        <is>
          <t>Change Impact Log, Stakeholder Action Plan</t>
        </is>
      </c>
      <c r="D28" s="11" t="inlineStr">
        <is>
          <t>Evaluate and manage business unit impacts during scale-up.</t>
        </is>
      </c>
      <c r="E28" s="11" t="inlineStr">
        <is>
          <t>CX Partner - Change Management SME</t>
        </is>
      </c>
      <c r="F28" s="70" t="n">
        <v>46023</v>
      </c>
      <c r="G28" s="70" t="n">
        <v>46054</v>
      </c>
      <c r="H28" s="11" t="inlineStr">
        <is>
          <t>Knapsack</t>
        </is>
      </c>
    </row>
    <row r="29" ht="15.75" customHeight="1" s="74">
      <c r="A29" s="11" t="inlineStr">
        <is>
          <t>Scaled Rollout and Adoption</t>
        </is>
      </c>
      <c r="B29" s="10" t="inlineStr">
        <is>
          <t>Adoption Acceleration Campaign</t>
        </is>
      </c>
      <c r="C29" s="11" t="inlineStr">
        <is>
          <t>Awareness Campaign, Success Story Series</t>
        </is>
      </c>
      <c r="D29" s="11" t="inlineStr">
        <is>
          <t>Promote awareness and highlight early success stories to drive adoption.</t>
        </is>
      </c>
      <c r="E29" s="11" t="inlineStr">
        <is>
          <t>CX Partner - Change Management SME</t>
        </is>
      </c>
      <c r="F29" s="70" t="n">
        <v>46327</v>
      </c>
      <c r="G29" s="70" t="n">
        <v>46388</v>
      </c>
      <c r="H29" s="11" t="inlineStr">
        <is>
          <t>Adobe</t>
        </is>
      </c>
    </row>
    <row r="30" ht="15.75" customHeight="1" s="74">
      <c r="A30" s="11" t="inlineStr">
        <is>
          <t>Scaled Rollout and Adoption</t>
        </is>
      </c>
      <c r="B30" s="10" t="inlineStr">
        <is>
          <t>Partner Enablement &amp; Recognition</t>
        </is>
      </c>
      <c r="C30" s="11" t="inlineStr">
        <is>
          <t>Partner Contribution Leaderboard, Recognition Plan</t>
        </is>
      </c>
      <c r="D30" s="11" t="inlineStr">
        <is>
          <t>Drive engagement through recognition and contribution metrics.</t>
        </is>
      </c>
      <c r="E30" s="11" t="inlineStr">
        <is>
          <t>CX Partner - Change Management SME</t>
        </is>
      </c>
      <c r="F30" s="70" t="n">
        <v>46266</v>
      </c>
      <c r="G30" s="70" t="n">
        <v>46327</v>
      </c>
      <c r="H30" s="11" t="inlineStr">
        <is>
          <t>Adobe</t>
        </is>
      </c>
    </row>
    <row r="31" ht="15.75" customHeight="1" s="74">
      <c r="A31" s="11" t="inlineStr">
        <is>
          <t>Optimization and Continued Support</t>
        </is>
      </c>
      <c r="B31" s="10" t="inlineStr">
        <is>
          <t>Transition support</t>
        </is>
      </c>
      <c r="C31" s="11" t="inlineStr">
        <is>
          <t>Continuous Improvement Plan</t>
        </is>
      </c>
      <c r="D31" s="11" t="inlineStr">
        <is>
          <t>Continuous improvement plan with analytics and recommendations</t>
        </is>
      </c>
      <c r="E31" s="11" t="inlineStr">
        <is>
          <t>Senior Solutions Engineer</t>
        </is>
      </c>
      <c r="F31" s="70" t="n">
        <v>46174</v>
      </c>
      <c r="G31" s="70" t="n">
        <v>46204</v>
      </c>
      <c r="H31" s="11" t="inlineStr">
        <is>
          <t>Knapsack</t>
        </is>
      </c>
    </row>
    <row r="32" ht="15.75" customHeight="1" s="74">
      <c r="A32" s="11" t="inlineStr">
        <is>
          <t>Optimization and Continued Support</t>
        </is>
      </c>
      <c r="B32" s="10" t="inlineStr">
        <is>
          <t>Cutover Execution</t>
        </is>
      </c>
      <c r="C32" s="11" t="inlineStr">
        <is>
          <t>Deployment Completion Report, Access Validation, Service Health Dashboard</t>
        </is>
      </c>
      <c r="D32" s="11" t="inlineStr">
        <is>
          <t>Execute production deployment; validate access controls, deployment integrity, and service health.</t>
        </is>
      </c>
      <c r="E32" s="11" t="inlineStr">
        <is>
          <t>Senior Solutions Engineer</t>
        </is>
      </c>
      <c r="F32" s="70" t="n">
        <v>46143</v>
      </c>
      <c r="G32" s="70" t="n">
        <v>46174</v>
      </c>
      <c r="H32" s="11" t="inlineStr">
        <is>
          <t>Knapsack</t>
        </is>
      </c>
    </row>
    <row r="33" ht="15.75" customHeight="1" s="74">
      <c r="A33" s="11" t="inlineStr">
        <is>
          <t>Optimization and Continued Support</t>
        </is>
      </c>
      <c r="B33" s="10" t="inlineStr">
        <is>
          <t>Go-Live Communication Launch</t>
        </is>
      </c>
      <c r="C33" s="11" t="inlineStr">
        <is>
          <t>Internal Announcement, Go-Live FAQ, Support Channels</t>
        </is>
      </c>
      <c r="D33" s="11" t="inlineStr">
        <is>
          <t>Announce official go-live to stakeholders; provide communication templates and support channels.</t>
        </is>
      </c>
      <c r="E33" s="11" t="inlineStr">
        <is>
          <t>Project Manager</t>
        </is>
      </c>
      <c r="F33" s="70" t="n">
        <v>46174</v>
      </c>
      <c r="G33" s="70" t="n">
        <v>46204</v>
      </c>
      <c r="H33" s="11" t="inlineStr">
        <is>
          <t>Adobe</t>
        </is>
      </c>
    </row>
    <row r="34" ht="15.75" customHeight="1" s="74">
      <c r="A34" s="11" t="inlineStr">
        <is>
          <t>Optimization and Continued Support</t>
        </is>
      </c>
      <c r="B34" s="10" t="inlineStr">
        <is>
          <t>Hypercare Phase (Post-Go-Live Support)</t>
        </is>
      </c>
      <c r="C34" s="11" t="inlineStr">
        <is>
          <t>Hypercare Status Reports, Issue Resolution Tracker</t>
        </is>
      </c>
      <c r="D34" s="11" t="inlineStr">
        <is>
          <t>Provide high-touch support for 30–90 days post go-live, track SLAs, and stabilize the system.</t>
        </is>
      </c>
      <c r="E34" s="11" t="inlineStr">
        <is>
          <t>Senior Solutions Engineer</t>
        </is>
      </c>
      <c r="F34" s="70" t="n">
        <v>46327</v>
      </c>
      <c r="G34" s="70" t="n">
        <v>46419</v>
      </c>
      <c r="H34" s="11" t="inlineStr">
        <is>
          <t>Knapsack</t>
        </is>
      </c>
    </row>
    <row r="35" ht="15.75" customHeight="1" s="74">
      <c r="A35" s="11" t="inlineStr">
        <is>
          <t>Optimization and Continued Support</t>
        </is>
      </c>
      <c r="B35" s="10" t="inlineStr">
        <is>
          <t>Post-Implementation Review</t>
        </is>
      </c>
      <c r="C35" s="11" t="inlineStr">
        <is>
          <t>Lessons Learned Summary, KPI Report, Optimization Backlog</t>
        </is>
      </c>
      <c r="D35" s="11" t="inlineStr">
        <is>
          <t>Evaluate performance, adoption, and partner satisfaction to inform optimization roadmap.</t>
        </is>
      </c>
      <c r="E35" s="11" t="inlineStr">
        <is>
          <t>Project Manager</t>
        </is>
      </c>
      <c r="F35" s="70" t="n">
        <v>46357</v>
      </c>
      <c r="G35" s="70" t="n">
        <v>46357</v>
      </c>
      <c r="H35" s="11" t="inlineStr">
        <is>
          <t>Adobe</t>
        </is>
      </c>
    </row>
    <row r="36" ht="15.75" customHeight="1" s="74">
      <c r="A36" s="11" t="inlineStr">
        <is>
          <t>Optimization and Continued Support</t>
        </is>
      </c>
      <c r="B36" s="10" t="inlineStr">
        <is>
          <t>Transition to Steady-State Operations</t>
        </is>
      </c>
      <c r="C36" s="11" t="inlineStr">
        <is>
          <t>Knowledge Transfer Documentation, Ownership Matrix, Future Roadmap</t>
        </is>
      </c>
      <c r="D36" s="11" t="inlineStr">
        <is>
          <t>Transition ownership to internal design ops and engineering teams; confirm governance cadence.</t>
        </is>
      </c>
      <c r="E36" s="11" t="inlineStr">
        <is>
          <t>Design System Lead</t>
        </is>
      </c>
      <c r="F36" s="70" t="n">
        <v>46357</v>
      </c>
      <c r="G36" s="70" t="n">
        <v>46357</v>
      </c>
      <c r="H36" s="11" t="inlineStr">
        <is>
          <t>Adobe</t>
        </is>
      </c>
    </row>
    <row r="37" ht="15.75" customHeight="1" s="74">
      <c r="A37" s="11" t="inlineStr">
        <is>
          <t>Optimization and Continued Support</t>
        </is>
      </c>
      <c r="B37" s="10" t="inlineStr">
        <is>
          <t>Continuous Improvement Framework</t>
        </is>
      </c>
      <c r="C37" s="11" t="inlineStr">
        <is>
          <t>Adoption Dashboards, Sentiment Trend Reports</t>
        </is>
      </c>
      <c r="D37" s="11" t="inlineStr">
        <is>
          <t>Maintain engagement and track long-term adoption trends.</t>
        </is>
      </c>
      <c r="E37" s="11" t="inlineStr">
        <is>
          <t>CX Partner - Change Management SME</t>
        </is>
      </c>
      <c r="F37" s="70" t="n">
        <v>46174</v>
      </c>
      <c r="G37" s="70" t="n">
        <v>46204</v>
      </c>
      <c r="H37" s="11" t="inlineStr">
        <is>
          <t>Adobe</t>
        </is>
      </c>
    </row>
    <row r="38" ht="15.75" customHeight="1" s="74">
      <c r="A38" s="11" t="inlineStr">
        <is>
          <t>Optimization and Continued Support</t>
        </is>
      </c>
      <c r="B38" s="10" t="inlineStr">
        <is>
          <t>Strategic Partnership Review</t>
        </is>
      </c>
      <c r="C38" s="11" t="inlineStr">
        <is>
          <t>Quarterly Business Review Deck</t>
        </is>
      </c>
      <c r="D38" s="11" t="inlineStr">
        <is>
          <t>Evaluate ongoing partnership alignment and strategic direction.</t>
        </is>
      </c>
      <c r="E38" s="11" t="inlineStr">
        <is>
          <t>CX Partner - Change Management SME</t>
        </is>
      </c>
      <c r="F38" s="70" t="n">
        <v>46327</v>
      </c>
      <c r="G38" s="70" t="n">
        <v>46692</v>
      </c>
      <c r="H38" s="11" t="inlineStr">
        <is>
          <t>Knapsack</t>
        </is>
      </c>
    </row>
    <row r="39" ht="15.75" customHeight="1" s="74">
      <c r="A39" s="11" t="inlineStr">
        <is>
          <t>Optimization and Continued Support</t>
        </is>
      </c>
      <c r="B39" s="10" t="inlineStr">
        <is>
          <t>Case Study Development</t>
        </is>
      </c>
      <c r="C39" s="11" t="inlineStr">
        <is>
          <t>Internal Case Study + Success Metrics</t>
        </is>
      </c>
      <c r="D39" s="11" t="inlineStr">
        <is>
          <t>Document program success and outcomes for future scaling.</t>
        </is>
      </c>
      <c r="E39" s="11" t="inlineStr">
        <is>
          <t>CX Partner - Change Management SME</t>
        </is>
      </c>
      <c r="F39" s="70" t="n">
        <v>46327</v>
      </c>
      <c r="G39" s="70" t="n">
        <v>46357</v>
      </c>
      <c r="H39" s="11" t="inlineStr">
        <is>
          <t>Adobe</t>
        </is>
      </c>
    </row>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ColWidth="14.43" defaultRowHeight="15" customHeight="1"/>
  <cols>
    <col width="28" customWidth="1" style="74" min="1" max="1"/>
    <col width="18" customWidth="1" style="74" min="2" max="2"/>
    <col width="42" customWidth="1" style="74" min="3" max="3"/>
    <col width="13.86" customWidth="1" style="74" min="4" max="4"/>
    <col width="8.710000000000001" customWidth="1" style="74" min="5" max="26"/>
  </cols>
  <sheetData>
    <row r="1">
      <c r="A1" s="6" t="inlineStr">
        <is>
          <t>Assumption</t>
        </is>
      </c>
      <c r="B1" s="6" t="inlineStr">
        <is>
          <t>Value</t>
        </is>
      </c>
      <c r="C1" s="6" t="inlineStr">
        <is>
          <t>Notes</t>
        </is>
      </c>
    </row>
    <row r="2">
      <c r="A2" s="11" t="inlineStr">
        <is>
          <t>Hours per Day</t>
        </is>
      </c>
      <c r="B2" s="11" t="n">
        <v>8</v>
      </c>
      <c r="C2" s="11" t="inlineStr">
        <is>
          <t>Used when Effort Type = Days</t>
        </is>
      </c>
    </row>
    <row r="3">
      <c r="A3" s="11" t="inlineStr">
        <is>
          <t>Hours per Week</t>
        </is>
      </c>
      <c r="B3" s="11" t="n">
        <v>35.5</v>
      </c>
      <c r="C3" s="11" t="inlineStr">
        <is>
          <t>Used when Effort Type = FTE</t>
        </is>
      </c>
    </row>
    <row r="4">
      <c r="A4" s="11" t="inlineStr">
        <is>
          <t>Default Weeks for FTE lines</t>
        </is>
      </c>
      <c r="B4" s="11" t="n">
        <v>4</v>
      </c>
      <c r="C4" s="11" t="inlineStr">
        <is>
          <t>Change per line in Plan if needed</t>
        </is>
      </c>
    </row>
    <row r="5"/>
    <row r="6">
      <c r="A6" s="71" t="inlineStr">
        <is>
          <t>Scenario Settings</t>
        </is>
      </c>
    </row>
    <row r="7">
      <c r="A7" s="11" t="inlineStr">
        <is>
          <t>Selected Scenario</t>
        </is>
      </c>
      <c r="B7" s="11" t="inlineStr">
        <is>
          <t>Medium</t>
        </is>
      </c>
    </row>
    <row r="8"/>
    <row r="9">
      <c r="A9" s="72" t="inlineStr">
        <is>
          <t>Scenario</t>
        </is>
      </c>
      <c r="B9" s="72" t="inlineStr">
        <is>
          <t>Hour Multiplier</t>
        </is>
      </c>
      <c r="C9" s="72" t="inlineStr">
        <is>
          <t>Rate Multiplier</t>
        </is>
      </c>
      <c r="D9" s="72" t="inlineStr">
        <is>
          <t>Contingency %</t>
        </is>
      </c>
    </row>
    <row r="10">
      <c r="A10" s="11" t="inlineStr">
        <is>
          <t>Low</t>
        </is>
      </c>
      <c r="B10" s="11" t="n">
        <v>0.9</v>
      </c>
      <c r="C10" s="11" t="n">
        <v>0.98</v>
      </c>
      <c r="D10" s="11" t="n">
        <v>0.05</v>
      </c>
    </row>
    <row r="11">
      <c r="A11" s="11" t="inlineStr">
        <is>
          <t>Medium</t>
        </is>
      </c>
      <c r="B11" s="11" t="n">
        <v>1</v>
      </c>
      <c r="C11" s="11" t="n">
        <v>1</v>
      </c>
      <c r="D11" s="11" t="n">
        <v>0.1</v>
      </c>
    </row>
    <row r="12">
      <c r="A12" s="11" t="inlineStr">
        <is>
          <t>High</t>
        </is>
      </c>
      <c r="B12" s="11" t="n">
        <v>1.1</v>
      </c>
      <c r="C12" s="11" t="n">
        <v>1.03</v>
      </c>
      <c r="D12" s="11" t="n">
        <v>0.2</v>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dataValidations count="1">
    <dataValidation sqref="B7" showDropDown="1" showInputMessage="0" showErrorMessage="1" allowBlank="1" type="list">
      <formula1>"Low,Medium,High"</formula1>
    </dataValidation>
  </dataValidation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305"/>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74" min="1" max="1"/>
    <col width="34.14" customWidth="1" style="74" min="2" max="2"/>
    <col width="14" customWidth="1" style="74" min="3" max="3"/>
    <col width="16" customWidth="1" style="74" min="4" max="5"/>
    <col width="28" customWidth="1" style="74" min="6" max="6"/>
    <col width="8.710000000000001" customWidth="1" style="74" min="7" max="7"/>
    <col width="10.14" customWidth="1" style="74" min="8" max="8"/>
    <col width="23.86" customWidth="1" style="74" min="9" max="9"/>
    <col width="8.710000000000001" customWidth="1" style="74" min="10" max="26"/>
  </cols>
  <sheetData>
    <row r="1">
      <c r="A1" s="6" t="inlineStr">
        <is>
          <t>Vendor</t>
        </is>
      </c>
      <c r="B1" s="6" t="inlineStr">
        <is>
          <t>Role</t>
        </is>
      </c>
      <c r="C1" s="6" t="inlineStr">
        <is>
          <t>Rate Type</t>
        </is>
      </c>
      <c r="D1" s="6" t="inlineStr">
        <is>
          <t>Hourly Rate</t>
        </is>
      </c>
      <c r="E1" s="6" t="inlineStr">
        <is>
          <t>Daily Rate</t>
        </is>
      </c>
      <c r="F1" s="6" t="inlineStr">
        <is>
          <t>Notes</t>
        </is>
      </c>
      <c r="H1" s="11" t="inlineStr">
        <is>
          <t>VendorList</t>
        </is>
      </c>
      <c r="I1" s="11" t="inlineStr">
        <is>
          <t>RolesList</t>
        </is>
      </c>
      <c r="Z1" s="11" t="inlineStr">
        <is>
          <t>Key_VendorRole</t>
        </is>
      </c>
    </row>
    <row r="2">
      <c r="A2" s="11" t="inlineStr">
        <is>
          <t>Knapsack</t>
        </is>
      </c>
      <c r="B2" s="11" t="inlineStr">
        <is>
          <t>Project Manager</t>
        </is>
      </c>
      <c r="C2" s="11" t="inlineStr">
        <is>
          <t>Hourly</t>
        </is>
      </c>
      <c r="D2" s="11" t="n">
        <v>180</v>
      </c>
      <c r="E2" s="11">
        <f>D2*8</f>
        <v/>
      </c>
      <c r="H2" s="11" t="inlineStr">
        <is>
          <t>Adobe</t>
        </is>
      </c>
      <c r="I2" s="11">
        <f>IF($B2&lt;&gt;"",$B2,"")</f>
        <v/>
      </c>
      <c r="Z2" s="11">
        <f>IF(AND($A2&lt;&gt;"",$B2&lt;&gt;""),$A2&amp;"|"&amp;$B2,"")</f>
        <v/>
      </c>
    </row>
    <row r="3">
      <c r="A3" s="11" t="inlineStr">
        <is>
          <t>Knapsack</t>
        </is>
      </c>
      <c r="B3" s="11" t="inlineStr">
        <is>
          <t>Senior Solutions Engineer</t>
        </is>
      </c>
      <c r="C3" s="11" t="inlineStr">
        <is>
          <t>Hourly</t>
        </is>
      </c>
      <c r="D3" s="11" t="n">
        <v>220</v>
      </c>
      <c r="E3" s="11">
        <f>D3*8</f>
        <v/>
      </c>
      <c r="H3" s="11" t="inlineStr">
        <is>
          <t>Knapsack</t>
        </is>
      </c>
      <c r="I3" s="11">
        <f>IF($B3&lt;&gt;"",$B3,"")</f>
        <v/>
      </c>
      <c r="Z3" s="11">
        <f>IF(AND($A3&lt;&gt;"",$B3&lt;&gt;""),$A3&amp;"|"&amp;$B3,"")</f>
        <v/>
      </c>
    </row>
    <row r="4">
      <c r="A4" s="11" t="inlineStr">
        <is>
          <t>Knapsack</t>
        </is>
      </c>
      <c r="B4" s="11" t="inlineStr">
        <is>
          <t>Subject Matter Expert</t>
        </is>
      </c>
      <c r="C4" s="11" t="inlineStr">
        <is>
          <t>Hourly</t>
        </is>
      </c>
      <c r="D4" s="11" t="n">
        <v>500</v>
      </c>
      <c r="E4" s="11">
        <f>D4*8</f>
        <v/>
      </c>
      <c r="I4" s="11">
        <f>IF($B4&lt;&gt;"",$B4,"")</f>
        <v/>
      </c>
      <c r="Z4" s="11">
        <f>IF(AND($A4&lt;&gt;"",$B4&lt;&gt;""),$A4&amp;"|"&amp;$B4,"")</f>
        <v/>
      </c>
    </row>
    <row r="5">
      <c r="A5" s="11" t="inlineStr">
        <is>
          <t>Knapsack</t>
        </is>
      </c>
      <c r="B5" s="11" t="inlineStr">
        <is>
          <t>CX Partner - Change Management SME</t>
        </is>
      </c>
      <c r="C5" s="11" t="inlineStr">
        <is>
          <t>Hourly</t>
        </is>
      </c>
      <c r="D5" s="11" t="n">
        <v>300</v>
      </c>
      <c r="E5" s="11">
        <f>D5*8</f>
        <v/>
      </c>
      <c r="I5" s="11">
        <f>IF($B5&lt;&gt;"",$B5,"")</f>
        <v/>
      </c>
      <c r="Z5" s="11">
        <f>IF(AND($A5&lt;&gt;"",$B5&lt;&gt;""),$A5&amp;"|"&amp;$B5,"")</f>
        <v/>
      </c>
    </row>
    <row r="6">
      <c r="A6" s="11" t="inlineStr">
        <is>
          <t>Knapsack</t>
        </is>
      </c>
      <c r="B6" s="11" t="inlineStr">
        <is>
          <t>Product Engineer</t>
        </is>
      </c>
      <c r="C6" s="11" t="inlineStr">
        <is>
          <t>Hourly</t>
        </is>
      </c>
      <c r="D6" s="11" t="n">
        <v>400</v>
      </c>
      <c r="E6" s="11">
        <f>D6*8</f>
        <v/>
      </c>
      <c r="I6" s="11">
        <f>IF($B6&lt;&gt;"",$B6,"")</f>
        <v/>
      </c>
      <c r="Z6" s="11">
        <f>IF(AND($A6&lt;&gt;"",$B6&lt;&gt;""),$A6&amp;"|"&amp;$B6,"")</f>
        <v/>
      </c>
    </row>
    <row r="7">
      <c r="I7" s="11">
        <f>IF($B7&lt;&gt;"",$B7,"")</f>
        <v/>
      </c>
      <c r="Z7" s="11">
        <f>IF(AND($A7&lt;&gt;"",$B7&lt;&gt;""),$A7&amp;"|"&amp;$B7,"")</f>
        <v/>
      </c>
    </row>
    <row r="8">
      <c r="I8" s="11">
        <f>IF($B8&lt;&gt;"",$B8,"")</f>
        <v/>
      </c>
      <c r="Z8" s="11">
        <f>IF(AND($A8&lt;&gt;"",$B8&lt;&gt;""),$A8&amp;"|"&amp;$B8,"")</f>
        <v/>
      </c>
    </row>
    <row r="9">
      <c r="I9" s="11">
        <f>IF($B9&lt;&gt;"",$B9,"")</f>
        <v/>
      </c>
      <c r="Z9" s="11">
        <f>IF(AND($A9&lt;&gt;"",$B9&lt;&gt;""),$A9&amp;"|"&amp;$B9,"")</f>
        <v/>
      </c>
    </row>
    <row r="10">
      <c r="I10" s="11">
        <f>IF($B10&lt;&gt;"",$B10,"")</f>
        <v/>
      </c>
      <c r="Z10" s="11">
        <f>IF(AND($A10&lt;&gt;"",$B10&lt;&gt;""),$A10&amp;"|"&amp;$B10,"")</f>
        <v/>
      </c>
    </row>
    <row r="11">
      <c r="I11" s="11">
        <f>IF($B11&lt;&gt;"",$B11,"")</f>
        <v/>
      </c>
      <c r="Z11" s="11">
        <f>IF(AND($A11&lt;&gt;"",$B11&lt;&gt;""),$A11&amp;"|"&amp;$B11,"")</f>
        <v/>
      </c>
    </row>
    <row r="12">
      <c r="I12" s="11">
        <f>IF($B12&lt;&gt;"",$B12,"")</f>
        <v/>
      </c>
      <c r="Z12" s="11">
        <f>IF(AND($A12&lt;&gt;"",$B12&lt;&gt;""),$A12&amp;"|"&amp;$B12,"")</f>
        <v/>
      </c>
    </row>
    <row r="13">
      <c r="I13" s="11">
        <f>IF($B13&lt;&gt;"",$B13,"")</f>
        <v/>
      </c>
      <c r="Z13" s="11">
        <f>IF(AND($A13&lt;&gt;"",$B13&lt;&gt;""),$A13&amp;"|"&amp;$B13,"")</f>
        <v/>
      </c>
    </row>
    <row r="14">
      <c r="I14" s="11">
        <f>IF($B14&lt;&gt;"",$B14,"")</f>
        <v/>
      </c>
      <c r="Z14" s="11">
        <f>IF(AND($A14&lt;&gt;"",$B14&lt;&gt;""),$A14&amp;"|"&amp;$B14,"")</f>
        <v/>
      </c>
    </row>
    <row r="15">
      <c r="I15" s="11">
        <f>IF($B15&lt;&gt;"",$B15,"")</f>
        <v/>
      </c>
      <c r="Z15" s="11">
        <f>IF(AND($A15&lt;&gt;"",$B15&lt;&gt;""),$A15&amp;"|"&amp;$B15,"")</f>
        <v/>
      </c>
    </row>
    <row r="16">
      <c r="I16" s="11">
        <f>IF($B16&lt;&gt;"",$B16,"")</f>
        <v/>
      </c>
      <c r="Z16" s="11">
        <f>IF(AND($A16&lt;&gt;"",$B16&lt;&gt;""),$A16&amp;"|"&amp;$B16,"")</f>
        <v/>
      </c>
    </row>
    <row r="17">
      <c r="I17" s="11">
        <f>IF($B17&lt;&gt;"",$B17,"")</f>
        <v/>
      </c>
      <c r="Z17" s="11">
        <f>IF(AND($A17&lt;&gt;"",$B17&lt;&gt;""),$A17&amp;"|"&amp;$B17,"")</f>
        <v/>
      </c>
    </row>
    <row r="18">
      <c r="I18" s="11">
        <f>IF($B18&lt;&gt;"",$B18,"")</f>
        <v/>
      </c>
      <c r="Z18" s="11">
        <f>IF(AND($A18&lt;&gt;"",$B18&lt;&gt;""),$A18&amp;"|"&amp;$B18,"")</f>
        <v/>
      </c>
    </row>
    <row r="19">
      <c r="I19" s="11">
        <f>IF($B19&lt;&gt;"",$B19,"")</f>
        <v/>
      </c>
      <c r="Z19" s="11">
        <f>IF(AND($A19&lt;&gt;"",$B19&lt;&gt;""),$A19&amp;"|"&amp;$B19,"")</f>
        <v/>
      </c>
    </row>
    <row r="20" ht="15.75" customHeight="1" s="74">
      <c r="I20" s="11">
        <f>IF($B20&lt;&gt;"",$B20,"")</f>
        <v/>
      </c>
      <c r="Z20" s="11">
        <f>IF(AND($A20&lt;&gt;"",$B20&lt;&gt;""),$A20&amp;"|"&amp;$B20,"")</f>
        <v/>
      </c>
    </row>
    <row r="21" ht="15.75" customHeight="1" s="74">
      <c r="I21" s="11">
        <f>IF($B21&lt;&gt;"",$B21,"")</f>
        <v/>
      </c>
      <c r="Z21" s="11">
        <f>IF(AND($A21&lt;&gt;"",$B21&lt;&gt;""),$A21&amp;"|"&amp;$B21,"")</f>
        <v/>
      </c>
    </row>
    <row r="22" ht="15.75" customHeight="1" s="74">
      <c r="I22" s="11">
        <f>IF($B22&lt;&gt;"",$B22,"")</f>
        <v/>
      </c>
      <c r="Z22" s="11">
        <f>IF(AND($A22&lt;&gt;"",$B22&lt;&gt;""),$A22&amp;"|"&amp;$B22,"")</f>
        <v/>
      </c>
    </row>
    <row r="23" ht="15.75" customHeight="1" s="74">
      <c r="I23" s="11">
        <f>IF($B23&lt;&gt;"",$B23,"")</f>
        <v/>
      </c>
      <c r="Z23" s="11">
        <f>IF(AND($A23&lt;&gt;"",$B23&lt;&gt;""),$A23&amp;"|"&amp;$B23,"")</f>
        <v/>
      </c>
    </row>
    <row r="24" ht="15.75" customHeight="1" s="74">
      <c r="I24" s="11">
        <f>IF($B24&lt;&gt;"",$B24,"")</f>
        <v/>
      </c>
      <c r="Z24" s="11">
        <f>IF(AND($A24&lt;&gt;"",$B24&lt;&gt;""),$A24&amp;"|"&amp;$B24,"")</f>
        <v/>
      </c>
    </row>
    <row r="25" ht="15.75" customHeight="1" s="74">
      <c r="I25" s="11">
        <f>IF($B25&lt;&gt;"",$B25,"")</f>
        <v/>
      </c>
      <c r="Z25" s="11">
        <f>IF(AND($A25&lt;&gt;"",$B25&lt;&gt;""),$A25&amp;"|"&amp;$B25,"")</f>
        <v/>
      </c>
    </row>
    <row r="26" ht="15.75" customHeight="1" s="74">
      <c r="I26" s="11">
        <f>IF($B26&lt;&gt;"",$B26,"")</f>
        <v/>
      </c>
      <c r="Z26" s="11">
        <f>IF(AND($A26&lt;&gt;"",$B26&lt;&gt;""),$A26&amp;"|"&amp;$B26,"")</f>
        <v/>
      </c>
    </row>
    <row r="27" ht="15.75" customHeight="1" s="74">
      <c r="I27" s="11">
        <f>IF($B27&lt;&gt;"",$B27,"")</f>
        <v/>
      </c>
      <c r="Z27" s="11">
        <f>IF(AND($A27&lt;&gt;"",$B27&lt;&gt;""),$A27&amp;"|"&amp;$B27,"")</f>
        <v/>
      </c>
    </row>
    <row r="28" ht="15.75" customHeight="1" s="74">
      <c r="I28" s="11">
        <f>IF($B28&lt;&gt;"",$B28,"")</f>
        <v/>
      </c>
      <c r="Z28" s="11">
        <f>IF(AND($A28&lt;&gt;"",$B28&lt;&gt;""),$A28&amp;"|"&amp;$B28,"")</f>
        <v/>
      </c>
    </row>
    <row r="29" ht="15.75" customHeight="1" s="74">
      <c r="I29" s="11">
        <f>IF($B29&lt;&gt;"",$B29,"")</f>
        <v/>
      </c>
      <c r="Z29" s="11">
        <f>IF(AND($A29&lt;&gt;"",$B29&lt;&gt;""),$A29&amp;"|"&amp;$B29,"")</f>
        <v/>
      </c>
    </row>
    <row r="30" ht="15.75" customHeight="1" s="74">
      <c r="I30" s="11">
        <f>IF($B30&lt;&gt;"",$B30,"")</f>
        <v/>
      </c>
      <c r="Z30" s="11">
        <f>IF(AND($A30&lt;&gt;"",$B30&lt;&gt;""),$A30&amp;"|"&amp;$B30,"")</f>
        <v/>
      </c>
    </row>
    <row r="31" ht="15.75" customHeight="1" s="74">
      <c r="I31" s="11">
        <f>IF($B31&lt;&gt;"",$B31,"")</f>
        <v/>
      </c>
      <c r="Z31" s="11">
        <f>IF(AND($A31&lt;&gt;"",$B31&lt;&gt;""),$A31&amp;"|"&amp;$B31,"")</f>
        <v/>
      </c>
    </row>
    <row r="32" ht="15.75" customHeight="1" s="74">
      <c r="I32" s="11">
        <f>IF($B32&lt;&gt;"",$B32,"")</f>
        <v/>
      </c>
      <c r="Z32" s="11">
        <f>IF(AND($A32&lt;&gt;"",$B32&lt;&gt;""),$A32&amp;"|"&amp;$B32,"")</f>
        <v/>
      </c>
    </row>
    <row r="33" ht="15.75" customHeight="1" s="74">
      <c r="I33" s="11">
        <f>IF($B33&lt;&gt;"",$B33,"")</f>
        <v/>
      </c>
      <c r="Z33" s="11">
        <f>IF(AND($A33&lt;&gt;"",$B33&lt;&gt;""),$A33&amp;"|"&amp;$B33,"")</f>
        <v/>
      </c>
    </row>
    <row r="34" ht="15.75" customHeight="1" s="74">
      <c r="I34" s="11">
        <f>IF($B34&lt;&gt;"",$B34,"")</f>
        <v/>
      </c>
      <c r="Z34" s="11">
        <f>IF(AND($A34&lt;&gt;"",$B34&lt;&gt;""),$A34&amp;"|"&amp;$B34,"")</f>
        <v/>
      </c>
    </row>
    <row r="35" ht="15.75" customHeight="1" s="74">
      <c r="I35" s="11">
        <f>IF($B35&lt;&gt;"",$B35,"")</f>
        <v/>
      </c>
      <c r="Z35" s="11">
        <f>IF(AND($A35&lt;&gt;"",$B35&lt;&gt;""),$A35&amp;"|"&amp;$B35,"")</f>
        <v/>
      </c>
    </row>
    <row r="36" ht="15.75" customHeight="1" s="74">
      <c r="I36" s="11">
        <f>IF($B36&lt;&gt;"",$B36,"")</f>
        <v/>
      </c>
      <c r="Z36" s="11">
        <f>IF(AND($A36&lt;&gt;"",$B36&lt;&gt;""),$A36&amp;"|"&amp;$B36,"")</f>
        <v/>
      </c>
    </row>
    <row r="37" ht="15.75" customHeight="1" s="74">
      <c r="I37" s="11">
        <f>IF($B37&lt;&gt;"",$B37,"")</f>
        <v/>
      </c>
      <c r="Z37" s="11">
        <f>IF(AND($A37&lt;&gt;"",$B37&lt;&gt;""),$A37&amp;"|"&amp;$B37,"")</f>
        <v/>
      </c>
    </row>
    <row r="38" ht="15.75" customHeight="1" s="74">
      <c r="I38" s="11">
        <f>IF($B38&lt;&gt;"",$B38,"")</f>
        <v/>
      </c>
      <c r="Z38" s="11">
        <f>IF(AND($A38&lt;&gt;"",$B38&lt;&gt;""),$A38&amp;"|"&amp;$B38,"")</f>
        <v/>
      </c>
    </row>
    <row r="39" ht="15.75" customHeight="1" s="74">
      <c r="I39" s="11">
        <f>IF($B39&lt;&gt;"",$B39,"")</f>
        <v/>
      </c>
      <c r="Z39" s="11">
        <f>IF(AND($A39&lt;&gt;"",$B39&lt;&gt;""),$A39&amp;"|"&amp;$B39,"")</f>
        <v/>
      </c>
    </row>
    <row r="40" ht="15.75" customHeight="1" s="74">
      <c r="I40" s="11">
        <f>IF($B40&lt;&gt;"",$B40,"")</f>
        <v/>
      </c>
      <c r="Z40" s="11">
        <f>IF(AND($A40&lt;&gt;"",$B40&lt;&gt;""),$A40&amp;"|"&amp;$B40,"")</f>
        <v/>
      </c>
    </row>
    <row r="41" ht="15.75" customHeight="1" s="74">
      <c r="I41" s="11">
        <f>IF($B41&lt;&gt;"",$B41,"")</f>
        <v/>
      </c>
      <c r="Z41" s="11">
        <f>IF(AND($A41&lt;&gt;"",$B41&lt;&gt;""),$A41&amp;"|"&amp;$B41,"")</f>
        <v/>
      </c>
    </row>
    <row r="42" ht="15.75" customHeight="1" s="74">
      <c r="I42" s="11">
        <f>IF($B42&lt;&gt;"",$B42,"")</f>
        <v/>
      </c>
      <c r="Z42" s="11">
        <f>IF(AND($A42&lt;&gt;"",$B42&lt;&gt;""),$A42&amp;"|"&amp;$B42,"")</f>
        <v/>
      </c>
    </row>
    <row r="43" ht="15.75" customHeight="1" s="74">
      <c r="I43" s="11">
        <f>IF($B43&lt;&gt;"",$B43,"")</f>
        <v/>
      </c>
      <c r="Z43" s="11">
        <f>IF(AND($A43&lt;&gt;"",$B43&lt;&gt;""),$A43&amp;"|"&amp;$B43,"")</f>
        <v/>
      </c>
    </row>
    <row r="44" ht="15.75" customHeight="1" s="74">
      <c r="I44" s="11">
        <f>IF($B44&lt;&gt;"",$B44,"")</f>
        <v/>
      </c>
      <c r="Z44" s="11">
        <f>IF(AND($A44&lt;&gt;"",$B44&lt;&gt;""),$A44&amp;"|"&amp;$B44,"")</f>
        <v/>
      </c>
    </row>
    <row r="45" ht="15.75" customHeight="1" s="74">
      <c r="I45" s="11">
        <f>IF($B45&lt;&gt;"",$B45,"")</f>
        <v/>
      </c>
      <c r="Z45" s="11">
        <f>IF(AND($A45&lt;&gt;"",$B45&lt;&gt;""),$A45&amp;"|"&amp;$B45,"")</f>
        <v/>
      </c>
    </row>
    <row r="46" ht="15.75" customHeight="1" s="74">
      <c r="I46" s="11">
        <f>IF($B46&lt;&gt;"",$B46,"")</f>
        <v/>
      </c>
      <c r="Z46" s="11">
        <f>IF(AND($A46&lt;&gt;"",$B46&lt;&gt;""),$A46&amp;"|"&amp;$B46,"")</f>
        <v/>
      </c>
    </row>
    <row r="47" ht="15.75" customHeight="1" s="74">
      <c r="I47" s="11">
        <f>IF($B47&lt;&gt;"",$B47,"")</f>
        <v/>
      </c>
      <c r="Z47" s="11">
        <f>IF(AND($A47&lt;&gt;"",$B47&lt;&gt;""),$A47&amp;"|"&amp;$B47,"")</f>
        <v/>
      </c>
    </row>
    <row r="48" ht="15.75" customHeight="1" s="74">
      <c r="I48" s="11">
        <f>IF($B48&lt;&gt;"",$B48,"")</f>
        <v/>
      </c>
      <c r="Z48" s="11">
        <f>IF(AND($A48&lt;&gt;"",$B48&lt;&gt;""),$A48&amp;"|"&amp;$B48,"")</f>
        <v/>
      </c>
    </row>
    <row r="49" ht="15.75" customHeight="1" s="74">
      <c r="I49" s="11">
        <f>IF($B49&lt;&gt;"",$B49,"")</f>
        <v/>
      </c>
      <c r="Z49" s="11">
        <f>IF(AND($A49&lt;&gt;"",$B49&lt;&gt;""),$A49&amp;"|"&amp;$B49,"")</f>
        <v/>
      </c>
    </row>
    <row r="50" ht="15.75" customHeight="1" s="74">
      <c r="I50" s="11">
        <f>IF($B50&lt;&gt;"",$B50,"")</f>
        <v/>
      </c>
      <c r="Z50" s="11">
        <f>IF(AND($A50&lt;&gt;"",$B50&lt;&gt;""),$A50&amp;"|"&amp;$B50,"")</f>
        <v/>
      </c>
    </row>
    <row r="51" ht="15.75" customHeight="1" s="74">
      <c r="I51" s="11">
        <f>IF($B51&lt;&gt;"",$B51,"")</f>
        <v/>
      </c>
      <c r="Z51" s="11">
        <f>IF(AND($A51&lt;&gt;"",$B51&lt;&gt;""),$A51&amp;"|"&amp;$B51,"")</f>
        <v/>
      </c>
    </row>
    <row r="52" ht="15.75" customHeight="1" s="74">
      <c r="I52" s="11">
        <f>IF($B52&lt;&gt;"",$B52,"")</f>
        <v/>
      </c>
      <c r="Z52" s="11">
        <f>IF(AND($A52&lt;&gt;"",$B52&lt;&gt;""),$A52&amp;"|"&amp;$B52,"")</f>
        <v/>
      </c>
    </row>
    <row r="53" ht="15.75" customHeight="1" s="74">
      <c r="I53" s="11">
        <f>IF($B53&lt;&gt;"",$B53,"")</f>
        <v/>
      </c>
      <c r="Z53" s="11">
        <f>IF(AND($A53&lt;&gt;"",$B53&lt;&gt;""),$A53&amp;"|"&amp;$B53,"")</f>
        <v/>
      </c>
    </row>
    <row r="54" ht="15.75" customHeight="1" s="74">
      <c r="I54" s="11">
        <f>IF($B54&lt;&gt;"",$B54,"")</f>
        <v/>
      </c>
      <c r="Z54" s="11">
        <f>IF(AND($A54&lt;&gt;"",$B54&lt;&gt;""),$A54&amp;"|"&amp;$B54,"")</f>
        <v/>
      </c>
    </row>
    <row r="55" ht="15.75" customHeight="1" s="74">
      <c r="I55" s="11">
        <f>IF($B55&lt;&gt;"",$B55,"")</f>
        <v/>
      </c>
      <c r="Z55" s="11">
        <f>IF(AND($A55&lt;&gt;"",$B55&lt;&gt;""),$A55&amp;"|"&amp;$B55,"")</f>
        <v/>
      </c>
    </row>
    <row r="56" ht="15.75" customHeight="1" s="74">
      <c r="I56" s="11">
        <f>IF($B56&lt;&gt;"",$B56,"")</f>
        <v/>
      </c>
      <c r="Z56" s="11">
        <f>IF(AND($A56&lt;&gt;"",$B56&lt;&gt;""),$A56&amp;"|"&amp;$B56,"")</f>
        <v/>
      </c>
    </row>
    <row r="57" ht="15.75" customHeight="1" s="74">
      <c r="I57" s="11">
        <f>IF($B57&lt;&gt;"",$B57,"")</f>
        <v/>
      </c>
      <c r="Z57" s="11">
        <f>IF(AND($A57&lt;&gt;"",$B57&lt;&gt;""),$A57&amp;"|"&amp;$B57,"")</f>
        <v/>
      </c>
    </row>
    <row r="58" ht="15.75" customHeight="1" s="74">
      <c r="I58" s="11">
        <f>IF($B58&lt;&gt;"",$B58,"")</f>
        <v/>
      </c>
      <c r="Z58" s="11">
        <f>IF(AND($A58&lt;&gt;"",$B58&lt;&gt;""),$A58&amp;"|"&amp;$B58,"")</f>
        <v/>
      </c>
    </row>
    <row r="59" ht="15.75" customHeight="1" s="74">
      <c r="I59" s="11">
        <f>IF($B59&lt;&gt;"",$B59,"")</f>
        <v/>
      </c>
      <c r="Z59" s="11">
        <f>IF(AND($A59&lt;&gt;"",$B59&lt;&gt;""),$A59&amp;"|"&amp;$B59,"")</f>
        <v/>
      </c>
    </row>
    <row r="60" ht="15.75" customHeight="1" s="74">
      <c r="I60" s="11">
        <f>IF($B60&lt;&gt;"",$B60,"")</f>
        <v/>
      </c>
      <c r="Z60" s="11">
        <f>IF(AND($A60&lt;&gt;"",$B60&lt;&gt;""),$A60&amp;"|"&amp;$B60,"")</f>
        <v/>
      </c>
    </row>
    <row r="61" ht="15.75" customHeight="1" s="74">
      <c r="I61" s="11">
        <f>IF($B61&lt;&gt;"",$B61,"")</f>
        <v/>
      </c>
      <c r="Z61" s="11">
        <f>IF(AND($A61&lt;&gt;"",$B61&lt;&gt;""),$A61&amp;"|"&amp;$B61,"")</f>
        <v/>
      </c>
    </row>
    <row r="62" ht="15.75" customHeight="1" s="74">
      <c r="I62" s="11">
        <f>IF($B62&lt;&gt;"",$B62,"")</f>
        <v/>
      </c>
      <c r="Z62" s="11">
        <f>IF(AND($A62&lt;&gt;"",$B62&lt;&gt;""),$A62&amp;"|"&amp;$B62,"")</f>
        <v/>
      </c>
    </row>
    <row r="63" ht="15.75" customHeight="1" s="74">
      <c r="I63" s="11">
        <f>IF($B63&lt;&gt;"",$B63,"")</f>
        <v/>
      </c>
      <c r="Z63" s="11">
        <f>IF(AND($A63&lt;&gt;"",$B63&lt;&gt;""),$A63&amp;"|"&amp;$B63,"")</f>
        <v/>
      </c>
    </row>
    <row r="64" ht="15.75" customHeight="1" s="74">
      <c r="I64" s="11">
        <f>IF($B64&lt;&gt;"",$B64,"")</f>
        <v/>
      </c>
      <c r="Z64" s="11">
        <f>IF(AND($A64&lt;&gt;"",$B64&lt;&gt;""),$A64&amp;"|"&amp;$B64,"")</f>
        <v/>
      </c>
    </row>
    <row r="65" ht="15.75" customHeight="1" s="74">
      <c r="I65" s="11">
        <f>IF($B65&lt;&gt;"",$B65,"")</f>
        <v/>
      </c>
      <c r="Z65" s="11">
        <f>IF(AND($A65&lt;&gt;"",$B65&lt;&gt;""),$A65&amp;"|"&amp;$B65,"")</f>
        <v/>
      </c>
    </row>
    <row r="66" ht="15.75" customHeight="1" s="74">
      <c r="I66" s="11">
        <f>IF($B66&lt;&gt;"",$B66,"")</f>
        <v/>
      </c>
      <c r="Z66" s="11">
        <f>IF(AND($A66&lt;&gt;"",$B66&lt;&gt;""),$A66&amp;"|"&amp;$B66,"")</f>
        <v/>
      </c>
    </row>
    <row r="67" ht="15.75" customHeight="1" s="74">
      <c r="I67" s="11">
        <f>IF($B67&lt;&gt;"",$B67,"")</f>
        <v/>
      </c>
      <c r="Z67" s="11">
        <f>IF(AND($A67&lt;&gt;"",$B67&lt;&gt;""),$A67&amp;"|"&amp;$B67,"")</f>
        <v/>
      </c>
    </row>
    <row r="68" ht="15.75" customHeight="1" s="74">
      <c r="I68" s="11">
        <f>IF($B68&lt;&gt;"",$B68,"")</f>
        <v/>
      </c>
      <c r="Z68" s="11">
        <f>IF(AND($A68&lt;&gt;"",$B68&lt;&gt;""),$A68&amp;"|"&amp;$B68,"")</f>
        <v/>
      </c>
    </row>
    <row r="69" ht="15.75" customHeight="1" s="74">
      <c r="I69" s="11">
        <f>IF($B69&lt;&gt;"",$B69,"")</f>
        <v/>
      </c>
      <c r="Z69" s="11">
        <f>IF(AND($A69&lt;&gt;"",$B69&lt;&gt;""),$A69&amp;"|"&amp;$B69,"")</f>
        <v/>
      </c>
    </row>
    <row r="70" ht="15.75" customHeight="1" s="74">
      <c r="I70" s="11">
        <f>IF($B70&lt;&gt;"",$B70,"")</f>
        <v/>
      </c>
      <c r="Z70" s="11">
        <f>IF(AND($A70&lt;&gt;"",$B70&lt;&gt;""),$A70&amp;"|"&amp;$B70,"")</f>
        <v/>
      </c>
    </row>
    <row r="71" ht="15.75" customHeight="1" s="74">
      <c r="I71" s="11">
        <f>IF($B71&lt;&gt;"",$B71,"")</f>
        <v/>
      </c>
      <c r="Z71" s="11">
        <f>IF(AND($A71&lt;&gt;"",$B71&lt;&gt;""),$A71&amp;"|"&amp;$B71,"")</f>
        <v/>
      </c>
    </row>
    <row r="72" ht="15.75" customHeight="1" s="74">
      <c r="I72" s="11">
        <f>IF($B72&lt;&gt;"",$B72,"")</f>
        <v/>
      </c>
      <c r="Z72" s="11">
        <f>IF(AND($A72&lt;&gt;"",$B72&lt;&gt;""),$A72&amp;"|"&amp;$B72,"")</f>
        <v/>
      </c>
    </row>
    <row r="73" ht="15.75" customHeight="1" s="74">
      <c r="I73" s="11">
        <f>IF($B73&lt;&gt;"",$B73,"")</f>
        <v/>
      </c>
      <c r="Z73" s="11">
        <f>IF(AND($A73&lt;&gt;"",$B73&lt;&gt;""),$A73&amp;"|"&amp;$B73,"")</f>
        <v/>
      </c>
    </row>
    <row r="74" ht="15.75" customHeight="1" s="74">
      <c r="I74" s="11">
        <f>IF($B74&lt;&gt;"",$B74,"")</f>
        <v/>
      </c>
      <c r="Z74" s="11">
        <f>IF(AND($A74&lt;&gt;"",$B74&lt;&gt;""),$A74&amp;"|"&amp;$B74,"")</f>
        <v/>
      </c>
    </row>
    <row r="75" ht="15.75" customHeight="1" s="74">
      <c r="I75" s="11">
        <f>IF($B75&lt;&gt;"",$B75,"")</f>
        <v/>
      </c>
      <c r="Z75" s="11">
        <f>IF(AND($A75&lt;&gt;"",$B75&lt;&gt;""),$A75&amp;"|"&amp;$B75,"")</f>
        <v/>
      </c>
    </row>
    <row r="76" ht="15.75" customHeight="1" s="74">
      <c r="I76" s="11">
        <f>IF($B76&lt;&gt;"",$B76,"")</f>
        <v/>
      </c>
      <c r="Z76" s="11">
        <f>IF(AND($A76&lt;&gt;"",$B76&lt;&gt;""),$A76&amp;"|"&amp;$B76,"")</f>
        <v/>
      </c>
    </row>
    <row r="77" ht="15.75" customHeight="1" s="74">
      <c r="I77" s="11">
        <f>IF($B77&lt;&gt;"",$B77,"")</f>
        <v/>
      </c>
      <c r="Z77" s="11">
        <f>IF(AND($A77&lt;&gt;"",$B77&lt;&gt;""),$A77&amp;"|"&amp;$B77,"")</f>
        <v/>
      </c>
    </row>
    <row r="78" ht="15.75" customHeight="1" s="74">
      <c r="I78" s="11">
        <f>IF($B78&lt;&gt;"",$B78,"")</f>
        <v/>
      </c>
      <c r="Z78" s="11">
        <f>IF(AND($A78&lt;&gt;"",$B78&lt;&gt;""),$A78&amp;"|"&amp;$B78,"")</f>
        <v/>
      </c>
    </row>
    <row r="79" ht="15.75" customHeight="1" s="74">
      <c r="I79" s="11">
        <f>IF($B79&lt;&gt;"",$B79,"")</f>
        <v/>
      </c>
      <c r="Z79" s="11">
        <f>IF(AND($A79&lt;&gt;"",$B79&lt;&gt;""),$A79&amp;"|"&amp;$B79,"")</f>
        <v/>
      </c>
    </row>
    <row r="80" ht="15.75" customHeight="1" s="74">
      <c r="I80" s="11">
        <f>IF($B80&lt;&gt;"",$B80,"")</f>
        <v/>
      </c>
      <c r="Z80" s="11">
        <f>IF(AND($A80&lt;&gt;"",$B80&lt;&gt;""),$A80&amp;"|"&amp;$B80,"")</f>
        <v/>
      </c>
    </row>
    <row r="81" ht="15.75" customHeight="1" s="74">
      <c r="I81" s="11">
        <f>IF($B81&lt;&gt;"",$B81,"")</f>
        <v/>
      </c>
      <c r="Z81" s="11">
        <f>IF(AND($A81&lt;&gt;"",$B81&lt;&gt;""),$A81&amp;"|"&amp;$B81,"")</f>
        <v/>
      </c>
    </row>
    <row r="82" ht="15.75" customHeight="1" s="74">
      <c r="I82" s="11">
        <f>IF($B82&lt;&gt;"",$B82,"")</f>
        <v/>
      </c>
      <c r="Z82" s="11">
        <f>IF(AND($A82&lt;&gt;"",$B82&lt;&gt;""),$A82&amp;"|"&amp;$B82,"")</f>
        <v/>
      </c>
    </row>
    <row r="83" ht="15.75" customHeight="1" s="74">
      <c r="I83" s="11">
        <f>IF($B83&lt;&gt;"",$B83,"")</f>
        <v/>
      </c>
      <c r="Z83" s="11">
        <f>IF(AND($A83&lt;&gt;"",$B83&lt;&gt;""),$A83&amp;"|"&amp;$B83,"")</f>
        <v/>
      </c>
    </row>
    <row r="84" ht="15.75" customHeight="1" s="74">
      <c r="I84" s="11">
        <f>IF($B84&lt;&gt;"",$B84,"")</f>
        <v/>
      </c>
      <c r="Z84" s="11">
        <f>IF(AND($A84&lt;&gt;"",$B84&lt;&gt;""),$A84&amp;"|"&amp;$B84,"")</f>
        <v/>
      </c>
    </row>
    <row r="85" ht="15.75" customHeight="1" s="74">
      <c r="I85" s="11">
        <f>IF($B85&lt;&gt;"",$B85,"")</f>
        <v/>
      </c>
      <c r="Z85" s="11">
        <f>IF(AND($A85&lt;&gt;"",$B85&lt;&gt;""),$A85&amp;"|"&amp;$B85,"")</f>
        <v/>
      </c>
    </row>
    <row r="86" ht="15.75" customHeight="1" s="74">
      <c r="I86" s="11">
        <f>IF($B86&lt;&gt;"",$B86,"")</f>
        <v/>
      </c>
      <c r="Z86" s="11">
        <f>IF(AND($A86&lt;&gt;"",$B86&lt;&gt;""),$A86&amp;"|"&amp;$B86,"")</f>
        <v/>
      </c>
    </row>
    <row r="87" ht="15.75" customHeight="1" s="74">
      <c r="I87" s="11">
        <f>IF($B87&lt;&gt;"",$B87,"")</f>
        <v/>
      </c>
      <c r="Z87" s="11">
        <f>IF(AND($A87&lt;&gt;"",$B87&lt;&gt;""),$A87&amp;"|"&amp;$B87,"")</f>
        <v/>
      </c>
    </row>
    <row r="88" ht="15.75" customHeight="1" s="74">
      <c r="I88" s="11">
        <f>IF($B88&lt;&gt;"",$B88,"")</f>
        <v/>
      </c>
      <c r="Z88" s="11">
        <f>IF(AND($A88&lt;&gt;"",$B88&lt;&gt;""),$A88&amp;"|"&amp;$B88,"")</f>
        <v/>
      </c>
    </row>
    <row r="89" ht="15.75" customHeight="1" s="74">
      <c r="I89" s="11">
        <f>IF($B89&lt;&gt;"",$B89,"")</f>
        <v/>
      </c>
      <c r="Z89" s="11">
        <f>IF(AND($A89&lt;&gt;"",$B89&lt;&gt;""),$A89&amp;"|"&amp;$B89,"")</f>
        <v/>
      </c>
    </row>
    <row r="90" ht="15.75" customHeight="1" s="74">
      <c r="I90" s="11">
        <f>IF($B90&lt;&gt;"",$B90,"")</f>
        <v/>
      </c>
      <c r="Z90" s="11">
        <f>IF(AND($A90&lt;&gt;"",$B90&lt;&gt;""),$A90&amp;"|"&amp;$B90,"")</f>
        <v/>
      </c>
    </row>
    <row r="91" ht="15.75" customHeight="1" s="74">
      <c r="I91" s="11">
        <f>IF($B91&lt;&gt;"",$B91,"")</f>
        <v/>
      </c>
      <c r="Z91" s="11">
        <f>IF(AND($A91&lt;&gt;"",$B91&lt;&gt;""),$A91&amp;"|"&amp;$B91,"")</f>
        <v/>
      </c>
    </row>
    <row r="92" ht="15.75" customHeight="1" s="74">
      <c r="I92" s="11">
        <f>IF($B92&lt;&gt;"",$B92,"")</f>
        <v/>
      </c>
      <c r="Z92" s="11">
        <f>IF(AND($A92&lt;&gt;"",$B92&lt;&gt;""),$A92&amp;"|"&amp;$B92,"")</f>
        <v/>
      </c>
    </row>
    <row r="93" ht="15.75" customHeight="1" s="74">
      <c r="I93" s="11">
        <f>IF($B93&lt;&gt;"",$B93,"")</f>
        <v/>
      </c>
      <c r="Z93" s="11">
        <f>IF(AND($A93&lt;&gt;"",$B93&lt;&gt;""),$A93&amp;"|"&amp;$B93,"")</f>
        <v/>
      </c>
    </row>
    <row r="94" ht="15.75" customHeight="1" s="74">
      <c r="I94" s="11">
        <f>IF($B94&lt;&gt;"",$B94,"")</f>
        <v/>
      </c>
      <c r="Z94" s="11">
        <f>IF(AND($A94&lt;&gt;"",$B94&lt;&gt;""),$A94&amp;"|"&amp;$B94,"")</f>
        <v/>
      </c>
    </row>
    <row r="95" ht="15.75" customHeight="1" s="74">
      <c r="I95" s="11">
        <f>IF($B95&lt;&gt;"",$B95,"")</f>
        <v/>
      </c>
      <c r="Z95" s="11">
        <f>IF(AND($A95&lt;&gt;"",$B95&lt;&gt;""),$A95&amp;"|"&amp;$B95,"")</f>
        <v/>
      </c>
    </row>
    <row r="96" ht="15.75" customHeight="1" s="74">
      <c r="I96" s="11">
        <f>IF($B96&lt;&gt;"",$B96,"")</f>
        <v/>
      </c>
      <c r="Z96" s="11">
        <f>IF(AND($A96&lt;&gt;"",$B96&lt;&gt;""),$A96&amp;"|"&amp;$B96,"")</f>
        <v/>
      </c>
    </row>
    <row r="97" ht="15.75" customHeight="1" s="74">
      <c r="I97" s="11">
        <f>IF($B97&lt;&gt;"",$B97,"")</f>
        <v/>
      </c>
      <c r="Z97" s="11">
        <f>IF(AND($A97&lt;&gt;"",$B97&lt;&gt;""),$A97&amp;"|"&amp;$B97,"")</f>
        <v/>
      </c>
    </row>
    <row r="98" ht="15.75" customHeight="1" s="74">
      <c r="I98" s="11">
        <f>IF($B98&lt;&gt;"",$B98,"")</f>
        <v/>
      </c>
      <c r="Z98" s="11">
        <f>IF(AND($A98&lt;&gt;"",$B98&lt;&gt;""),$A98&amp;"|"&amp;$B98,"")</f>
        <v/>
      </c>
    </row>
    <row r="99" ht="15.75" customHeight="1" s="74">
      <c r="I99" s="11">
        <f>IF($B99&lt;&gt;"",$B99,"")</f>
        <v/>
      </c>
      <c r="Z99" s="11">
        <f>IF(AND($A99&lt;&gt;"",$B99&lt;&gt;""),$A99&amp;"|"&amp;$B99,"")</f>
        <v/>
      </c>
    </row>
    <row r="100" ht="15.75" customHeight="1" s="74">
      <c r="I100" s="11">
        <f>IF($B100&lt;&gt;"",$B100,"")</f>
        <v/>
      </c>
      <c r="Z100" s="11">
        <f>IF(AND($A100&lt;&gt;"",$B100&lt;&gt;""),$A100&amp;"|"&amp;$B100,"")</f>
        <v/>
      </c>
    </row>
    <row r="101" ht="15.75" customHeight="1" s="74">
      <c r="Z101" s="11">
        <f>IF(AND($A101&lt;&gt;"",$B101&lt;&gt;""),$A101&amp;"|"&amp;$B101,"")</f>
        <v/>
      </c>
    </row>
    <row r="102" ht="15.75" customHeight="1" s="74">
      <c r="Z102" s="11">
        <f>IF(AND($A102&lt;&gt;"",$B102&lt;&gt;""),$A102&amp;"|"&amp;$B102,"")</f>
        <v/>
      </c>
    </row>
    <row r="103" ht="15.75" customHeight="1" s="74">
      <c r="Z103" s="11">
        <f>IF(AND($A103&lt;&gt;"",$B103&lt;&gt;""),$A103&amp;"|"&amp;$B103,"")</f>
        <v/>
      </c>
    </row>
    <row r="104" ht="15.75" customHeight="1" s="74">
      <c r="Z104" s="11">
        <f>IF(AND($A104&lt;&gt;"",$B104&lt;&gt;""),$A104&amp;"|"&amp;$B104,"")</f>
        <v/>
      </c>
    </row>
    <row r="105" ht="15.75" customHeight="1" s="74">
      <c r="Z105" s="11">
        <f>IF(AND($A105&lt;&gt;"",$B105&lt;&gt;""),$A105&amp;"|"&amp;$B105,"")</f>
        <v/>
      </c>
    </row>
    <row r="106" ht="15.75" customHeight="1" s="74">
      <c r="Z106" s="11">
        <f>IF(AND($A106&lt;&gt;"",$B106&lt;&gt;""),$A106&amp;"|"&amp;$B106,"")</f>
        <v/>
      </c>
    </row>
    <row r="107" ht="15.75" customHeight="1" s="74">
      <c r="Z107" s="11">
        <f>IF(AND($A107&lt;&gt;"",$B107&lt;&gt;""),$A107&amp;"|"&amp;$B107,"")</f>
        <v/>
      </c>
    </row>
    <row r="108" ht="15.75" customHeight="1" s="74">
      <c r="Z108" s="11">
        <f>IF(AND($A108&lt;&gt;"",$B108&lt;&gt;""),$A108&amp;"|"&amp;$B108,"")</f>
        <v/>
      </c>
    </row>
    <row r="109" ht="15.75" customHeight="1" s="74">
      <c r="Z109" s="11">
        <f>IF(AND($A109&lt;&gt;"",$B109&lt;&gt;""),$A109&amp;"|"&amp;$B109,"")</f>
        <v/>
      </c>
    </row>
    <row r="110" ht="15.75" customHeight="1" s="74">
      <c r="Z110" s="11">
        <f>IF(AND($A110&lt;&gt;"",$B110&lt;&gt;""),$A110&amp;"|"&amp;$B110,"")</f>
        <v/>
      </c>
    </row>
    <row r="111" ht="15.75" customHeight="1" s="74">
      <c r="Z111" s="11">
        <f>IF(AND($A111&lt;&gt;"",$B111&lt;&gt;""),$A111&amp;"|"&amp;$B111,"")</f>
        <v/>
      </c>
    </row>
    <row r="112" ht="15.75" customHeight="1" s="74">
      <c r="Z112" s="11">
        <f>IF(AND($A112&lt;&gt;"",$B112&lt;&gt;""),$A112&amp;"|"&amp;$B112,"")</f>
        <v/>
      </c>
    </row>
    <row r="113" ht="15.75" customHeight="1" s="74">
      <c r="Z113" s="11">
        <f>IF(AND($A113&lt;&gt;"",$B113&lt;&gt;""),$A113&amp;"|"&amp;$B113,"")</f>
        <v/>
      </c>
    </row>
    <row r="114" ht="15.75" customHeight="1" s="74">
      <c r="Z114" s="11">
        <f>IF(AND($A114&lt;&gt;"",$B114&lt;&gt;""),$A114&amp;"|"&amp;$B114,"")</f>
        <v/>
      </c>
    </row>
    <row r="115" ht="15.75" customHeight="1" s="74">
      <c r="Z115" s="11">
        <f>IF(AND($A115&lt;&gt;"",$B115&lt;&gt;""),$A115&amp;"|"&amp;$B115,"")</f>
        <v/>
      </c>
    </row>
    <row r="116" ht="15.75" customHeight="1" s="74">
      <c r="Z116" s="11">
        <f>IF(AND($A116&lt;&gt;"",$B116&lt;&gt;""),$A116&amp;"|"&amp;$B116,"")</f>
        <v/>
      </c>
    </row>
    <row r="117" ht="15.75" customHeight="1" s="74">
      <c r="Z117" s="11">
        <f>IF(AND($A117&lt;&gt;"",$B117&lt;&gt;""),$A117&amp;"|"&amp;$B117,"")</f>
        <v/>
      </c>
    </row>
    <row r="118" ht="15.75" customHeight="1" s="74">
      <c r="Z118" s="11">
        <f>IF(AND($A118&lt;&gt;"",$B118&lt;&gt;""),$A118&amp;"|"&amp;$B118,"")</f>
        <v/>
      </c>
    </row>
    <row r="119" ht="15.75" customHeight="1" s="74">
      <c r="Z119" s="11">
        <f>IF(AND($A119&lt;&gt;"",$B119&lt;&gt;""),$A119&amp;"|"&amp;$B119,"")</f>
        <v/>
      </c>
    </row>
    <row r="120" ht="15.75" customHeight="1" s="74">
      <c r="Z120" s="11">
        <f>IF(AND($A120&lt;&gt;"",$B120&lt;&gt;""),$A120&amp;"|"&amp;$B120,"")</f>
        <v/>
      </c>
    </row>
    <row r="121" ht="15.75" customHeight="1" s="74">
      <c r="Z121" s="11">
        <f>IF(AND($A121&lt;&gt;"",$B121&lt;&gt;""),$A121&amp;"|"&amp;$B121,"")</f>
        <v/>
      </c>
    </row>
    <row r="122" ht="15.75" customHeight="1" s="74">
      <c r="Z122" s="11">
        <f>IF(AND($A122&lt;&gt;"",$B122&lt;&gt;""),$A122&amp;"|"&amp;$B122,"")</f>
        <v/>
      </c>
    </row>
    <row r="123" ht="15.75" customHeight="1" s="74">
      <c r="Z123" s="11">
        <f>IF(AND($A123&lt;&gt;"",$B123&lt;&gt;""),$A123&amp;"|"&amp;$B123,"")</f>
        <v/>
      </c>
    </row>
    <row r="124" ht="15.75" customHeight="1" s="74">
      <c r="Z124" s="11">
        <f>IF(AND($A124&lt;&gt;"",$B124&lt;&gt;""),$A124&amp;"|"&amp;$B124,"")</f>
        <v/>
      </c>
    </row>
    <row r="125" ht="15.75" customHeight="1" s="74">
      <c r="Z125" s="11">
        <f>IF(AND($A125&lt;&gt;"",$B125&lt;&gt;""),$A125&amp;"|"&amp;$B125,"")</f>
        <v/>
      </c>
    </row>
    <row r="126" ht="15.75" customHeight="1" s="74">
      <c r="Z126" s="11">
        <f>IF(AND($A126&lt;&gt;"",$B126&lt;&gt;""),$A126&amp;"|"&amp;$B126,"")</f>
        <v/>
      </c>
    </row>
    <row r="127" ht="15.75" customHeight="1" s="74">
      <c r="Z127" s="11">
        <f>IF(AND($A127&lt;&gt;"",$B127&lt;&gt;""),$A127&amp;"|"&amp;$B127,"")</f>
        <v/>
      </c>
    </row>
    <row r="128" ht="15.75" customHeight="1" s="74">
      <c r="Z128" s="11">
        <f>IF(AND($A128&lt;&gt;"",$B128&lt;&gt;""),$A128&amp;"|"&amp;$B128,"")</f>
        <v/>
      </c>
    </row>
    <row r="129" ht="15.75" customHeight="1" s="74">
      <c r="Z129" s="11">
        <f>IF(AND($A129&lt;&gt;"",$B129&lt;&gt;""),$A129&amp;"|"&amp;$B129,"")</f>
        <v/>
      </c>
    </row>
    <row r="130" ht="15.75" customHeight="1" s="74">
      <c r="Z130" s="11">
        <f>IF(AND($A130&lt;&gt;"",$B130&lt;&gt;""),$A130&amp;"|"&amp;$B130,"")</f>
        <v/>
      </c>
    </row>
    <row r="131" ht="15.75" customHeight="1" s="74">
      <c r="Z131" s="11">
        <f>IF(AND($A131&lt;&gt;"",$B131&lt;&gt;""),$A131&amp;"|"&amp;$B131,"")</f>
        <v/>
      </c>
    </row>
    <row r="132" ht="15.75" customHeight="1" s="74">
      <c r="Z132" s="11">
        <f>IF(AND($A132&lt;&gt;"",$B132&lt;&gt;""),$A132&amp;"|"&amp;$B132,"")</f>
        <v/>
      </c>
    </row>
    <row r="133" ht="15.75" customHeight="1" s="74">
      <c r="Z133" s="11">
        <f>IF(AND($A133&lt;&gt;"",$B133&lt;&gt;""),$A133&amp;"|"&amp;$B133,"")</f>
        <v/>
      </c>
    </row>
    <row r="134" ht="15.75" customHeight="1" s="74">
      <c r="Z134" s="11">
        <f>IF(AND($A134&lt;&gt;"",$B134&lt;&gt;""),$A134&amp;"|"&amp;$B134,"")</f>
        <v/>
      </c>
    </row>
    <row r="135" ht="15.75" customHeight="1" s="74">
      <c r="Z135" s="11">
        <f>IF(AND($A135&lt;&gt;"",$B135&lt;&gt;""),$A135&amp;"|"&amp;$B135,"")</f>
        <v/>
      </c>
    </row>
    <row r="136" ht="15.75" customHeight="1" s="74">
      <c r="Z136" s="11">
        <f>IF(AND($A136&lt;&gt;"",$B136&lt;&gt;""),$A136&amp;"|"&amp;$B136,"")</f>
        <v/>
      </c>
    </row>
    <row r="137" ht="15.75" customHeight="1" s="74">
      <c r="Z137" s="11">
        <f>IF(AND($A137&lt;&gt;"",$B137&lt;&gt;""),$A137&amp;"|"&amp;$B137,"")</f>
        <v/>
      </c>
    </row>
    <row r="138" ht="15.75" customHeight="1" s="74">
      <c r="Z138" s="11">
        <f>IF(AND($A138&lt;&gt;"",$B138&lt;&gt;""),$A138&amp;"|"&amp;$B138,"")</f>
        <v/>
      </c>
    </row>
    <row r="139" ht="15.75" customHeight="1" s="74">
      <c r="Z139" s="11">
        <f>IF(AND($A139&lt;&gt;"",$B139&lt;&gt;""),$A139&amp;"|"&amp;$B139,"")</f>
        <v/>
      </c>
    </row>
    <row r="140" ht="15.75" customHeight="1" s="74">
      <c r="Z140" s="11">
        <f>IF(AND($A140&lt;&gt;"",$B140&lt;&gt;""),$A140&amp;"|"&amp;$B140,"")</f>
        <v/>
      </c>
    </row>
    <row r="141" ht="15.75" customHeight="1" s="74">
      <c r="Z141" s="11">
        <f>IF(AND($A141&lt;&gt;"",$B141&lt;&gt;""),$A141&amp;"|"&amp;$B141,"")</f>
        <v/>
      </c>
    </row>
    <row r="142" ht="15.75" customHeight="1" s="74">
      <c r="Z142" s="11">
        <f>IF(AND($A142&lt;&gt;"",$B142&lt;&gt;""),$A142&amp;"|"&amp;$B142,"")</f>
        <v/>
      </c>
    </row>
    <row r="143" ht="15.75" customHeight="1" s="74">
      <c r="Z143" s="11">
        <f>IF(AND($A143&lt;&gt;"",$B143&lt;&gt;""),$A143&amp;"|"&amp;$B143,"")</f>
        <v/>
      </c>
    </row>
    <row r="144" ht="15.75" customHeight="1" s="74">
      <c r="Z144" s="11">
        <f>IF(AND($A144&lt;&gt;"",$B144&lt;&gt;""),$A144&amp;"|"&amp;$B144,"")</f>
        <v/>
      </c>
    </row>
    <row r="145" ht="15.75" customHeight="1" s="74">
      <c r="Z145" s="11">
        <f>IF(AND($A145&lt;&gt;"",$B145&lt;&gt;""),$A145&amp;"|"&amp;$B145,"")</f>
        <v/>
      </c>
    </row>
    <row r="146" ht="15.75" customHeight="1" s="74">
      <c r="Z146" s="11">
        <f>IF(AND($A146&lt;&gt;"",$B146&lt;&gt;""),$A146&amp;"|"&amp;$B146,"")</f>
        <v/>
      </c>
    </row>
    <row r="147" ht="15.75" customHeight="1" s="74">
      <c r="Z147" s="11">
        <f>IF(AND($A147&lt;&gt;"",$B147&lt;&gt;""),$A147&amp;"|"&amp;$B147,"")</f>
        <v/>
      </c>
    </row>
    <row r="148" ht="15.75" customHeight="1" s="74">
      <c r="Z148" s="11">
        <f>IF(AND($A148&lt;&gt;"",$B148&lt;&gt;""),$A148&amp;"|"&amp;$B148,"")</f>
        <v/>
      </c>
    </row>
    <row r="149" ht="15.75" customHeight="1" s="74">
      <c r="Z149" s="11">
        <f>IF(AND($A149&lt;&gt;"",$B149&lt;&gt;""),$A149&amp;"|"&amp;$B149,"")</f>
        <v/>
      </c>
    </row>
    <row r="150" ht="15.75" customHeight="1" s="74">
      <c r="Z150" s="11">
        <f>IF(AND($A150&lt;&gt;"",$B150&lt;&gt;""),$A150&amp;"|"&amp;$B150,"")</f>
        <v/>
      </c>
    </row>
    <row r="151" ht="15.75" customHeight="1" s="74">
      <c r="Z151" s="11">
        <f>IF(AND($A151&lt;&gt;"",$B151&lt;&gt;""),$A151&amp;"|"&amp;$B151,"")</f>
        <v/>
      </c>
    </row>
    <row r="152" ht="15.75" customHeight="1" s="74">
      <c r="Z152" s="11">
        <f>IF(AND($A152&lt;&gt;"",$B152&lt;&gt;""),$A152&amp;"|"&amp;$B152,"")</f>
        <v/>
      </c>
    </row>
    <row r="153" ht="15.75" customHeight="1" s="74">
      <c r="Z153" s="11">
        <f>IF(AND($A153&lt;&gt;"",$B153&lt;&gt;""),$A153&amp;"|"&amp;$B153,"")</f>
        <v/>
      </c>
    </row>
    <row r="154" ht="15.75" customHeight="1" s="74">
      <c r="Z154" s="11">
        <f>IF(AND($A154&lt;&gt;"",$B154&lt;&gt;""),$A154&amp;"|"&amp;$B154,"")</f>
        <v/>
      </c>
    </row>
    <row r="155" ht="15.75" customHeight="1" s="74">
      <c r="Z155" s="11">
        <f>IF(AND($A155&lt;&gt;"",$B155&lt;&gt;""),$A155&amp;"|"&amp;$B155,"")</f>
        <v/>
      </c>
    </row>
    <row r="156" ht="15.75" customHeight="1" s="74">
      <c r="Z156" s="11">
        <f>IF(AND($A156&lt;&gt;"",$B156&lt;&gt;""),$A156&amp;"|"&amp;$B156,"")</f>
        <v/>
      </c>
    </row>
    <row r="157" ht="15.75" customHeight="1" s="74">
      <c r="Z157" s="11">
        <f>IF(AND($A157&lt;&gt;"",$B157&lt;&gt;""),$A157&amp;"|"&amp;$B157,"")</f>
        <v/>
      </c>
    </row>
    <row r="158" ht="15.75" customHeight="1" s="74">
      <c r="Z158" s="11">
        <f>IF(AND($A158&lt;&gt;"",$B158&lt;&gt;""),$A158&amp;"|"&amp;$B158,"")</f>
        <v/>
      </c>
    </row>
    <row r="159" ht="15.75" customHeight="1" s="74">
      <c r="Z159" s="11">
        <f>IF(AND($A159&lt;&gt;"",$B159&lt;&gt;""),$A159&amp;"|"&amp;$B159,"")</f>
        <v/>
      </c>
    </row>
    <row r="160" ht="15.75" customHeight="1" s="74">
      <c r="Z160" s="11">
        <f>IF(AND($A160&lt;&gt;"",$B160&lt;&gt;""),$A160&amp;"|"&amp;$B160,"")</f>
        <v/>
      </c>
    </row>
    <row r="161" ht="15.75" customHeight="1" s="74">
      <c r="Z161" s="11">
        <f>IF(AND($A161&lt;&gt;"",$B161&lt;&gt;""),$A161&amp;"|"&amp;$B161,"")</f>
        <v/>
      </c>
    </row>
    <row r="162" ht="15.75" customHeight="1" s="74">
      <c r="Z162" s="11">
        <f>IF(AND($A162&lt;&gt;"",$B162&lt;&gt;""),$A162&amp;"|"&amp;$B162,"")</f>
        <v/>
      </c>
    </row>
    <row r="163" ht="15.75" customHeight="1" s="74">
      <c r="Z163" s="11">
        <f>IF(AND($A163&lt;&gt;"",$B163&lt;&gt;""),$A163&amp;"|"&amp;$B163,"")</f>
        <v/>
      </c>
    </row>
    <row r="164" ht="15.75" customHeight="1" s="74">
      <c r="Z164" s="11">
        <f>IF(AND($A164&lt;&gt;"",$B164&lt;&gt;""),$A164&amp;"|"&amp;$B164,"")</f>
        <v/>
      </c>
    </row>
    <row r="165" ht="15.75" customHeight="1" s="74">
      <c r="Z165" s="11">
        <f>IF(AND($A165&lt;&gt;"",$B165&lt;&gt;""),$A165&amp;"|"&amp;$B165,"")</f>
        <v/>
      </c>
    </row>
    <row r="166" ht="15.75" customHeight="1" s="74">
      <c r="Z166" s="11">
        <f>IF(AND($A166&lt;&gt;"",$B166&lt;&gt;""),$A166&amp;"|"&amp;$B166,"")</f>
        <v/>
      </c>
    </row>
    <row r="167" ht="15.75" customHeight="1" s="74">
      <c r="Z167" s="11">
        <f>IF(AND($A167&lt;&gt;"",$B167&lt;&gt;""),$A167&amp;"|"&amp;$B167,"")</f>
        <v/>
      </c>
    </row>
    <row r="168" ht="15.75" customHeight="1" s="74">
      <c r="Z168" s="11">
        <f>IF(AND($A168&lt;&gt;"",$B168&lt;&gt;""),$A168&amp;"|"&amp;$B168,"")</f>
        <v/>
      </c>
    </row>
    <row r="169" ht="15.75" customHeight="1" s="74">
      <c r="Z169" s="11">
        <f>IF(AND($A169&lt;&gt;"",$B169&lt;&gt;""),$A169&amp;"|"&amp;$B169,"")</f>
        <v/>
      </c>
    </row>
    <row r="170" ht="15.75" customHeight="1" s="74">
      <c r="Z170" s="11">
        <f>IF(AND($A170&lt;&gt;"",$B170&lt;&gt;""),$A170&amp;"|"&amp;$B170,"")</f>
        <v/>
      </c>
    </row>
    <row r="171" ht="15.75" customHeight="1" s="74">
      <c r="Z171" s="11">
        <f>IF(AND($A171&lt;&gt;"",$B171&lt;&gt;""),$A171&amp;"|"&amp;$B171,"")</f>
        <v/>
      </c>
    </row>
    <row r="172" ht="15.75" customHeight="1" s="74">
      <c r="Z172" s="11">
        <f>IF(AND($A172&lt;&gt;"",$B172&lt;&gt;""),$A172&amp;"|"&amp;$B172,"")</f>
        <v/>
      </c>
    </row>
    <row r="173" ht="15.75" customHeight="1" s="74">
      <c r="Z173" s="11">
        <f>IF(AND($A173&lt;&gt;"",$B173&lt;&gt;""),$A173&amp;"|"&amp;$B173,"")</f>
        <v/>
      </c>
    </row>
    <row r="174" ht="15.75" customHeight="1" s="74">
      <c r="Z174" s="11">
        <f>IF(AND($A174&lt;&gt;"",$B174&lt;&gt;""),$A174&amp;"|"&amp;$B174,"")</f>
        <v/>
      </c>
    </row>
    <row r="175" ht="15.75" customHeight="1" s="74">
      <c r="Z175" s="11">
        <f>IF(AND($A175&lt;&gt;"",$B175&lt;&gt;""),$A175&amp;"|"&amp;$B175,"")</f>
        <v/>
      </c>
    </row>
    <row r="176" ht="15.75" customHeight="1" s="74">
      <c r="Z176" s="11">
        <f>IF(AND($A176&lt;&gt;"",$B176&lt;&gt;""),$A176&amp;"|"&amp;$B176,"")</f>
        <v/>
      </c>
    </row>
    <row r="177" ht="15.75" customHeight="1" s="74">
      <c r="Z177" s="11">
        <f>IF(AND($A177&lt;&gt;"",$B177&lt;&gt;""),$A177&amp;"|"&amp;$B177,"")</f>
        <v/>
      </c>
    </row>
    <row r="178" ht="15.75" customHeight="1" s="74">
      <c r="Z178" s="11">
        <f>IF(AND($A178&lt;&gt;"",$B178&lt;&gt;""),$A178&amp;"|"&amp;$B178,"")</f>
        <v/>
      </c>
    </row>
    <row r="179" ht="15.75" customHeight="1" s="74">
      <c r="Z179" s="11">
        <f>IF(AND($A179&lt;&gt;"",$B179&lt;&gt;""),$A179&amp;"|"&amp;$B179,"")</f>
        <v/>
      </c>
    </row>
    <row r="180" ht="15.75" customHeight="1" s="74">
      <c r="Z180" s="11">
        <f>IF(AND($A180&lt;&gt;"",$B180&lt;&gt;""),$A180&amp;"|"&amp;$B180,"")</f>
        <v/>
      </c>
    </row>
    <row r="181" ht="15.75" customHeight="1" s="74">
      <c r="Z181" s="11">
        <f>IF(AND($A181&lt;&gt;"",$B181&lt;&gt;""),$A181&amp;"|"&amp;$B181,"")</f>
        <v/>
      </c>
    </row>
    <row r="182" ht="15.75" customHeight="1" s="74">
      <c r="Z182" s="11">
        <f>IF(AND($A182&lt;&gt;"",$B182&lt;&gt;""),$A182&amp;"|"&amp;$B182,"")</f>
        <v/>
      </c>
    </row>
    <row r="183" ht="15.75" customHeight="1" s="74">
      <c r="Z183" s="11">
        <f>IF(AND($A183&lt;&gt;"",$B183&lt;&gt;""),$A183&amp;"|"&amp;$B183,"")</f>
        <v/>
      </c>
    </row>
    <row r="184" ht="15.75" customHeight="1" s="74">
      <c r="Z184" s="11">
        <f>IF(AND($A184&lt;&gt;"",$B184&lt;&gt;""),$A184&amp;"|"&amp;$B184,"")</f>
        <v/>
      </c>
    </row>
    <row r="185" ht="15.75" customHeight="1" s="74">
      <c r="Z185" s="11">
        <f>IF(AND($A185&lt;&gt;"",$B185&lt;&gt;""),$A185&amp;"|"&amp;$B185,"")</f>
        <v/>
      </c>
    </row>
    <row r="186" ht="15.75" customHeight="1" s="74">
      <c r="Z186" s="11">
        <f>IF(AND($A186&lt;&gt;"",$B186&lt;&gt;""),$A186&amp;"|"&amp;$B186,"")</f>
        <v/>
      </c>
    </row>
    <row r="187" ht="15.75" customHeight="1" s="74">
      <c r="Z187" s="11">
        <f>IF(AND($A187&lt;&gt;"",$B187&lt;&gt;""),$A187&amp;"|"&amp;$B187,"")</f>
        <v/>
      </c>
    </row>
    <row r="188" ht="15.75" customHeight="1" s="74">
      <c r="Z188" s="11">
        <f>IF(AND($A188&lt;&gt;"",$B188&lt;&gt;""),$A188&amp;"|"&amp;$B188,"")</f>
        <v/>
      </c>
    </row>
    <row r="189" ht="15.75" customHeight="1" s="74">
      <c r="Z189" s="11">
        <f>IF(AND($A189&lt;&gt;"",$B189&lt;&gt;""),$A189&amp;"|"&amp;$B189,"")</f>
        <v/>
      </c>
    </row>
    <row r="190" ht="15.75" customHeight="1" s="74">
      <c r="Z190" s="11">
        <f>IF(AND($A190&lt;&gt;"",$B190&lt;&gt;""),$A190&amp;"|"&amp;$B190,"")</f>
        <v/>
      </c>
    </row>
    <row r="191" ht="15.75" customHeight="1" s="74">
      <c r="Z191" s="11">
        <f>IF(AND($A191&lt;&gt;"",$B191&lt;&gt;""),$A191&amp;"|"&amp;$B191,"")</f>
        <v/>
      </c>
    </row>
    <row r="192" ht="15.75" customHeight="1" s="74">
      <c r="Z192" s="11">
        <f>IF(AND($A192&lt;&gt;"",$B192&lt;&gt;""),$A192&amp;"|"&amp;$B192,"")</f>
        <v/>
      </c>
    </row>
    <row r="193" ht="15.75" customHeight="1" s="74">
      <c r="Z193" s="11">
        <f>IF(AND($A193&lt;&gt;"",$B193&lt;&gt;""),$A193&amp;"|"&amp;$B193,"")</f>
        <v/>
      </c>
    </row>
    <row r="194" ht="15.75" customHeight="1" s="74">
      <c r="Z194" s="11">
        <f>IF(AND($A194&lt;&gt;"",$B194&lt;&gt;""),$A194&amp;"|"&amp;$B194,"")</f>
        <v/>
      </c>
    </row>
    <row r="195" ht="15.75" customHeight="1" s="74">
      <c r="Z195" s="11">
        <f>IF(AND($A195&lt;&gt;"",$B195&lt;&gt;""),$A195&amp;"|"&amp;$B195,"")</f>
        <v/>
      </c>
    </row>
    <row r="196" ht="15.75" customHeight="1" s="74">
      <c r="Z196" s="11">
        <f>IF(AND($A196&lt;&gt;"",$B196&lt;&gt;""),$A196&amp;"|"&amp;$B196,"")</f>
        <v/>
      </c>
    </row>
    <row r="197" ht="15.75" customHeight="1" s="74">
      <c r="Z197" s="11">
        <f>IF(AND($A197&lt;&gt;"",$B197&lt;&gt;""),$A197&amp;"|"&amp;$B197,"")</f>
        <v/>
      </c>
    </row>
    <row r="198" ht="15.75" customHeight="1" s="74">
      <c r="Z198" s="11">
        <f>IF(AND($A198&lt;&gt;"",$B198&lt;&gt;""),$A198&amp;"|"&amp;$B198,"")</f>
        <v/>
      </c>
    </row>
    <row r="199" ht="15.75" customHeight="1" s="74">
      <c r="Z199" s="11">
        <f>IF(AND($A199&lt;&gt;"",$B199&lt;&gt;""),$A199&amp;"|"&amp;$B199,"")</f>
        <v/>
      </c>
    </row>
    <row r="200" ht="15.75" customHeight="1" s="74">
      <c r="Z200" s="11">
        <f>IF(AND($A200&lt;&gt;"",$B200&lt;&gt;""),$A200&amp;"|"&amp;$B200,"")</f>
        <v/>
      </c>
    </row>
    <row r="201" ht="15.75" customHeight="1" s="74">
      <c r="Z201" s="11">
        <f>IF(AND($A201&lt;&gt;"",$B201&lt;&gt;""),$A201&amp;"|"&amp;$B201,"")</f>
        <v/>
      </c>
    </row>
    <row r="202" ht="15.75" customHeight="1" s="74">
      <c r="Z202" s="11">
        <f>IF(AND($A202&lt;&gt;"",$B202&lt;&gt;""),$A202&amp;"|"&amp;$B202,"")</f>
        <v/>
      </c>
    </row>
    <row r="203" ht="15.75" customHeight="1" s="74">
      <c r="Z203" s="11">
        <f>IF(AND($A203&lt;&gt;"",$B203&lt;&gt;""),$A203&amp;"|"&amp;$B203,"")</f>
        <v/>
      </c>
    </row>
    <row r="204" ht="15.75" customHeight="1" s="74">
      <c r="Z204" s="11">
        <f>IF(AND($A204&lt;&gt;"",$B204&lt;&gt;""),$A204&amp;"|"&amp;$B204,"")</f>
        <v/>
      </c>
    </row>
    <row r="205" ht="15.75" customHeight="1" s="74">
      <c r="Z205" s="11">
        <f>IF(AND($A205&lt;&gt;"",$B205&lt;&gt;""),$A205&amp;"|"&amp;$B205,"")</f>
        <v/>
      </c>
    </row>
    <row r="206" ht="15.75" customHeight="1" s="74">
      <c r="Z206" s="11">
        <f>IF(AND($A206&lt;&gt;"",$B206&lt;&gt;""),$A206&amp;"|"&amp;$B206,"")</f>
        <v/>
      </c>
    </row>
    <row r="207" ht="15.75" customHeight="1" s="74">
      <c r="Z207" s="11">
        <f>IF(AND($A207&lt;&gt;"",$B207&lt;&gt;""),$A207&amp;"|"&amp;$B207,"")</f>
        <v/>
      </c>
    </row>
    <row r="208" ht="15.75" customHeight="1" s="74">
      <c r="Z208" s="11">
        <f>IF(AND($A208&lt;&gt;"",$B208&lt;&gt;""),$A208&amp;"|"&amp;$B208,"")</f>
        <v/>
      </c>
    </row>
    <row r="209" ht="15.75" customHeight="1" s="74">
      <c r="Z209" s="11">
        <f>IF(AND($A209&lt;&gt;"",$B209&lt;&gt;""),$A209&amp;"|"&amp;$B209,"")</f>
        <v/>
      </c>
    </row>
    <row r="210" ht="15.75" customHeight="1" s="74">
      <c r="Z210" s="11">
        <f>IF(AND($A210&lt;&gt;"",$B210&lt;&gt;""),$A210&amp;"|"&amp;$B210,"")</f>
        <v/>
      </c>
    </row>
    <row r="211" ht="15.75" customHeight="1" s="74">
      <c r="Z211" s="11">
        <f>IF(AND($A211&lt;&gt;"",$B211&lt;&gt;""),$A211&amp;"|"&amp;$B211,"")</f>
        <v/>
      </c>
    </row>
    <row r="212" ht="15.75" customHeight="1" s="74">
      <c r="Z212" s="11">
        <f>IF(AND($A212&lt;&gt;"",$B212&lt;&gt;""),$A212&amp;"|"&amp;$B212,"")</f>
        <v/>
      </c>
    </row>
    <row r="213" ht="15.75" customHeight="1" s="74">
      <c r="Z213" s="11">
        <f>IF(AND($A213&lt;&gt;"",$B213&lt;&gt;""),$A213&amp;"|"&amp;$B213,"")</f>
        <v/>
      </c>
    </row>
    <row r="214" ht="15.75" customHeight="1" s="74">
      <c r="Z214" s="11">
        <f>IF(AND($A214&lt;&gt;"",$B214&lt;&gt;""),$A214&amp;"|"&amp;$B214,"")</f>
        <v/>
      </c>
    </row>
    <row r="215" ht="15.75" customHeight="1" s="74">
      <c r="Z215" s="11">
        <f>IF(AND($A215&lt;&gt;"",$B215&lt;&gt;""),$A215&amp;"|"&amp;$B215,"")</f>
        <v/>
      </c>
    </row>
    <row r="216" ht="15.75" customHeight="1" s="74">
      <c r="Z216" s="11">
        <f>IF(AND($A216&lt;&gt;"",$B216&lt;&gt;""),$A216&amp;"|"&amp;$B216,"")</f>
        <v/>
      </c>
    </row>
    <row r="217" ht="15.75" customHeight="1" s="74">
      <c r="Z217" s="11">
        <f>IF(AND($A217&lt;&gt;"",$B217&lt;&gt;""),$A217&amp;"|"&amp;$B217,"")</f>
        <v/>
      </c>
    </row>
    <row r="218" ht="15.75" customHeight="1" s="74">
      <c r="Z218" s="11">
        <f>IF(AND($A218&lt;&gt;"",$B218&lt;&gt;""),$A218&amp;"|"&amp;$B218,"")</f>
        <v/>
      </c>
    </row>
    <row r="219" ht="15.75" customHeight="1" s="74">
      <c r="Z219" s="11">
        <f>IF(AND($A219&lt;&gt;"",$B219&lt;&gt;""),$A219&amp;"|"&amp;$B219,"")</f>
        <v/>
      </c>
    </row>
    <row r="220" ht="15.75" customHeight="1" s="74">
      <c r="Z220" s="11">
        <f>IF(AND($A220&lt;&gt;"",$B220&lt;&gt;""),$A220&amp;"|"&amp;$B220,"")</f>
        <v/>
      </c>
    </row>
    <row r="221" ht="15.75" customHeight="1" s="74">
      <c r="Z221" s="11">
        <f>IF(AND($A221&lt;&gt;"",$B221&lt;&gt;""),$A221&amp;"|"&amp;$B221,"")</f>
        <v/>
      </c>
    </row>
    <row r="222" ht="15.75" customHeight="1" s="74">
      <c r="Z222" s="11">
        <f>IF(AND($A222&lt;&gt;"",$B222&lt;&gt;""),$A222&amp;"|"&amp;$B222,"")</f>
        <v/>
      </c>
    </row>
    <row r="223" ht="15.75" customHeight="1" s="74">
      <c r="Z223" s="11">
        <f>IF(AND($A223&lt;&gt;"",$B223&lt;&gt;""),$A223&amp;"|"&amp;$B223,"")</f>
        <v/>
      </c>
    </row>
    <row r="224" ht="15.75" customHeight="1" s="74">
      <c r="Z224" s="11">
        <f>IF(AND($A224&lt;&gt;"",$B224&lt;&gt;""),$A224&amp;"|"&amp;$B224,"")</f>
        <v/>
      </c>
    </row>
    <row r="225" ht="15.75" customHeight="1" s="74">
      <c r="Z225" s="11">
        <f>IF(AND($A225&lt;&gt;"",$B225&lt;&gt;""),$A225&amp;"|"&amp;$B225,"")</f>
        <v/>
      </c>
    </row>
    <row r="226" ht="15.75" customHeight="1" s="74">
      <c r="Z226" s="11">
        <f>IF(AND($A226&lt;&gt;"",$B226&lt;&gt;""),$A226&amp;"|"&amp;$B226,"")</f>
        <v/>
      </c>
    </row>
    <row r="227" ht="15.75" customHeight="1" s="74">
      <c r="Z227" s="11">
        <f>IF(AND($A227&lt;&gt;"",$B227&lt;&gt;""),$A227&amp;"|"&amp;$B227,"")</f>
        <v/>
      </c>
    </row>
    <row r="228" ht="15.75" customHeight="1" s="74">
      <c r="Z228" s="11">
        <f>IF(AND($A228&lt;&gt;"",$B228&lt;&gt;""),$A228&amp;"|"&amp;$B228,"")</f>
        <v/>
      </c>
    </row>
    <row r="229" ht="15.75" customHeight="1" s="74">
      <c r="Z229" s="11">
        <f>IF(AND($A229&lt;&gt;"",$B229&lt;&gt;""),$A229&amp;"|"&amp;$B229,"")</f>
        <v/>
      </c>
    </row>
    <row r="230" ht="15.75" customHeight="1" s="74">
      <c r="Z230" s="11">
        <f>IF(AND($A230&lt;&gt;"",$B230&lt;&gt;""),$A230&amp;"|"&amp;$B230,"")</f>
        <v/>
      </c>
    </row>
    <row r="231" ht="15.75" customHeight="1" s="74">
      <c r="Z231" s="11">
        <f>IF(AND($A231&lt;&gt;"",$B231&lt;&gt;""),$A231&amp;"|"&amp;$B231,"")</f>
        <v/>
      </c>
    </row>
    <row r="232" ht="15.75" customHeight="1" s="74">
      <c r="Z232" s="11">
        <f>IF(AND($A232&lt;&gt;"",$B232&lt;&gt;""),$A232&amp;"|"&amp;$B232,"")</f>
        <v/>
      </c>
    </row>
    <row r="233" ht="15.75" customHeight="1" s="74">
      <c r="Z233" s="11">
        <f>IF(AND($A233&lt;&gt;"",$B233&lt;&gt;""),$A233&amp;"|"&amp;$B233,"")</f>
        <v/>
      </c>
    </row>
    <row r="234" ht="15.75" customHeight="1" s="74">
      <c r="Z234" s="11">
        <f>IF(AND($A234&lt;&gt;"",$B234&lt;&gt;""),$A234&amp;"|"&amp;$B234,"")</f>
        <v/>
      </c>
    </row>
    <row r="235" ht="15.75" customHeight="1" s="74">
      <c r="Z235" s="11">
        <f>IF(AND($A235&lt;&gt;"",$B235&lt;&gt;""),$A235&amp;"|"&amp;$B235,"")</f>
        <v/>
      </c>
    </row>
    <row r="236" ht="15.75" customHeight="1" s="74">
      <c r="Z236" s="11">
        <f>IF(AND($A236&lt;&gt;"",$B236&lt;&gt;""),$A236&amp;"|"&amp;$B236,"")</f>
        <v/>
      </c>
    </row>
    <row r="237" ht="15.75" customHeight="1" s="74">
      <c r="Z237" s="11">
        <f>IF(AND($A237&lt;&gt;"",$B237&lt;&gt;""),$A237&amp;"|"&amp;$B237,"")</f>
        <v/>
      </c>
    </row>
    <row r="238" ht="15.75" customHeight="1" s="74">
      <c r="Z238" s="11">
        <f>IF(AND($A238&lt;&gt;"",$B238&lt;&gt;""),$A238&amp;"|"&amp;$B238,"")</f>
        <v/>
      </c>
    </row>
    <row r="239" ht="15.75" customHeight="1" s="74">
      <c r="Z239" s="11">
        <f>IF(AND($A239&lt;&gt;"",$B239&lt;&gt;""),$A239&amp;"|"&amp;$B239,"")</f>
        <v/>
      </c>
    </row>
    <row r="240" ht="15.75" customHeight="1" s="74">
      <c r="Z240" s="11">
        <f>IF(AND($A240&lt;&gt;"",$B240&lt;&gt;""),$A240&amp;"|"&amp;$B240,"")</f>
        <v/>
      </c>
    </row>
    <row r="241" ht="15.75" customHeight="1" s="74">
      <c r="Z241" s="11">
        <f>IF(AND($A241&lt;&gt;"",$B241&lt;&gt;""),$A241&amp;"|"&amp;$B241,"")</f>
        <v/>
      </c>
    </row>
    <row r="242" ht="15.75" customHeight="1" s="74">
      <c r="Z242" s="11">
        <f>IF(AND($A242&lt;&gt;"",$B242&lt;&gt;""),$A242&amp;"|"&amp;$B242,"")</f>
        <v/>
      </c>
    </row>
    <row r="243" ht="15.75" customHeight="1" s="74">
      <c r="Z243" s="11">
        <f>IF(AND($A243&lt;&gt;"",$B243&lt;&gt;""),$A243&amp;"|"&amp;$B243,"")</f>
        <v/>
      </c>
    </row>
    <row r="244" ht="15.75" customHeight="1" s="74">
      <c r="Z244" s="11">
        <f>IF(AND($A244&lt;&gt;"",$B244&lt;&gt;""),$A244&amp;"|"&amp;$B244,"")</f>
        <v/>
      </c>
    </row>
    <row r="245" ht="15.75" customHeight="1" s="74">
      <c r="Z245" s="11">
        <f>IF(AND($A245&lt;&gt;"",$B245&lt;&gt;""),$A245&amp;"|"&amp;$B245,"")</f>
        <v/>
      </c>
    </row>
    <row r="246" ht="15.75" customHeight="1" s="74">
      <c r="Z246" s="11">
        <f>IF(AND($A246&lt;&gt;"",$B246&lt;&gt;""),$A246&amp;"|"&amp;$B246,"")</f>
        <v/>
      </c>
    </row>
    <row r="247" ht="15.75" customHeight="1" s="74">
      <c r="Z247" s="11">
        <f>IF(AND($A247&lt;&gt;"",$B247&lt;&gt;""),$A247&amp;"|"&amp;$B247,"")</f>
        <v/>
      </c>
    </row>
    <row r="248" ht="15.75" customHeight="1" s="74">
      <c r="Z248" s="11">
        <f>IF(AND($A248&lt;&gt;"",$B248&lt;&gt;""),$A248&amp;"|"&amp;$B248,"")</f>
        <v/>
      </c>
    </row>
    <row r="249" ht="15.75" customHeight="1" s="74">
      <c r="Z249" s="11">
        <f>IF(AND($A249&lt;&gt;"",$B249&lt;&gt;""),$A249&amp;"|"&amp;$B249,"")</f>
        <v/>
      </c>
    </row>
    <row r="250" ht="15.75" customHeight="1" s="74">
      <c r="Z250" s="11">
        <f>IF(AND($A250&lt;&gt;"",$B250&lt;&gt;""),$A250&amp;"|"&amp;$B250,"")</f>
        <v/>
      </c>
    </row>
    <row r="251" ht="15.75" customHeight="1" s="74">
      <c r="Z251" s="11">
        <f>IF(AND($A251&lt;&gt;"",$B251&lt;&gt;""),$A251&amp;"|"&amp;$B251,"")</f>
        <v/>
      </c>
    </row>
    <row r="252" ht="15.75" customHeight="1" s="74">
      <c r="Z252" s="11">
        <f>IF(AND($A252&lt;&gt;"",$B252&lt;&gt;""),$A252&amp;"|"&amp;$B252,"")</f>
        <v/>
      </c>
    </row>
    <row r="253" ht="15.75" customHeight="1" s="74">
      <c r="Z253" s="11">
        <f>IF(AND($A253&lt;&gt;"",$B253&lt;&gt;""),$A253&amp;"|"&amp;$B253,"")</f>
        <v/>
      </c>
    </row>
    <row r="254" ht="15.75" customHeight="1" s="74">
      <c r="Z254" s="11">
        <f>IF(AND($A254&lt;&gt;"",$B254&lt;&gt;""),$A254&amp;"|"&amp;$B254,"")</f>
        <v/>
      </c>
    </row>
    <row r="255" ht="15.75" customHeight="1" s="74">
      <c r="Z255" s="11">
        <f>IF(AND($A255&lt;&gt;"",$B255&lt;&gt;""),$A255&amp;"|"&amp;$B255,"")</f>
        <v/>
      </c>
    </row>
    <row r="256" ht="15.75" customHeight="1" s="74">
      <c r="Z256" s="11">
        <f>IF(AND($A256&lt;&gt;"",$B256&lt;&gt;""),$A256&amp;"|"&amp;$B256,"")</f>
        <v/>
      </c>
    </row>
    <row r="257" ht="15.75" customHeight="1" s="74">
      <c r="Z257" s="11">
        <f>IF(AND($A257&lt;&gt;"",$B257&lt;&gt;""),$A257&amp;"|"&amp;$B257,"")</f>
        <v/>
      </c>
    </row>
    <row r="258" ht="15.75" customHeight="1" s="74">
      <c r="Z258" s="11">
        <f>IF(AND($A258&lt;&gt;"",$B258&lt;&gt;""),$A258&amp;"|"&amp;$B258,"")</f>
        <v/>
      </c>
    </row>
    <row r="259" ht="15.75" customHeight="1" s="74">
      <c r="Z259" s="11">
        <f>IF(AND($A259&lt;&gt;"",$B259&lt;&gt;""),$A259&amp;"|"&amp;$B259,"")</f>
        <v/>
      </c>
    </row>
    <row r="260" ht="15.75" customHeight="1" s="74">
      <c r="Z260" s="11">
        <f>IF(AND($A260&lt;&gt;"",$B260&lt;&gt;""),$A260&amp;"|"&amp;$B260,"")</f>
        <v/>
      </c>
    </row>
    <row r="261" ht="15.75" customHeight="1" s="74">
      <c r="Z261" s="11">
        <f>IF(AND($A261&lt;&gt;"",$B261&lt;&gt;""),$A261&amp;"|"&amp;$B261,"")</f>
        <v/>
      </c>
    </row>
    <row r="262" ht="15.75" customHeight="1" s="74">
      <c r="Z262" s="11">
        <f>IF(AND($A262&lt;&gt;"",$B262&lt;&gt;""),$A262&amp;"|"&amp;$B262,"")</f>
        <v/>
      </c>
    </row>
    <row r="263" ht="15.75" customHeight="1" s="74">
      <c r="Z263" s="11">
        <f>IF(AND($A263&lt;&gt;"",$B263&lt;&gt;""),$A263&amp;"|"&amp;$B263,"")</f>
        <v/>
      </c>
    </row>
    <row r="264" ht="15.75" customHeight="1" s="74">
      <c r="Z264" s="11">
        <f>IF(AND($A264&lt;&gt;"",$B264&lt;&gt;""),$A264&amp;"|"&amp;$B264,"")</f>
        <v/>
      </c>
    </row>
    <row r="265" ht="15.75" customHeight="1" s="74">
      <c r="Z265" s="11">
        <f>IF(AND($A265&lt;&gt;"",$B265&lt;&gt;""),$A265&amp;"|"&amp;$B265,"")</f>
        <v/>
      </c>
    </row>
    <row r="266" ht="15.75" customHeight="1" s="74">
      <c r="Z266" s="11">
        <f>IF(AND($A266&lt;&gt;"",$B266&lt;&gt;""),$A266&amp;"|"&amp;$B266,"")</f>
        <v/>
      </c>
    </row>
    <row r="267" ht="15.75" customHeight="1" s="74">
      <c r="Z267" s="11">
        <f>IF(AND($A267&lt;&gt;"",$B267&lt;&gt;""),$A267&amp;"|"&amp;$B267,"")</f>
        <v/>
      </c>
    </row>
    <row r="268" ht="15.75" customHeight="1" s="74">
      <c r="Z268" s="11">
        <f>IF(AND($A268&lt;&gt;"",$B268&lt;&gt;""),$A268&amp;"|"&amp;$B268,"")</f>
        <v/>
      </c>
    </row>
    <row r="269" ht="15.75" customHeight="1" s="74">
      <c r="Z269" s="11">
        <f>IF(AND($A269&lt;&gt;"",$B269&lt;&gt;""),$A269&amp;"|"&amp;$B269,"")</f>
        <v/>
      </c>
    </row>
    <row r="270" ht="15.75" customHeight="1" s="74">
      <c r="Z270" s="11">
        <f>IF(AND($A270&lt;&gt;"",$B270&lt;&gt;""),$A270&amp;"|"&amp;$B270,"")</f>
        <v/>
      </c>
    </row>
    <row r="271" ht="15.75" customHeight="1" s="74">
      <c r="Z271" s="11">
        <f>IF(AND($A271&lt;&gt;"",$B271&lt;&gt;""),$A271&amp;"|"&amp;$B271,"")</f>
        <v/>
      </c>
    </row>
    <row r="272" ht="15.75" customHeight="1" s="74">
      <c r="Z272" s="11">
        <f>IF(AND($A272&lt;&gt;"",$B272&lt;&gt;""),$A272&amp;"|"&amp;$B272,"")</f>
        <v/>
      </c>
    </row>
    <row r="273" ht="15.75" customHeight="1" s="74">
      <c r="Z273" s="11">
        <f>IF(AND($A273&lt;&gt;"",$B273&lt;&gt;""),$A273&amp;"|"&amp;$B273,"")</f>
        <v/>
      </c>
    </row>
    <row r="274" ht="15.75" customHeight="1" s="74">
      <c r="Z274" s="11">
        <f>IF(AND($A274&lt;&gt;"",$B274&lt;&gt;""),$A274&amp;"|"&amp;$B274,"")</f>
        <v/>
      </c>
    </row>
    <row r="275" ht="15.75" customHeight="1" s="74">
      <c r="Z275" s="11">
        <f>IF(AND($A275&lt;&gt;"",$B275&lt;&gt;""),$A275&amp;"|"&amp;$B275,"")</f>
        <v/>
      </c>
    </row>
    <row r="276" ht="15.75" customHeight="1" s="74">
      <c r="Z276" s="11">
        <f>IF(AND($A276&lt;&gt;"",$B276&lt;&gt;""),$A276&amp;"|"&amp;$B276,"")</f>
        <v/>
      </c>
    </row>
    <row r="277" ht="15.75" customHeight="1" s="74">
      <c r="Z277" s="11">
        <f>IF(AND($A277&lt;&gt;"",$B277&lt;&gt;""),$A277&amp;"|"&amp;$B277,"")</f>
        <v/>
      </c>
    </row>
    <row r="278" ht="15.75" customHeight="1" s="74">
      <c r="Z278" s="11">
        <f>IF(AND($A278&lt;&gt;"",$B278&lt;&gt;""),$A278&amp;"|"&amp;$B278,"")</f>
        <v/>
      </c>
    </row>
    <row r="279" ht="15.75" customHeight="1" s="74">
      <c r="Z279" s="11">
        <f>IF(AND($A279&lt;&gt;"",$B279&lt;&gt;""),$A279&amp;"|"&amp;$B279,"")</f>
        <v/>
      </c>
    </row>
    <row r="280" ht="15.75" customHeight="1" s="74">
      <c r="Z280" s="11">
        <f>IF(AND($A280&lt;&gt;"",$B280&lt;&gt;""),$A280&amp;"|"&amp;$B280,"")</f>
        <v/>
      </c>
    </row>
    <row r="281" ht="15.75" customHeight="1" s="74">
      <c r="Z281" s="11">
        <f>IF(AND($A281&lt;&gt;"",$B281&lt;&gt;""),$A281&amp;"|"&amp;$B281,"")</f>
        <v/>
      </c>
    </row>
    <row r="282" ht="15.75" customHeight="1" s="74">
      <c r="Z282" s="11">
        <f>IF(AND($A282&lt;&gt;"",$B282&lt;&gt;""),$A282&amp;"|"&amp;$B282,"")</f>
        <v/>
      </c>
    </row>
    <row r="283" ht="15.75" customHeight="1" s="74">
      <c r="Z283" s="11">
        <f>IF(AND($A283&lt;&gt;"",$B283&lt;&gt;""),$A283&amp;"|"&amp;$B283,"")</f>
        <v/>
      </c>
    </row>
    <row r="284" ht="15.75" customHeight="1" s="74">
      <c r="Z284" s="11">
        <f>IF(AND($A284&lt;&gt;"",$B284&lt;&gt;""),$A284&amp;"|"&amp;$B284,"")</f>
        <v/>
      </c>
    </row>
    <row r="285" ht="15.75" customHeight="1" s="74">
      <c r="Z285" s="11">
        <f>IF(AND($A285&lt;&gt;"",$B285&lt;&gt;""),$A285&amp;"|"&amp;$B285,"")</f>
        <v/>
      </c>
    </row>
    <row r="286" ht="15.75" customHeight="1" s="74">
      <c r="Z286" s="11">
        <f>IF(AND($A286&lt;&gt;"",$B286&lt;&gt;""),$A286&amp;"|"&amp;$B286,"")</f>
        <v/>
      </c>
    </row>
    <row r="287" ht="15.75" customHeight="1" s="74">
      <c r="Z287" s="11">
        <f>IF(AND($A287&lt;&gt;"",$B287&lt;&gt;""),$A287&amp;"|"&amp;$B287,"")</f>
        <v/>
      </c>
    </row>
    <row r="288" ht="15.75" customHeight="1" s="74">
      <c r="Z288" s="11">
        <f>IF(AND($A288&lt;&gt;"",$B288&lt;&gt;""),$A288&amp;"|"&amp;$B288,"")</f>
        <v/>
      </c>
    </row>
    <row r="289" ht="15.75" customHeight="1" s="74">
      <c r="Z289" s="11">
        <f>IF(AND($A289&lt;&gt;"",$B289&lt;&gt;""),$A289&amp;"|"&amp;$B289,"")</f>
        <v/>
      </c>
    </row>
    <row r="290" ht="15.75" customHeight="1" s="74">
      <c r="Z290" s="11">
        <f>IF(AND($A290&lt;&gt;"",$B290&lt;&gt;""),$A290&amp;"|"&amp;$B290,"")</f>
        <v/>
      </c>
    </row>
    <row r="291" ht="15.75" customHeight="1" s="74">
      <c r="Z291" s="11">
        <f>IF(AND($A291&lt;&gt;"",$B291&lt;&gt;""),$A291&amp;"|"&amp;$B291,"")</f>
        <v/>
      </c>
    </row>
    <row r="292" ht="15.75" customHeight="1" s="74">
      <c r="Z292" s="11">
        <f>IF(AND($A292&lt;&gt;"",$B292&lt;&gt;""),$A292&amp;"|"&amp;$B292,"")</f>
        <v/>
      </c>
    </row>
    <row r="293" ht="15.75" customHeight="1" s="74">
      <c r="Z293" s="11">
        <f>IF(AND($A293&lt;&gt;"",$B293&lt;&gt;""),$A293&amp;"|"&amp;$B293,"")</f>
        <v/>
      </c>
    </row>
    <row r="294" ht="15.75" customHeight="1" s="74">
      <c r="Z294" s="11">
        <f>IF(AND($A294&lt;&gt;"",$B294&lt;&gt;""),$A294&amp;"|"&amp;$B294,"")</f>
        <v/>
      </c>
    </row>
    <row r="295" ht="15.75" customHeight="1" s="74">
      <c r="Z295" s="11">
        <f>IF(AND($A295&lt;&gt;"",$B295&lt;&gt;""),$A295&amp;"|"&amp;$B295,"")</f>
        <v/>
      </c>
    </row>
    <row r="296" ht="15.75" customHeight="1" s="74">
      <c r="Z296" s="11">
        <f>IF(AND($A296&lt;&gt;"",$B296&lt;&gt;""),$A296&amp;"|"&amp;$B296,"")</f>
        <v/>
      </c>
    </row>
    <row r="297" ht="15.75" customHeight="1" s="74">
      <c r="Z297" s="11">
        <f>IF(AND($A297&lt;&gt;"",$B297&lt;&gt;""),$A297&amp;"|"&amp;$B297,"")</f>
        <v/>
      </c>
    </row>
    <row r="298" ht="15.75" customHeight="1" s="74">
      <c r="Z298" s="11">
        <f>IF(AND($A298&lt;&gt;"",$B298&lt;&gt;""),$A298&amp;"|"&amp;$B298,"")</f>
        <v/>
      </c>
    </row>
    <row r="299" ht="15.75" customHeight="1" s="74">
      <c r="Z299" s="11">
        <f>IF(AND($A299&lt;&gt;"",$B299&lt;&gt;""),$A299&amp;"|"&amp;$B299,"")</f>
        <v/>
      </c>
    </row>
    <row r="300" ht="15.75" customHeight="1" s="74">
      <c r="Z300" s="11">
        <f>IF(AND($A300&lt;&gt;"",$B300&lt;&gt;""),$A300&amp;"|"&amp;$B300,"")</f>
        <v/>
      </c>
    </row>
    <row r="301" ht="15.75" customHeight="1" s="74">
      <c r="Z301" s="11">
        <f>IF(AND($A301&lt;&gt;"",$B301&lt;&gt;""),$A301&amp;"|"&amp;$B301,"")</f>
        <v/>
      </c>
    </row>
    <row r="302" ht="15.75" customHeight="1" s="74">
      <c r="Z302" s="11">
        <f>IF(AND($A302&lt;&gt;"",$B302&lt;&gt;""),$A302&amp;"|"&amp;$B302,"")</f>
        <v/>
      </c>
    </row>
    <row r="303" ht="15.75" customHeight="1" s="74">
      <c r="Z303" s="11">
        <f>IF(AND($A303&lt;&gt;"",$B303&lt;&gt;""),$A303&amp;"|"&amp;$B303,"")</f>
        <v/>
      </c>
    </row>
    <row r="304" ht="15.75" customHeight="1" s="74">
      <c r="Z304" s="11">
        <f>IF(AND($A304&lt;&gt;"",$B304&lt;&gt;""),$A304&amp;"|"&amp;$B304,"")</f>
        <v/>
      </c>
    </row>
    <row r="305" ht="15.75" customHeight="1" s="74">
      <c r="Z305" s="11">
        <f>IF(AND($A305&lt;&gt;"",$B305&lt;&gt;""),$A305&amp;"|"&amp;$B305,"")</f>
        <v/>
      </c>
    </row>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F992"/>
  <sheetViews>
    <sheetView workbookViewId="0">
      <pane ySplit="1" topLeftCell="A2" activePane="bottomLeft" state="frozen"/>
      <selection pane="bottomLeft" activeCell="B3" sqref="B3"/>
    </sheetView>
  </sheetViews>
  <sheetFormatPr baseColWidth="8" defaultColWidth="14.43" defaultRowHeight="15" customHeight="1"/>
  <cols>
    <col width="68.56999999999999" customWidth="1" style="74" min="1" max="1"/>
    <col width="122.57" customWidth="1" style="74" min="2" max="2"/>
    <col width="16" customWidth="1" style="74" min="3" max="5"/>
    <col width="40" customWidth="1" style="74" min="6" max="27"/>
  </cols>
  <sheetData>
    <row r="1">
      <c r="A1" s="6" t="inlineStr">
        <is>
          <t>Phase</t>
        </is>
      </c>
      <c r="B1" s="6" t="inlineStr">
        <is>
          <t>Milestone Activties</t>
        </is>
      </c>
      <c r="C1" s="6" t="inlineStr">
        <is>
          <t>Low (hrs)</t>
        </is>
      </c>
      <c r="D1" s="6" t="inlineStr">
        <is>
          <t>Medium (hrs)</t>
        </is>
      </c>
      <c r="E1" s="6" t="inlineStr">
        <is>
          <t>High (hrs)</t>
        </is>
      </c>
      <c r="F1" s="89" t="inlineStr">
        <is>
          <t>Key</t>
        </is>
      </c>
    </row>
    <row r="2">
      <c r="A2" s="11" t="inlineStr">
        <is>
          <t>Implementation + Onboarding</t>
        </is>
      </c>
      <c r="B2" s="10" t="inlineStr">
        <is>
          <t>Program management and Steering Committee coordination</t>
        </is>
      </c>
      <c r="C2" s="73" t="n">
        <v>104</v>
      </c>
      <c r="D2" s="73" t="n">
        <v>120</v>
      </c>
      <c r="E2" s="73" t="n">
        <v>140</v>
      </c>
      <c r="F2" s="0">
        <f>A2&amp;"|"&amp;B2</f>
        <v/>
      </c>
    </row>
    <row r="3">
      <c r="A3" s="11" t="inlineStr">
        <is>
          <t>Scaled Rollout and Adoption</t>
        </is>
      </c>
      <c r="B3" s="10" t="inlineStr">
        <is>
          <t>Facilitating and supporting deliverables</t>
        </is>
      </c>
      <c r="C3" s="73" t="n">
        <v>20</v>
      </c>
      <c r="D3" s="73" t="n">
        <v>40</v>
      </c>
      <c r="E3" s="73" t="n">
        <v>60</v>
      </c>
      <c r="F3" s="0">
        <f>A3&amp;"|"&amp;B3</f>
        <v/>
      </c>
    </row>
    <row r="4" s="74">
      <c r="A4" s="11" t="inlineStr">
        <is>
          <t>Implementation + Onboarding</t>
        </is>
      </c>
      <c r="B4" s="10" t="inlineStr">
        <is>
          <t>Stakeholder Alignment Workshops</t>
        </is>
      </c>
      <c r="C4" s="73" t="n">
        <v>12</v>
      </c>
      <c r="D4" s="73" t="n">
        <v>18</v>
      </c>
      <c r="E4" s="73" t="n">
        <v>28</v>
      </c>
      <c r="F4" s="0">
        <f>A4&amp;"|"&amp;B4</f>
        <v/>
      </c>
    </row>
    <row r="5">
      <c r="A5" s="11" t="inlineStr">
        <is>
          <t>Implementation + Onboarding</t>
        </is>
      </c>
      <c r="B5" s="10" t="inlineStr">
        <is>
          <t>Change Readiness Assessment</t>
        </is>
      </c>
      <c r="C5" s="73" t="n">
        <v>6</v>
      </c>
      <c r="D5" s="73" t="n">
        <v>8</v>
      </c>
      <c r="E5" s="73" t="n">
        <v>16</v>
      </c>
      <c r="F5" s="0">
        <f>A5&amp;"|"&amp;B5</f>
        <v/>
      </c>
    </row>
    <row r="6">
      <c r="A6" s="11" t="inlineStr">
        <is>
          <t>Implementation + Onboarding</t>
        </is>
      </c>
      <c r="B6" s="10" t="inlineStr">
        <is>
          <t>Program management and coordination</t>
        </is>
      </c>
      <c r="C6" s="73" t="n">
        <v>20</v>
      </c>
      <c r="D6" s="73" t="n">
        <v>40</v>
      </c>
      <c r="E6" s="73" t="n">
        <v>70</v>
      </c>
      <c r="F6" s="0">
        <f>A6&amp;"|"&amp;B6</f>
        <v/>
      </c>
    </row>
    <row r="7">
      <c r="A7" s="11" t="inlineStr">
        <is>
          <t>Implementation + Onboarding</t>
        </is>
      </c>
      <c r="B7" s="10" t="inlineStr">
        <is>
          <t>Communication Launch Plan</t>
        </is>
      </c>
      <c r="C7" s="73" t="n">
        <v>6</v>
      </c>
      <c r="D7" s="73" t="n">
        <v>8</v>
      </c>
      <c r="E7" s="73" t="n">
        <v>16</v>
      </c>
      <c r="F7" s="0">
        <f>A7&amp;"|"&amp;B7</f>
        <v/>
      </c>
    </row>
    <row r="8">
      <c r="A8" s="11" t="inlineStr">
        <is>
          <t>Implementation + Onboarding</t>
        </is>
      </c>
      <c r="B8" s="10" t="inlineStr">
        <is>
          <t>Preparation</t>
        </is>
      </c>
      <c r="C8" s="73" t="n">
        <v>4</v>
      </c>
      <c r="D8" s="73" t="n">
        <v>8</v>
      </c>
      <c r="E8" s="73" t="n">
        <v>14</v>
      </c>
      <c r="F8" s="0">
        <f>A8&amp;"|"&amp;B8</f>
        <v/>
      </c>
    </row>
    <row r="9">
      <c r="A9" s="11" t="inlineStr">
        <is>
          <t>Implementation + Onboarding</t>
        </is>
      </c>
      <c r="B9" s="10" t="inlineStr">
        <is>
          <t>Local install support</t>
        </is>
      </c>
      <c r="C9" s="73" t="n">
        <v>8</v>
      </c>
      <c r="D9" s="73" t="n">
        <v>16</v>
      </c>
      <c r="E9" s="73" t="n">
        <v>28</v>
      </c>
      <c r="F9" s="0">
        <f>A9&amp;"|"&amp;B9</f>
        <v/>
      </c>
    </row>
    <row r="10">
      <c r="A10" s="11" t="inlineStr">
        <is>
          <t>Implementation + Onboarding</t>
        </is>
      </c>
      <c r="B10" s="10" t="inlineStr">
        <is>
          <t>Component rendering</t>
        </is>
      </c>
      <c r="C10" s="73" t="n">
        <v>8</v>
      </c>
      <c r="D10" s="73" t="n">
        <v>16</v>
      </c>
      <c r="E10" s="73" t="n">
        <v>28</v>
      </c>
      <c r="F10" s="0">
        <f>A10&amp;"|"&amp;B10</f>
        <v/>
      </c>
    </row>
    <row r="11">
      <c r="A11" s="11" t="inlineStr">
        <is>
          <t>Implementation + Onboarding</t>
        </is>
      </c>
      <c r="B11" s="10" t="inlineStr">
        <is>
          <t>SME support for rendering</t>
        </is>
      </c>
      <c r="C11" s="73" t="n">
        <v>12</v>
      </c>
      <c r="D11" s="73" t="n">
        <v>18</v>
      </c>
      <c r="E11" s="73" t="n">
        <v>28</v>
      </c>
      <c r="F11" s="0">
        <f>A11&amp;"|"&amp;B11</f>
        <v/>
      </c>
    </row>
    <row r="12">
      <c r="A12" s="11" t="inlineStr">
        <is>
          <t>Implementation + Onboarding</t>
        </is>
      </c>
      <c r="B12" s="10" t="inlineStr">
        <is>
          <t>Deployment support</t>
        </is>
      </c>
      <c r="C12" s="73" t="n">
        <v>4</v>
      </c>
      <c r="D12" s="73" t="n">
        <v>8</v>
      </c>
      <c r="E12" s="73" t="n">
        <v>14</v>
      </c>
      <c r="F12" s="0">
        <f>A12&amp;"|"&amp;B12</f>
        <v/>
      </c>
    </row>
    <row r="13">
      <c r="A13" s="11" t="inlineStr">
        <is>
          <t>Implementation + Onboarding</t>
        </is>
      </c>
      <c r="B13" s="10" t="inlineStr">
        <is>
          <t>FDE led Implementation + Architecture + Governance</t>
        </is>
      </c>
      <c r="C13" s="73" t="n">
        <v>400</v>
      </c>
      <c r="D13" s="73" t="n">
        <v>600</v>
      </c>
      <c r="E13" s="73" t="n">
        <v>800</v>
      </c>
      <c r="F13" s="0">
        <f>A13&amp;"|"&amp;B13</f>
        <v/>
      </c>
    </row>
    <row r="14">
      <c r="A14" s="11" t="inlineStr">
        <is>
          <t>Implementation + Onboarding</t>
        </is>
      </c>
      <c r="B14" s="10" t="inlineStr">
        <is>
          <t>Stakeholder Interviews/Workshops</t>
        </is>
      </c>
      <c r="C14" s="73" t="n">
        <v>20</v>
      </c>
      <c r="D14" s="73" t="n">
        <v>30</v>
      </c>
      <c r="E14" s="73" t="n">
        <v>45</v>
      </c>
      <c r="F14" s="0">
        <f>A14&amp;"|"&amp;B14</f>
        <v/>
      </c>
    </row>
    <row r="15">
      <c r="A15" s="11" t="inlineStr">
        <is>
          <t>Scaled Rollout and Adoption</t>
        </is>
      </c>
      <c r="B15" s="10" t="inlineStr">
        <is>
          <t>Pilot Enablement &amp; Feedback Loop</t>
        </is>
      </c>
      <c r="C15" s="73" t="n">
        <v>4</v>
      </c>
      <c r="D15" s="73" t="n">
        <v>6</v>
      </c>
      <c r="E15" s="73" t="n">
        <v>9</v>
      </c>
      <c r="F15" s="0">
        <f>A15&amp;"|"&amp;B15</f>
        <v/>
      </c>
    </row>
    <row r="16">
      <c r="A16" s="11" t="inlineStr">
        <is>
          <t>Scaled Rollout and Adoption</t>
        </is>
      </c>
      <c r="B16" s="10" t="inlineStr">
        <is>
          <t>Role-Based Training Enablement</t>
        </is>
      </c>
      <c r="C16" s="73" t="n">
        <v>8</v>
      </c>
      <c r="D16" s="73" t="n">
        <v>16</v>
      </c>
      <c r="E16" s="73" t="n">
        <v>28</v>
      </c>
      <c r="F16" s="0">
        <f>A16&amp;"|"&amp;B16</f>
        <v/>
      </c>
    </row>
    <row r="17">
      <c r="A17" s="11" t="inlineStr">
        <is>
          <t>Scaled Rollout and Adoption</t>
        </is>
      </c>
      <c r="B17" s="10" t="inlineStr">
        <is>
          <t>SME support for Deployment/DevOps</t>
        </is>
      </c>
      <c r="C17" s="73" t="n">
        <v>8</v>
      </c>
      <c r="D17" s="73" t="n">
        <v>18</v>
      </c>
      <c r="E17" s="73" t="n">
        <v>28</v>
      </c>
      <c r="F17" s="0">
        <f>A17&amp;"|"&amp;B17</f>
        <v/>
      </c>
    </row>
    <row r="18">
      <c r="A18" s="11" t="inlineStr">
        <is>
          <t>Scaled Rollout and Adoption</t>
        </is>
      </c>
      <c r="B18" s="10" t="inlineStr">
        <is>
          <t>Cloud authoring setup and testing</t>
        </is>
      </c>
      <c r="C18" s="73" t="n">
        <v>8</v>
      </c>
      <c r="D18" s="73" t="n">
        <v>16</v>
      </c>
      <c r="E18" s="73" t="n">
        <v>28</v>
      </c>
      <c r="F18" s="0">
        <f>A18&amp;"|"&amp;B18</f>
        <v/>
      </c>
    </row>
    <row r="19">
      <c r="A19" s="11" t="inlineStr">
        <is>
          <t>Scaled Rollout and Adoption</t>
        </is>
      </c>
      <c r="B19" s="10" t="inlineStr">
        <is>
          <t>SSO setup and testing</t>
        </is>
      </c>
      <c r="C19" s="73" t="n">
        <v>4</v>
      </c>
      <c r="D19" s="73" t="n">
        <v>8</v>
      </c>
      <c r="E19" s="73" t="n">
        <v>16</v>
      </c>
      <c r="F19" s="0">
        <f>A19&amp;"|"&amp;B19</f>
        <v/>
      </c>
    </row>
    <row r="20" ht="15.75" customHeight="1" s="74">
      <c r="A20" s="11" t="inlineStr">
        <is>
          <t>Scaled Rollout and Adoption</t>
        </is>
      </c>
      <c r="B20" s="10" t="inlineStr">
        <is>
          <t>Training - Eng / UX / Partners</t>
        </is>
      </c>
      <c r="C20" s="73" t="n">
        <v>8</v>
      </c>
      <c r="D20" s="73" t="n">
        <v>16</v>
      </c>
      <c r="E20" s="73" t="n">
        <v>28</v>
      </c>
      <c r="F20" s="0">
        <f>A20&amp;"|"&amp;B20</f>
        <v/>
      </c>
    </row>
    <row r="21" ht="15.75" customHeight="1" s="74">
      <c r="A21" s="11" t="inlineStr">
        <is>
          <t>Scaled Rollout and Adoption</t>
        </is>
      </c>
      <c r="B21" s="10" t="inlineStr">
        <is>
          <t>Workflow Diagrams</t>
        </is>
      </c>
      <c r="C21" s="73" t="n">
        <v>8</v>
      </c>
      <c r="D21" s="73" t="n">
        <v>16</v>
      </c>
      <c r="E21" s="73" t="n">
        <v>28</v>
      </c>
      <c r="F21" s="0">
        <f>A21&amp;"|"&amp;B21</f>
        <v/>
      </c>
    </row>
    <row r="22" ht="15.75" customHeight="1" s="74">
      <c r="A22" s="11" t="inlineStr">
        <is>
          <t>Scaled Rollout and Adoption</t>
        </is>
      </c>
      <c r="B22" s="10" t="inlineStr">
        <is>
          <t>Content planning and integration</t>
        </is>
      </c>
      <c r="C22" s="73" t="n">
        <v>20</v>
      </c>
      <c r="D22" s="73" t="n">
        <v>30</v>
      </c>
      <c r="E22" s="73" t="n">
        <v>45</v>
      </c>
      <c r="F22" s="0">
        <f>A22&amp;"|"&amp;B22</f>
        <v/>
      </c>
    </row>
    <row r="23" ht="15.75" customHeight="1" s="74">
      <c r="A23" s="11" t="inlineStr">
        <is>
          <t>Scaled Rollout and Adoption</t>
        </is>
      </c>
      <c r="B23" s="10" t="inlineStr">
        <is>
          <t>Advanced Training - Partners + Contribution</t>
        </is>
      </c>
      <c r="C23" s="73" t="n">
        <v>6</v>
      </c>
      <c r="D23" s="73" t="n">
        <v>8</v>
      </c>
      <c r="E23" s="73" t="n">
        <v>16</v>
      </c>
      <c r="F23" s="0">
        <f>A23&amp;"|"&amp;B23</f>
        <v/>
      </c>
    </row>
    <row r="24" ht="15.75" customHeight="1" s="74">
      <c r="A24" s="11" t="inlineStr">
        <is>
          <t>Scaled Rollout and Adoption</t>
        </is>
      </c>
      <c r="B24" s="10" t="inlineStr">
        <is>
          <t>Phase Gate Strategic Recommendations + Documentation</t>
        </is>
      </c>
      <c r="C24" s="73" t="n">
        <v>4</v>
      </c>
      <c r="D24" s="73" t="n">
        <v>6</v>
      </c>
      <c r="E24" s="73" t="n">
        <v>9</v>
      </c>
      <c r="F24" s="0">
        <f>A24&amp;"|"&amp;B24</f>
        <v/>
      </c>
    </row>
    <row r="25" ht="15.75" customHeight="1" s="74">
      <c r="A25" s="11" t="inlineStr">
        <is>
          <t>Scaled Rollout and Adoption</t>
        </is>
      </c>
      <c r="B25" s="10" t="inlineStr">
        <is>
          <t>Pre-Cutover Readiness Review</t>
        </is>
      </c>
      <c r="C25" s="73" t="n">
        <v>4</v>
      </c>
      <c r="D25" s="73" t="n">
        <v>6</v>
      </c>
      <c r="E25" s="73" t="n">
        <v>9</v>
      </c>
      <c r="F25" s="0">
        <f>A25&amp;"|"&amp;B25</f>
        <v/>
      </c>
    </row>
    <row r="26" ht="15.75" customHeight="1" s="74">
      <c r="A26" s="11" t="inlineStr">
        <is>
          <t>Scaled Rollout and Adoption</t>
        </is>
      </c>
      <c r="B26" s="10" t="inlineStr">
        <is>
          <t>Data &amp; Configuration Freeze</t>
        </is>
      </c>
      <c r="C26" s="73" t="n">
        <v>4</v>
      </c>
      <c r="D26" s="73" t="n">
        <v>6</v>
      </c>
      <c r="E26" s="73" t="n">
        <v>9</v>
      </c>
      <c r="F26" s="0">
        <f>A26&amp;"|"&amp;B26</f>
        <v/>
      </c>
    </row>
    <row r="27" ht="15.75" customHeight="1" s="74">
      <c r="A27" s="11" t="inlineStr">
        <is>
          <t>Scaled Rollout and Adoption</t>
        </is>
      </c>
      <c r="B27" s="10" t="inlineStr">
        <is>
          <t>Final UAT &amp; Stakeholder Acceptance</t>
        </is>
      </c>
      <c r="C27" s="73" t="n">
        <v>8</v>
      </c>
      <c r="D27" s="73" t="n">
        <v>16</v>
      </c>
      <c r="E27" s="73" t="n">
        <v>28</v>
      </c>
      <c r="F27" s="0">
        <f>A27&amp;"|"&amp;B27</f>
        <v/>
      </c>
    </row>
    <row r="28" ht="15.75" customHeight="1" s="74">
      <c r="A28" s="11" t="inlineStr">
        <is>
          <t>Scaled Rollout and Adoption</t>
        </is>
      </c>
      <c r="B28" s="10" t="inlineStr">
        <is>
          <t>Change Impact Analysis</t>
        </is>
      </c>
      <c r="C28" s="73" t="n">
        <v>4</v>
      </c>
      <c r="D28" s="73" t="n">
        <v>6</v>
      </c>
      <c r="E28" s="73" t="n">
        <v>9</v>
      </c>
      <c r="F28" s="0">
        <f>A28&amp;"|"&amp;B28</f>
        <v/>
      </c>
    </row>
    <row r="29" ht="15.75" customHeight="1" s="74">
      <c r="A29" s="11" t="inlineStr">
        <is>
          <t>Scaled Rollout and Adoption</t>
        </is>
      </c>
      <c r="B29" s="10" t="inlineStr">
        <is>
          <t>Adoption Acceleration Campaign</t>
        </is>
      </c>
      <c r="C29" s="73" t="n">
        <v>8</v>
      </c>
      <c r="D29" s="73" t="n">
        <v>16</v>
      </c>
      <c r="E29" s="73" t="n">
        <v>28</v>
      </c>
      <c r="F29" s="0">
        <f>A29&amp;"|"&amp;B29</f>
        <v/>
      </c>
    </row>
    <row r="30" ht="15.75" customHeight="1" s="74">
      <c r="A30" s="11" t="inlineStr">
        <is>
          <t>Scaled Rollout and Adoption</t>
        </is>
      </c>
      <c r="B30" s="10" t="inlineStr">
        <is>
          <t>Partner Enablement &amp; Recognition</t>
        </is>
      </c>
      <c r="C30" s="73" t="n">
        <v>8</v>
      </c>
      <c r="D30" s="73" t="n">
        <v>16</v>
      </c>
      <c r="E30" s="73" t="n">
        <v>28</v>
      </c>
      <c r="F30" s="0">
        <f>A30&amp;"|"&amp;B30</f>
        <v/>
      </c>
    </row>
    <row r="31" ht="15.75" customHeight="1" s="74">
      <c r="A31" s="11" t="inlineStr">
        <is>
          <t>Optimization and Continued Support</t>
        </is>
      </c>
      <c r="B31" s="10" t="inlineStr">
        <is>
          <t>Transition support</t>
        </is>
      </c>
      <c r="C31" s="73" t="n">
        <v>12</v>
      </c>
      <c r="D31" s="73" t="n">
        <v>18</v>
      </c>
      <c r="E31" s="73" t="n">
        <v>28</v>
      </c>
      <c r="F31" s="0">
        <f>A31&amp;"|"&amp;B31</f>
        <v/>
      </c>
    </row>
    <row r="32" ht="15.75" customHeight="1" s="74">
      <c r="A32" s="11" t="inlineStr">
        <is>
          <t>Optimization and Continued Support</t>
        </is>
      </c>
      <c r="B32" s="10" t="inlineStr">
        <is>
          <t>Cutover Execution</t>
        </is>
      </c>
      <c r="C32" s="73" t="n">
        <v>8</v>
      </c>
      <c r="D32" s="73" t="n">
        <v>16</v>
      </c>
      <c r="E32" s="73" t="n">
        <v>28</v>
      </c>
      <c r="F32" s="0">
        <f>A32&amp;"|"&amp;B32</f>
        <v/>
      </c>
    </row>
    <row r="33" ht="15.75" customHeight="1" s="74">
      <c r="A33" s="11" t="inlineStr">
        <is>
          <t>Optimization and Continued Support</t>
        </is>
      </c>
      <c r="B33" s="10" t="inlineStr">
        <is>
          <t>Go-Live Communication Launch</t>
        </is>
      </c>
      <c r="C33" s="73" t="n">
        <v>8</v>
      </c>
      <c r="D33" s="73" t="n">
        <v>16</v>
      </c>
      <c r="E33" s="73" t="n">
        <v>28</v>
      </c>
      <c r="F33" s="0">
        <f>A33&amp;"|"&amp;B33</f>
        <v/>
      </c>
    </row>
    <row r="34" ht="15.75" customHeight="1" s="74">
      <c r="A34" s="11" t="inlineStr">
        <is>
          <t>Optimization and Continued Support</t>
        </is>
      </c>
      <c r="B34" s="10" t="inlineStr">
        <is>
          <t>Hypercare Phase (Post-Go-Live Support)</t>
        </is>
      </c>
      <c r="C34" s="73" t="n">
        <v>45</v>
      </c>
      <c r="D34" s="73" t="n">
        <v>50</v>
      </c>
      <c r="E34" s="73" t="n">
        <v>55</v>
      </c>
      <c r="F34" s="0">
        <f>A34&amp;"|"&amp;B34</f>
        <v/>
      </c>
    </row>
    <row r="35" ht="15.75" customHeight="1" s="74">
      <c r="A35" s="11" t="inlineStr">
        <is>
          <t>Optimization and Continued Support</t>
        </is>
      </c>
      <c r="B35" s="10" t="inlineStr">
        <is>
          <t>Post-Implementation Review</t>
        </is>
      </c>
      <c r="C35" s="73" t="n">
        <v>4</v>
      </c>
      <c r="D35" s="73" t="n">
        <v>6</v>
      </c>
      <c r="E35" s="73" t="n">
        <v>9</v>
      </c>
      <c r="F35" s="0">
        <f>A35&amp;"|"&amp;B35</f>
        <v/>
      </c>
    </row>
    <row r="36" ht="15.75" customHeight="1" s="74">
      <c r="A36" s="11" t="inlineStr">
        <is>
          <t>Optimization and Continued Support</t>
        </is>
      </c>
      <c r="B36" s="10" t="inlineStr">
        <is>
          <t>Transition to Steady-State Operations</t>
        </is>
      </c>
      <c r="C36" s="73" t="n">
        <v>8</v>
      </c>
      <c r="D36" s="73" t="n">
        <v>16</v>
      </c>
      <c r="E36" s="73" t="n">
        <v>28</v>
      </c>
      <c r="F36" s="0">
        <f>A36&amp;"|"&amp;B36</f>
        <v/>
      </c>
    </row>
    <row r="37" ht="15.75" customHeight="1" s="74">
      <c r="A37" s="11" t="inlineStr">
        <is>
          <t>Optimization and Continued Support</t>
        </is>
      </c>
      <c r="B37" s="10" t="inlineStr">
        <is>
          <t>Continuous Improvement Framework</t>
        </is>
      </c>
      <c r="C37" s="73" t="n">
        <v>8</v>
      </c>
      <c r="D37" s="73" t="n">
        <v>16</v>
      </c>
      <c r="E37" s="73" t="n">
        <v>28</v>
      </c>
      <c r="F37" s="0">
        <f>A37&amp;"|"&amp;B37</f>
        <v/>
      </c>
    </row>
    <row r="38" ht="15.75" customHeight="1" s="74">
      <c r="A38" s="11" t="inlineStr">
        <is>
          <t>Optimization and Continued Support</t>
        </is>
      </c>
      <c r="B38" s="10" t="inlineStr">
        <is>
          <t>Strategic Partnership Review</t>
        </is>
      </c>
      <c r="C38" s="73" t="n">
        <v>2</v>
      </c>
      <c r="D38" s="73" t="n">
        <v>4</v>
      </c>
      <c r="E38" s="73" t="n">
        <v>8</v>
      </c>
      <c r="F38" s="0">
        <f>A38&amp;"|"&amp;B38</f>
        <v/>
      </c>
    </row>
    <row r="39" ht="15.75" customHeight="1" s="74">
      <c r="A39" s="11" t="inlineStr">
        <is>
          <t>Optimization and Continued Support</t>
        </is>
      </c>
      <c r="B39" s="10" t="inlineStr">
        <is>
          <t>Case Study Development</t>
        </is>
      </c>
      <c r="C39" s="73" t="n">
        <v>8</v>
      </c>
      <c r="D39" s="73" t="n">
        <v>16</v>
      </c>
      <c r="E39" s="73" t="n">
        <v>28</v>
      </c>
      <c r="F39" s="0">
        <f>A39&amp;"|"&amp;B39</f>
        <v/>
      </c>
    </row>
    <row r="40" s="74">
      <c r="A40" s="11" t="inlineStr">
        <is>
          <t>Implementation + Onboarding</t>
        </is>
      </c>
      <c r="B40" s="10" t="inlineStr">
        <is>
          <t>Design System Charter &amp; Reference Architecture</t>
        </is>
      </c>
      <c r="C40" s="73" t="n">
        <v>16</v>
      </c>
      <c r="D40" s="73" t="n">
        <v>28</v>
      </c>
      <c r="E40" s="73" t="n">
        <v>45</v>
      </c>
      <c r="F40" s="0">
        <f>A40&amp;"|"&amp;B40</f>
        <v/>
      </c>
    </row>
    <row r="41" s="74">
      <c r="A41" s="11" t="inlineStr">
        <is>
          <t>Implementation + Onboarding</t>
        </is>
      </c>
      <c r="B41" s="10" t="inlineStr">
        <is>
          <t>Foundations &amp; Token Taxonomy</t>
        </is>
      </c>
      <c r="C41" s="73" t="n">
        <v>24</v>
      </c>
      <c r="D41" s="73" t="n">
        <v>40</v>
      </c>
      <c r="E41" s="73" t="n">
        <v>60</v>
      </c>
      <c r="F41" s="0">
        <f>A41&amp;"|"&amp;B41</f>
        <v/>
      </c>
    </row>
    <row r="42" s="74">
      <c r="A42" s="11" t="inlineStr">
        <is>
          <t>Implementation + Onboarding</t>
        </is>
      </c>
      <c r="B42" s="10" t="inlineStr">
        <is>
          <t>Token Pipeline Build &amp; Theming Strategy</t>
        </is>
      </c>
      <c r="C42" s="73" t="n">
        <v>32</v>
      </c>
      <c r="D42" s="73" t="n">
        <v>56</v>
      </c>
      <c r="E42" s="73" t="n">
        <v>90</v>
      </c>
      <c r="F42" s="0">
        <f>A42&amp;"|"&amp;B42</f>
        <v/>
      </c>
    </row>
    <row r="43" s="74">
      <c r="A43" s="11" t="inlineStr">
        <is>
          <t>Implementation + Onboarding</t>
        </is>
      </c>
      <c r="B43" s="10" t="inlineStr">
        <is>
          <t>Component Inventory &amp; Prioritization</t>
        </is>
      </c>
      <c r="C43" s="73" t="n">
        <v>16</v>
      </c>
      <c r="D43" s="73" t="n">
        <v>24</v>
      </c>
      <c r="E43" s="73" t="n">
        <v>36</v>
      </c>
      <c r="F43" s="0">
        <f>A43&amp;"|"&amp;B43</f>
        <v/>
      </c>
    </row>
    <row r="44" s="74">
      <c r="A44" s="11" t="inlineStr">
        <is>
          <t>Implementation + Onboarding</t>
        </is>
      </c>
      <c r="B44" s="10" t="inlineStr">
        <is>
          <t>Component API Standards &amp; Templates</t>
        </is>
      </c>
      <c r="C44" s="73" t="n">
        <v>24</v>
      </c>
      <c r="D44" s="73" t="n">
        <v>40</v>
      </c>
      <c r="E44" s="73" t="n">
        <v>60</v>
      </c>
      <c r="F44" s="0">
        <f>A44&amp;"|"&amp;B44</f>
        <v/>
      </c>
    </row>
    <row r="45" s="74">
      <c r="A45" s="11" t="inlineStr">
        <is>
          <t>Implementation + Onboarding</t>
        </is>
      </c>
      <c r="B45" s="10" t="inlineStr">
        <is>
          <t>Code Connect Strategy &amp; Configuration</t>
        </is>
      </c>
      <c r="C45" s="73" t="n">
        <v>24</v>
      </c>
      <c r="D45" s="73" t="n">
        <v>40</v>
      </c>
      <c r="E45" s="73" t="n">
        <v>70</v>
      </c>
      <c r="F45" s="0">
        <f>A45&amp;"|"&amp;B45</f>
        <v/>
      </c>
    </row>
    <row r="46" s="74">
      <c r="A46" s="11" t="inlineStr">
        <is>
          <t>Implementation + Onboarding</t>
        </is>
      </c>
      <c r="B46" s="10" t="inlineStr">
        <is>
          <t>Documentation IA &amp; Templates (Design System Docs)</t>
        </is>
      </c>
      <c r="C46" s="73" t="n">
        <v>16</v>
      </c>
      <c r="D46" s="73" t="n">
        <v>28</v>
      </c>
      <c r="E46" s="73" t="n">
        <v>45</v>
      </c>
      <c r="F46" s="0">
        <f>A46&amp;"|"&amp;B46</f>
        <v/>
      </c>
    </row>
    <row r="47" s="74">
      <c r="A47" s="11" t="inlineStr">
        <is>
          <t>Implementation + Onboarding</t>
        </is>
      </c>
      <c r="B47" s="10" t="inlineStr">
        <is>
          <t>Quality Gates Setup (A11y, Visual, Performance, Security)</t>
        </is>
      </c>
      <c r="C47" s="73" t="n">
        <v>24</v>
      </c>
      <c r="D47" s="73" t="n">
        <v>44</v>
      </c>
      <c r="E47" s="73" t="n">
        <v>70</v>
      </c>
      <c r="F47" s="0">
        <f>A47&amp;"|"&amp;B47</f>
        <v/>
      </c>
    </row>
    <row r="48" s="74">
      <c r="A48" s="11" t="inlineStr">
        <is>
          <t>Implementation + Onboarding</t>
        </is>
      </c>
      <c r="B48" s="10" t="inlineStr">
        <is>
          <t>Release Engineering &amp; Package Strategy</t>
        </is>
      </c>
      <c r="C48" s="73" t="n">
        <v>24</v>
      </c>
      <c r="D48" s="73" t="n">
        <v>44</v>
      </c>
      <c r="E48" s="73" t="n">
        <v>70</v>
      </c>
      <c r="F48" s="0">
        <f>A48&amp;"|"&amp;B48</f>
        <v/>
      </c>
    </row>
    <row r="49" s="74">
      <c r="A49" s="11" t="inlineStr">
        <is>
          <t>Implementation + Onboarding</t>
        </is>
      </c>
      <c r="B49" s="10" t="inlineStr">
        <is>
          <t>AI Contextual Capabilities – Context Model &amp; Knowledge Base</t>
        </is>
      </c>
      <c r="C49" s="73" t="n">
        <v>32</v>
      </c>
      <c r="D49" s="73" t="n">
        <v>60</v>
      </c>
      <c r="E49" s="73" t="n">
        <v>120</v>
      </c>
      <c r="F49" s="0">
        <f>A49&amp;"|"&amp;B49</f>
        <v/>
      </c>
    </row>
    <row r="50" s="74">
      <c r="A50" s="11" t="inlineStr">
        <is>
          <t>Scaled Rollout and Adoption</t>
        </is>
      </c>
      <c r="B50" s="10" t="inlineStr">
        <is>
          <t>Component Library MVP Build (Core Set)</t>
        </is>
      </c>
      <c r="C50" s="73" t="n">
        <v>60</v>
      </c>
      <c r="D50" s="73" t="n">
        <v>120</v>
      </c>
      <c r="E50" s="73" t="n">
        <v>220</v>
      </c>
      <c r="F50" s="0">
        <f>A50&amp;"|"&amp;B50</f>
        <v/>
      </c>
    </row>
    <row r="51" s="74">
      <c r="A51" s="11" t="inlineStr">
        <is>
          <t>Scaled Rollout and Adoption</t>
        </is>
      </c>
      <c r="B51" s="10" t="inlineStr">
        <is>
          <t>Code Connect Coverage Expansion &amp; Drift Remediation</t>
        </is>
      </c>
      <c r="C51" s="73" t="n">
        <v>32</v>
      </c>
      <c r="D51" s="73" t="n">
        <v>60</v>
      </c>
      <c r="E51" s="73" t="n">
        <v>120</v>
      </c>
      <c r="F51" s="0">
        <f>A51&amp;"|"&amp;B51</f>
        <v/>
      </c>
    </row>
    <row r="52" s="74">
      <c r="A52" s="11" t="inlineStr">
        <is>
          <t>Scaled Rollout and Adoption</t>
        </is>
      </c>
      <c r="B52" s="10" t="inlineStr">
        <is>
          <t>Docs Launch + Recipes &amp; Migration Guides</t>
        </is>
      </c>
      <c r="C52" s="73" t="n">
        <v>24</v>
      </c>
      <c r="D52" s="73" t="n">
        <v>44</v>
      </c>
      <c r="E52" s="73" t="n">
        <v>70</v>
      </c>
      <c r="F52" s="0">
        <f>A52&amp;"|"&amp;B52</f>
        <v/>
      </c>
    </row>
    <row r="53" s="74">
      <c r="A53" s="11" t="inlineStr">
        <is>
          <t>Scaled Rollout and Adoption</t>
        </is>
      </c>
      <c r="B53" s="10" t="inlineStr">
        <is>
          <t>Partner Contribution Pathway &amp; Certification</t>
        </is>
      </c>
      <c r="C53" s="73" t="n">
        <v>24</v>
      </c>
      <c r="D53" s="73" t="n">
        <v>44</v>
      </c>
      <c r="E53" s="73" t="n">
        <v>70</v>
      </c>
      <c r="F53" s="0">
        <f>A53&amp;"|"&amp;B53</f>
        <v/>
      </c>
    </row>
    <row r="54" s="74">
      <c r="A54" s="11" t="inlineStr">
        <is>
          <t>Scaled Rollout and Adoption</t>
        </is>
      </c>
      <c r="B54" s="10" t="inlineStr">
        <is>
          <t>AI Contextual Capabilities – Workflow Integrations</t>
        </is>
      </c>
      <c r="C54" s="73" t="n">
        <v>40</v>
      </c>
      <c r="D54" s="73" t="n">
        <v>80</v>
      </c>
      <c r="E54" s="73" t="n">
        <v>160</v>
      </c>
      <c r="F54" s="0">
        <f>A54&amp;"|"&amp;B54</f>
        <v/>
      </c>
    </row>
    <row r="55" s="74">
      <c r="A55" s="11" t="inlineStr">
        <is>
          <t>Scaled Rollout and Adoption</t>
        </is>
      </c>
      <c r="B55" s="10" t="inlineStr">
        <is>
          <t>AI Contextual Capabilities – Evaluation Harness + Telemetry</t>
        </is>
      </c>
      <c r="C55" s="73" t="n">
        <v>32</v>
      </c>
      <c r="D55" s="73" t="n">
        <v>64</v>
      </c>
      <c r="E55" s="73" t="n">
        <v>120</v>
      </c>
      <c r="F55" s="0">
        <f>A55&amp;"|"&amp;B55</f>
        <v/>
      </c>
    </row>
    <row r="56" s="74">
      <c r="A56" s="11" t="inlineStr">
        <is>
          <t>Optimization and Continued Support</t>
        </is>
      </c>
      <c r="B56" s="10" t="inlineStr">
        <is>
          <t>Continuous Quality &amp; Accessibility Automation</t>
        </is>
      </c>
      <c r="C56" s="73" t="n">
        <v>24</v>
      </c>
      <c r="D56" s="73" t="n">
        <v>44</v>
      </c>
      <c r="E56" s="73" t="n">
        <v>70</v>
      </c>
      <c r="F56" s="0">
        <f>A56&amp;"|"&amp;B56</f>
        <v/>
      </c>
    </row>
    <row r="57" s="74">
      <c r="A57" s="11" t="inlineStr">
        <is>
          <t>Optimization and Continued Support</t>
        </is>
      </c>
      <c r="B57" s="10" t="inlineStr">
        <is>
          <t>Release Cadence, Deprecations &amp; Migrations</t>
        </is>
      </c>
      <c r="C57" s="73" t="n">
        <v>24</v>
      </c>
      <c r="D57" s="73" t="n">
        <v>44</v>
      </c>
      <c r="E57" s="73" t="n">
        <v>70</v>
      </c>
      <c r="F57" s="0">
        <f>A57&amp;"|"&amp;B57</f>
        <v/>
      </c>
    </row>
    <row r="58" s="74">
      <c r="A58" s="11" t="inlineStr">
        <is>
          <t>Optimization and Continued Support</t>
        </is>
      </c>
      <c r="B58" s="10" t="inlineStr">
        <is>
          <t>Adoption Analytics &amp; Reporting (Design↔Code)</t>
        </is>
      </c>
      <c r="C58" s="73" t="n">
        <v>16</v>
      </c>
      <c r="D58" s="73" t="n">
        <v>28</v>
      </c>
      <c r="E58" s="73" t="n">
        <v>45</v>
      </c>
      <c r="F58" s="0">
        <f>A58&amp;"|"&amp;B58</f>
        <v/>
      </c>
    </row>
    <row r="59" s="74">
      <c r="A59" s="11" t="inlineStr">
        <is>
          <t>Optimization and Continued Support</t>
        </is>
      </c>
      <c r="B59" s="10" t="inlineStr">
        <is>
          <t>AI Contextual Capabilities – Guardrails, Governance &amp; Iteration</t>
        </is>
      </c>
      <c r="C59" s="73" t="n">
        <v>24</v>
      </c>
      <c r="D59" s="73" t="n">
        <v>50</v>
      </c>
      <c r="E59" s="73" t="n">
        <v>100</v>
      </c>
      <c r="F59" s="0">
        <f>A59&amp;"|"&amp;B59</f>
        <v/>
      </c>
    </row>
    <row r="60" s="74">
      <c r="A60" s="11" t="inlineStr">
        <is>
          <t>Optimization and Continued Support</t>
        </is>
      </c>
      <c r="B60" s="10" t="inlineStr">
        <is>
          <t>AI Contextual Capabilities – Feedback Loop + Knowledge Refresh</t>
        </is>
      </c>
      <c r="C60" s="73" t="n">
        <v>16</v>
      </c>
      <c r="D60" s="73" t="n">
        <v>30</v>
      </c>
      <c r="E60" s="73" t="n">
        <v>60</v>
      </c>
      <c r="F60" s="0">
        <f>A60&amp;"|"&amp;B60</f>
        <v/>
      </c>
    </row>
    <row r="61" ht="15.75" customHeight="1" s="74">
      <c r="A61" s="13" t="n"/>
      <c r="B61" s="13" t="n"/>
    </row>
    <row r="62" ht="15.75" customHeight="1" s="74">
      <c r="A62" s="13" t="n"/>
      <c r="B62" s="13" t="n"/>
    </row>
    <row r="63" ht="15.75" customHeight="1" s="74">
      <c r="A63" s="13" t="n"/>
      <c r="B63" s="13" t="n"/>
    </row>
    <row r="64" ht="15.75" customHeight="1" s="74">
      <c r="A64" s="13" t="n"/>
      <c r="B64" s="13" t="n"/>
    </row>
    <row r="65" ht="15.75" customHeight="1" s="74">
      <c r="A65" s="13" t="n"/>
      <c r="B65" s="13" t="n"/>
    </row>
    <row r="66" ht="15.75" customHeight="1" s="74">
      <c r="A66" s="13" t="n"/>
      <c r="B66" s="13" t="n"/>
    </row>
    <row r="67" ht="15.75" customHeight="1" s="74">
      <c r="A67" s="13" t="n"/>
      <c r="B67" s="13" t="n"/>
    </row>
    <row r="68" ht="15.75" customHeight="1" s="74">
      <c r="A68" s="13" t="n"/>
      <c r="B68" s="13" t="n"/>
    </row>
    <row r="69" ht="15.75" customHeight="1" s="74">
      <c r="A69" s="13" t="n"/>
      <c r="B69" s="13" t="n"/>
    </row>
    <row r="70" ht="15.75" customHeight="1" s="74">
      <c r="A70" s="13" t="n"/>
      <c r="B70" s="13" t="n"/>
    </row>
    <row r="71" ht="15.75" customHeight="1" s="74">
      <c r="A71" s="13" t="n"/>
      <c r="B71" s="13" t="n"/>
    </row>
    <row r="72" ht="15.75" customHeight="1" s="74">
      <c r="A72" s="13" t="n"/>
      <c r="B72" s="13" t="n"/>
    </row>
    <row r="73" ht="15.75" customHeight="1" s="74">
      <c r="A73" s="13" t="n"/>
      <c r="B73" s="13" t="n"/>
    </row>
    <row r="74" ht="15.75" customHeight="1" s="74">
      <c r="A74" s="13" t="n"/>
      <c r="B74" s="13" t="n"/>
    </row>
    <row r="75" ht="15.75" customHeight="1" s="74">
      <c r="A75" s="13" t="n"/>
      <c r="B75" s="13" t="n"/>
    </row>
    <row r="76" ht="15.75" customHeight="1" s="74">
      <c r="A76" s="13" t="n"/>
      <c r="B76" s="13" t="n"/>
    </row>
    <row r="77" ht="15.75" customHeight="1" s="74">
      <c r="A77" s="13" t="n"/>
      <c r="B77" s="13" t="n"/>
    </row>
    <row r="78" ht="15.75" customHeight="1" s="74">
      <c r="A78" s="13" t="n"/>
      <c r="B78" s="13" t="n"/>
    </row>
    <row r="79" ht="15.75" customHeight="1" s="74">
      <c r="A79" s="13" t="n"/>
      <c r="B79" s="13" t="n"/>
    </row>
    <row r="80" ht="15.75" customHeight="1" s="74">
      <c r="A80" s="13" t="n"/>
      <c r="B80" s="13" t="n"/>
    </row>
    <row r="81" ht="15.75" customHeight="1" s="74">
      <c r="A81" s="13" t="n"/>
      <c r="B81" s="13" t="n"/>
    </row>
    <row r="82" ht="15.75" customHeight="1" s="74">
      <c r="A82" s="13" t="n"/>
      <c r="B82" s="13" t="n"/>
    </row>
    <row r="83" ht="15.75" customHeight="1" s="74">
      <c r="A83" s="13" t="n"/>
      <c r="B83" s="13" t="n"/>
    </row>
    <row r="84" ht="15.75" customHeight="1" s="74">
      <c r="A84" s="13" t="n"/>
      <c r="B84" s="13" t="n"/>
    </row>
    <row r="85" ht="15.75" customHeight="1" s="74">
      <c r="A85" s="13" t="n"/>
      <c r="B85" s="13" t="n"/>
    </row>
    <row r="86" ht="15.75" customHeight="1" s="74">
      <c r="A86" s="13" t="n"/>
      <c r="B86" s="13" t="n"/>
    </row>
    <row r="87" ht="15.75" customHeight="1" s="74">
      <c r="A87" s="13" t="n"/>
      <c r="B87" s="13" t="n"/>
    </row>
    <row r="88" ht="15.75" customHeight="1" s="74">
      <c r="A88" s="13" t="n"/>
      <c r="B88" s="13" t="n"/>
    </row>
    <row r="89" ht="15.75" customHeight="1" s="74">
      <c r="A89" s="13" t="n"/>
      <c r="B89" s="13" t="n"/>
    </row>
    <row r="90" ht="15.75" customHeight="1" s="74">
      <c r="A90" s="13" t="n"/>
      <c r="B90" s="13" t="n"/>
    </row>
    <row r="91" ht="15.75" customHeight="1" s="74">
      <c r="A91" s="13" t="n"/>
      <c r="B91" s="13" t="n"/>
    </row>
    <row r="92" ht="15.75" customHeight="1" s="74">
      <c r="A92" s="13" t="n"/>
      <c r="B92" s="13" t="n"/>
    </row>
    <row r="93" ht="15.75" customHeight="1" s="74">
      <c r="A93" s="13" t="n"/>
      <c r="B93" s="13" t="n"/>
    </row>
    <row r="94" ht="15.75" customHeight="1" s="74">
      <c r="A94" s="13" t="n"/>
      <c r="B94" s="13" t="n"/>
    </row>
    <row r="95" ht="15.75" customHeight="1" s="74">
      <c r="A95" s="13" t="n"/>
      <c r="B95" s="13" t="n"/>
    </row>
    <row r="96" ht="15.75" customHeight="1" s="74">
      <c r="A96" s="13" t="n"/>
      <c r="B96" s="13" t="n"/>
    </row>
    <row r="97" ht="15.75" customHeight="1" s="74">
      <c r="A97" s="13" t="n"/>
      <c r="B97" s="13" t="n"/>
    </row>
    <row r="98" ht="15.75" customHeight="1" s="74">
      <c r="A98" s="13" t="n"/>
      <c r="B98" s="13" t="n"/>
    </row>
    <row r="99" ht="15.75" customHeight="1" s="74">
      <c r="A99" s="13" t="n"/>
      <c r="B99" s="13" t="n"/>
    </row>
    <row r="100" ht="15.75" customHeight="1" s="74">
      <c r="A100" s="13" t="n"/>
      <c r="B100" s="13" t="n"/>
    </row>
    <row r="101" ht="15.75" customHeight="1" s="74">
      <c r="A101" s="13" t="n"/>
      <c r="B101" s="13" t="n"/>
    </row>
    <row r="102" ht="15.75" customHeight="1" s="74">
      <c r="A102" s="13" t="n"/>
      <c r="B102" s="13" t="n"/>
    </row>
    <row r="103" ht="15.75" customHeight="1" s="74">
      <c r="A103" s="13" t="n"/>
      <c r="B103" s="13" t="n"/>
    </row>
    <row r="104" ht="15.75" customHeight="1" s="74">
      <c r="A104" s="13" t="n"/>
      <c r="B104" s="13" t="n"/>
    </row>
    <row r="105" ht="15.75" customHeight="1" s="74">
      <c r="A105" s="13" t="n"/>
      <c r="B105" s="13" t="n"/>
    </row>
    <row r="106" ht="15.75" customHeight="1" s="74">
      <c r="A106" s="13" t="n"/>
      <c r="B106" s="13" t="n"/>
    </row>
    <row r="107" ht="15.75" customHeight="1" s="74">
      <c r="A107" s="13" t="n"/>
      <c r="B107" s="13" t="n"/>
    </row>
    <row r="108" ht="15.75" customHeight="1" s="74">
      <c r="A108" s="13" t="n"/>
      <c r="B108" s="13" t="n"/>
    </row>
    <row r="109" ht="15.75" customHeight="1" s="74">
      <c r="A109" s="13" t="n"/>
      <c r="B109" s="13" t="n"/>
    </row>
    <row r="110" ht="15.75" customHeight="1" s="74">
      <c r="A110" s="13" t="n"/>
      <c r="B110" s="13" t="n"/>
    </row>
    <row r="111" ht="15.75" customHeight="1" s="74">
      <c r="A111" s="13" t="n"/>
      <c r="B111" s="13" t="n"/>
    </row>
    <row r="112" ht="15.75" customHeight="1" s="74">
      <c r="A112" s="13" t="n"/>
      <c r="B112" s="13" t="n"/>
    </row>
    <row r="113" ht="15.75" customHeight="1" s="74">
      <c r="A113" s="13" t="n"/>
      <c r="B113" s="13" t="n"/>
    </row>
    <row r="114" ht="15.75" customHeight="1" s="74">
      <c r="A114" s="13" t="n"/>
      <c r="B114" s="13" t="n"/>
    </row>
    <row r="115" ht="15.75" customHeight="1" s="74">
      <c r="A115" s="13" t="n"/>
      <c r="B115" s="13" t="n"/>
    </row>
    <row r="116" ht="15.75" customHeight="1" s="74">
      <c r="A116" s="13" t="n"/>
      <c r="B116" s="13" t="n"/>
    </row>
    <row r="117" ht="15.75" customHeight="1" s="74">
      <c r="A117" s="13" t="n"/>
      <c r="B117" s="13" t="n"/>
    </row>
    <row r="118" ht="15.75" customHeight="1" s="74">
      <c r="A118" s="13" t="n"/>
      <c r="B118" s="13" t="n"/>
    </row>
    <row r="119" ht="15.75" customHeight="1" s="74">
      <c r="A119" s="13" t="n"/>
      <c r="B119" s="13" t="n"/>
    </row>
    <row r="120" ht="15.75" customHeight="1" s="74">
      <c r="A120" s="13" t="n"/>
      <c r="B120" s="13" t="n"/>
    </row>
    <row r="121" ht="15.75" customHeight="1" s="74">
      <c r="A121" s="13" t="n"/>
      <c r="B121" s="13" t="n"/>
    </row>
    <row r="122" ht="15.75" customHeight="1" s="74">
      <c r="A122" s="13" t="n"/>
      <c r="B122" s="13" t="n"/>
    </row>
    <row r="123" ht="15.75" customHeight="1" s="74">
      <c r="A123" s="13" t="n"/>
      <c r="B123" s="13" t="n"/>
    </row>
    <row r="124" ht="15.75" customHeight="1" s="74">
      <c r="A124" s="13" t="n"/>
      <c r="B124" s="13" t="n"/>
    </row>
    <row r="125" ht="15.75" customHeight="1" s="74">
      <c r="A125" s="13" t="n"/>
      <c r="B125" s="13" t="n"/>
    </row>
    <row r="126" ht="15.75" customHeight="1" s="74">
      <c r="A126" s="13" t="n"/>
      <c r="B126" s="13" t="n"/>
    </row>
    <row r="127" ht="15.75" customHeight="1" s="74">
      <c r="A127" s="13" t="n"/>
      <c r="B127" s="13" t="n"/>
    </row>
    <row r="128" ht="15.75" customHeight="1" s="74">
      <c r="A128" s="13" t="n"/>
      <c r="B128" s="13" t="n"/>
    </row>
    <row r="129" ht="15.75" customHeight="1" s="74">
      <c r="A129" s="13" t="n"/>
      <c r="B129" s="13" t="n"/>
    </row>
    <row r="130" ht="15.75" customHeight="1" s="74">
      <c r="A130" s="13" t="n"/>
      <c r="B130" s="13" t="n"/>
    </row>
    <row r="131" ht="15.75" customHeight="1" s="74">
      <c r="A131" s="13" t="n"/>
      <c r="B131" s="13" t="n"/>
    </row>
    <row r="132" ht="15.75" customHeight="1" s="74">
      <c r="A132" s="13" t="n"/>
      <c r="B132" s="13" t="n"/>
    </row>
    <row r="133" ht="15.75" customHeight="1" s="74">
      <c r="A133" s="13" t="n"/>
      <c r="B133" s="13" t="n"/>
    </row>
    <row r="134" ht="15.75" customHeight="1" s="74">
      <c r="A134" s="13" t="n"/>
      <c r="B134" s="13" t="n"/>
    </row>
    <row r="135" ht="15.75" customHeight="1" s="74">
      <c r="A135" s="13" t="n"/>
      <c r="B135" s="13" t="n"/>
    </row>
    <row r="136" ht="15.75" customHeight="1" s="74">
      <c r="A136" s="13" t="n"/>
      <c r="B136" s="13" t="n"/>
    </row>
    <row r="137" ht="15.75" customHeight="1" s="74">
      <c r="A137" s="13" t="n"/>
      <c r="B137" s="13" t="n"/>
    </row>
    <row r="138" ht="15.75" customHeight="1" s="74">
      <c r="A138" s="13" t="n"/>
      <c r="B138" s="13" t="n"/>
    </row>
    <row r="139" ht="15.75" customHeight="1" s="74">
      <c r="A139" s="13" t="n"/>
      <c r="B139" s="13" t="n"/>
    </row>
    <row r="140" ht="15.75" customHeight="1" s="74">
      <c r="A140" s="13" t="n"/>
      <c r="B140" s="13" t="n"/>
    </row>
    <row r="141" ht="15.75" customHeight="1" s="74">
      <c r="A141" s="13" t="n"/>
      <c r="B141" s="13" t="n"/>
    </row>
    <row r="142" ht="15.75" customHeight="1" s="74">
      <c r="A142" s="13" t="n"/>
      <c r="B142" s="13" t="n"/>
    </row>
    <row r="143" ht="15.75" customHeight="1" s="74">
      <c r="A143" s="13" t="n"/>
      <c r="B143" s="13" t="n"/>
    </row>
    <row r="144" ht="15.75" customHeight="1" s="74">
      <c r="A144" s="13" t="n"/>
      <c r="B144" s="13" t="n"/>
    </row>
    <row r="145" ht="15.75" customHeight="1" s="74">
      <c r="A145" s="13" t="n"/>
      <c r="B145" s="13" t="n"/>
    </row>
    <row r="146" ht="15.75" customHeight="1" s="74">
      <c r="A146" s="13" t="n"/>
      <c r="B146" s="13" t="n"/>
    </row>
    <row r="147" ht="15.75" customHeight="1" s="74">
      <c r="A147" s="13" t="n"/>
      <c r="B147" s="13" t="n"/>
    </row>
    <row r="148" ht="15.75" customHeight="1" s="74">
      <c r="A148" s="13" t="n"/>
      <c r="B148" s="13" t="n"/>
    </row>
    <row r="149" ht="15.75" customHeight="1" s="74">
      <c r="A149" s="13" t="n"/>
      <c r="B149" s="13" t="n"/>
    </row>
    <row r="150" ht="15.75" customHeight="1" s="74">
      <c r="A150" s="13" t="n"/>
      <c r="B150" s="13" t="n"/>
    </row>
    <row r="151" ht="15.75" customHeight="1" s="74">
      <c r="A151" s="13" t="n"/>
      <c r="B151" s="13" t="n"/>
    </row>
    <row r="152" ht="15.75" customHeight="1" s="74">
      <c r="A152" s="13" t="n"/>
      <c r="B152" s="13" t="n"/>
    </row>
    <row r="153" ht="15.75" customHeight="1" s="74">
      <c r="A153" s="13" t="n"/>
      <c r="B153" s="13" t="n"/>
    </row>
    <row r="154" ht="15.75" customHeight="1" s="74">
      <c r="A154" s="13" t="n"/>
      <c r="B154" s="13" t="n"/>
    </row>
    <row r="155" ht="15.75" customHeight="1" s="74">
      <c r="A155" s="13" t="n"/>
      <c r="B155" s="13" t="n"/>
    </row>
    <row r="156" ht="15.75" customHeight="1" s="74">
      <c r="A156" s="13" t="n"/>
      <c r="B156" s="13" t="n"/>
    </row>
    <row r="157" ht="15.75" customHeight="1" s="74">
      <c r="A157" s="13" t="n"/>
      <c r="B157" s="13" t="n"/>
    </row>
    <row r="158" ht="15.75" customHeight="1" s="74">
      <c r="A158" s="13" t="n"/>
      <c r="B158" s="13" t="n"/>
    </row>
    <row r="159" ht="15.75" customHeight="1" s="74">
      <c r="A159" s="13" t="n"/>
      <c r="B159" s="13" t="n"/>
    </row>
    <row r="160" ht="15.75" customHeight="1" s="74">
      <c r="A160" s="13" t="n"/>
      <c r="B160" s="13" t="n"/>
    </row>
    <row r="161" ht="15.75" customHeight="1" s="74">
      <c r="A161" s="13" t="n"/>
      <c r="B161" s="13" t="n"/>
    </row>
    <row r="162" ht="15.75" customHeight="1" s="74">
      <c r="A162" s="13" t="n"/>
      <c r="B162" s="13" t="n"/>
    </row>
    <row r="163" ht="15.75" customHeight="1" s="74">
      <c r="A163" s="13" t="n"/>
      <c r="B163" s="13" t="n"/>
    </row>
    <row r="164" ht="15.75" customHeight="1" s="74">
      <c r="A164" s="13" t="n"/>
      <c r="B164" s="13" t="n"/>
    </row>
    <row r="165" ht="15.75" customHeight="1" s="74">
      <c r="A165" s="13" t="n"/>
      <c r="B165" s="13" t="n"/>
    </row>
    <row r="166" ht="15.75" customHeight="1" s="74">
      <c r="A166" s="13" t="n"/>
      <c r="B166" s="13" t="n"/>
    </row>
    <row r="167" ht="15.75" customHeight="1" s="74">
      <c r="A167" s="13" t="n"/>
      <c r="B167" s="13" t="n"/>
    </row>
    <row r="168" ht="15.75" customHeight="1" s="74">
      <c r="A168" s="13" t="n"/>
      <c r="B168" s="13" t="n"/>
    </row>
    <row r="169" ht="15.75" customHeight="1" s="74">
      <c r="A169" s="13" t="n"/>
      <c r="B169" s="13" t="n"/>
    </row>
    <row r="170" ht="15.75" customHeight="1" s="74">
      <c r="A170" s="13" t="n"/>
      <c r="B170" s="13" t="n"/>
    </row>
    <row r="171" ht="15.75" customHeight="1" s="74">
      <c r="A171" s="13" t="n"/>
      <c r="B171" s="13" t="n"/>
    </row>
    <row r="172" ht="15.75" customHeight="1" s="74">
      <c r="A172" s="13" t="n"/>
      <c r="B172" s="13" t="n"/>
    </row>
    <row r="173" ht="15.75" customHeight="1" s="74">
      <c r="A173" s="13" t="n"/>
      <c r="B173" s="13" t="n"/>
    </row>
    <row r="174" ht="15.75" customHeight="1" s="74">
      <c r="A174" s="13" t="n"/>
      <c r="B174" s="13" t="n"/>
    </row>
    <row r="175" ht="15.75" customHeight="1" s="74">
      <c r="A175" s="13" t="n"/>
      <c r="B175" s="13" t="n"/>
    </row>
    <row r="176" ht="15.75" customHeight="1" s="74">
      <c r="A176" s="13" t="n"/>
      <c r="B176" s="13" t="n"/>
    </row>
    <row r="177" ht="15.75" customHeight="1" s="74">
      <c r="A177" s="13" t="n"/>
      <c r="B177" s="13" t="n"/>
    </row>
    <row r="178" ht="15.75" customHeight="1" s="74">
      <c r="A178" s="13" t="n"/>
      <c r="B178" s="13" t="n"/>
    </row>
    <row r="179" ht="15.75" customHeight="1" s="74">
      <c r="A179" s="13" t="n"/>
      <c r="B179" s="13" t="n"/>
    </row>
    <row r="180" ht="15.75" customHeight="1" s="74">
      <c r="A180" s="13" t="n"/>
      <c r="B180" s="13" t="n"/>
    </row>
    <row r="181" ht="15.75" customHeight="1" s="74">
      <c r="A181" s="13" t="n"/>
      <c r="B181" s="13" t="n"/>
    </row>
    <row r="182" ht="15.75" customHeight="1" s="74">
      <c r="A182" s="13" t="n"/>
      <c r="B182" s="13" t="n"/>
    </row>
    <row r="183" ht="15.75" customHeight="1" s="74">
      <c r="A183" s="13" t="n"/>
      <c r="B183" s="13" t="n"/>
    </row>
    <row r="184" ht="15.75" customHeight="1" s="74">
      <c r="A184" s="13" t="n"/>
      <c r="B184" s="13" t="n"/>
    </row>
    <row r="185" ht="15.75" customHeight="1" s="74">
      <c r="A185" s="13" t="n"/>
      <c r="B185" s="13" t="n"/>
    </row>
    <row r="186" ht="15.75" customHeight="1" s="74">
      <c r="A186" s="13" t="n"/>
      <c r="B186" s="13" t="n"/>
    </row>
    <row r="187" ht="15.75" customHeight="1" s="74">
      <c r="A187" s="13" t="n"/>
      <c r="B187" s="13" t="n"/>
    </row>
    <row r="188" ht="15.75" customHeight="1" s="74">
      <c r="A188" s="13" t="n"/>
      <c r="B188" s="13" t="n"/>
    </row>
    <row r="189" ht="15.75" customHeight="1" s="74">
      <c r="A189" s="13" t="n"/>
      <c r="B189" s="13" t="n"/>
    </row>
    <row r="190" ht="15.75" customHeight="1" s="74">
      <c r="A190" s="13" t="n"/>
      <c r="B190" s="13" t="n"/>
    </row>
    <row r="191" ht="15.75" customHeight="1" s="74">
      <c r="A191" s="13" t="n"/>
      <c r="B191" s="13" t="n"/>
    </row>
    <row r="192" ht="15.75" customHeight="1" s="74">
      <c r="A192" s="13" t="n"/>
      <c r="B192" s="13" t="n"/>
    </row>
    <row r="193" ht="15.75" customHeight="1" s="74">
      <c r="A193" s="13" t="n"/>
      <c r="B193" s="13" t="n"/>
    </row>
    <row r="194" ht="15.75" customHeight="1" s="74">
      <c r="A194" s="13" t="n"/>
      <c r="B194" s="13" t="n"/>
    </row>
    <row r="195" ht="15.75" customHeight="1" s="74">
      <c r="A195" s="13" t="n"/>
      <c r="B195" s="13" t="n"/>
    </row>
    <row r="196" ht="15.75" customHeight="1" s="74">
      <c r="A196" s="13" t="n"/>
      <c r="B196" s="13" t="n"/>
    </row>
    <row r="197" ht="15.75" customHeight="1" s="74">
      <c r="A197" s="13" t="n"/>
      <c r="B197" s="13" t="n"/>
    </row>
    <row r="198" ht="15.75" customHeight="1" s="74">
      <c r="A198" s="13" t="n"/>
      <c r="B198" s="13" t="n"/>
    </row>
    <row r="199" ht="15.75" customHeight="1" s="74">
      <c r="A199" s="13" t="n"/>
      <c r="B199" s="13" t="n"/>
    </row>
    <row r="200" ht="15.75" customHeight="1" s="74">
      <c r="A200" s="13" t="n"/>
      <c r="B200" s="13" t="n"/>
    </row>
    <row r="201" ht="15.75" customHeight="1" s="74">
      <c r="A201" s="13" t="n"/>
      <c r="B201" s="13" t="n"/>
    </row>
    <row r="202" ht="15.75" customHeight="1" s="74">
      <c r="A202" s="13" t="n"/>
      <c r="B202" s="13" t="n"/>
    </row>
    <row r="203" ht="15.75" customHeight="1" s="74">
      <c r="A203" s="13" t="n"/>
      <c r="B203" s="13" t="n"/>
    </row>
    <row r="204" ht="15.75" customHeight="1" s="74">
      <c r="A204" s="13" t="n"/>
      <c r="B204" s="13" t="n"/>
    </row>
    <row r="205" ht="15.75" customHeight="1" s="74">
      <c r="A205" s="13" t="n"/>
      <c r="B205" s="13" t="n"/>
    </row>
    <row r="206" ht="15.75" customHeight="1" s="74">
      <c r="A206" s="13" t="n"/>
      <c r="B206" s="13" t="n"/>
    </row>
    <row r="207" ht="15.75" customHeight="1" s="74">
      <c r="A207" s="13" t="n"/>
      <c r="B207" s="13" t="n"/>
    </row>
    <row r="208" ht="15.75" customHeight="1" s="74">
      <c r="A208" s="13" t="n"/>
      <c r="B208" s="13" t="n"/>
    </row>
    <row r="209" ht="15.75" customHeight="1" s="74">
      <c r="A209" s="13" t="n"/>
      <c r="B209" s="13" t="n"/>
    </row>
    <row r="210" ht="15.75" customHeight="1" s="74">
      <c r="A210" s="13" t="n"/>
      <c r="B210" s="13" t="n"/>
    </row>
    <row r="211" ht="15.75" customHeight="1" s="74">
      <c r="A211" s="13" t="n"/>
      <c r="B211" s="13" t="n"/>
    </row>
    <row r="212" ht="15.75" customHeight="1" s="74">
      <c r="A212" s="13" t="n"/>
      <c r="B212" s="13" t="n"/>
    </row>
    <row r="213" ht="15.75" customHeight="1" s="74">
      <c r="A213" s="13" t="n"/>
      <c r="B213" s="13" t="n"/>
    </row>
    <row r="214" ht="15.75" customHeight="1" s="74">
      <c r="A214" s="13" t="n"/>
      <c r="B214" s="13" t="n"/>
    </row>
    <row r="215" ht="15.75" customHeight="1" s="74">
      <c r="A215" s="13" t="n"/>
      <c r="B215" s="13" t="n"/>
    </row>
    <row r="216" ht="15.75" customHeight="1" s="74">
      <c r="A216" s="13" t="n"/>
      <c r="B216" s="13" t="n"/>
    </row>
    <row r="217" ht="15.75" customHeight="1" s="74">
      <c r="A217" s="13" t="n"/>
      <c r="B217" s="13" t="n"/>
    </row>
    <row r="218" ht="15.75" customHeight="1" s="74">
      <c r="A218" s="13" t="n"/>
      <c r="B218" s="13" t="n"/>
    </row>
    <row r="219" ht="15.75" customHeight="1" s="74">
      <c r="A219" s="13" t="n"/>
      <c r="B219" s="13" t="n"/>
    </row>
    <row r="220" ht="15.75" customHeight="1" s="74">
      <c r="A220" s="13" t="n"/>
      <c r="B220" s="13" t="n"/>
    </row>
    <row r="221" ht="15.75" customHeight="1" s="74">
      <c r="A221" s="13" t="n"/>
      <c r="B221" s="13" t="n"/>
    </row>
    <row r="222" ht="15.75" customHeight="1" s="74">
      <c r="A222" s="13" t="n"/>
      <c r="B222" s="13" t="n"/>
    </row>
    <row r="223" ht="15.75" customHeight="1" s="74">
      <c r="A223" s="13" t="n"/>
      <c r="B223" s="13" t="n"/>
    </row>
    <row r="224" ht="15.75" customHeight="1" s="74">
      <c r="A224" s="13" t="n"/>
      <c r="B224" s="13" t="n"/>
    </row>
    <row r="225" ht="15.75" customHeight="1" s="74">
      <c r="A225" s="13" t="n"/>
      <c r="B225" s="13" t="n"/>
    </row>
    <row r="226" ht="15.75" customHeight="1" s="74">
      <c r="A226" s="13" t="n"/>
      <c r="B226" s="13" t="n"/>
    </row>
    <row r="227" ht="15.75" customHeight="1" s="74">
      <c r="A227" s="13" t="n"/>
      <c r="B227" s="13" t="n"/>
    </row>
    <row r="228" ht="15.75" customHeight="1" s="74">
      <c r="A228" s="13" t="n"/>
      <c r="B228" s="13" t="n"/>
    </row>
    <row r="229" ht="15.75" customHeight="1" s="74">
      <c r="A229" s="13" t="n"/>
      <c r="B229" s="13" t="n"/>
    </row>
    <row r="230" ht="15.75" customHeight="1" s="74">
      <c r="A230" s="13" t="n"/>
      <c r="B230" s="13" t="n"/>
    </row>
    <row r="231" ht="15.75" customHeight="1" s="74">
      <c r="A231" s="13" t="n"/>
      <c r="B231" s="13" t="n"/>
    </row>
    <row r="232" ht="15.75" customHeight="1" s="74">
      <c r="A232" s="13" t="n"/>
      <c r="B232" s="13" t="n"/>
    </row>
    <row r="233" ht="15.75" customHeight="1" s="74">
      <c r="A233" s="13" t="n"/>
      <c r="B233" s="13" t="n"/>
    </row>
    <row r="234" ht="15.75" customHeight="1" s="74">
      <c r="A234" s="13" t="n"/>
      <c r="B234" s="13" t="n"/>
    </row>
    <row r="235" ht="15.75" customHeight="1" s="74">
      <c r="A235" s="13" t="n"/>
      <c r="B235" s="13" t="n"/>
    </row>
    <row r="236" ht="15.75" customHeight="1" s="74">
      <c r="A236" s="13" t="n"/>
      <c r="B236" s="13" t="n"/>
    </row>
    <row r="237" ht="15.75" customHeight="1" s="74">
      <c r="A237" s="13" t="n"/>
      <c r="B237" s="13" t="n"/>
    </row>
    <row r="238" ht="15.75" customHeight="1" s="74">
      <c r="A238" s="13" t="n"/>
      <c r="B238" s="13" t="n"/>
    </row>
    <row r="239" ht="15.75" customHeight="1" s="74">
      <c r="A239" s="13" t="n"/>
      <c r="B239" s="13" t="n"/>
    </row>
    <row r="240" ht="15.75" customHeight="1" s="74">
      <c r="A240" s="13" t="n"/>
      <c r="B240" s="13" t="n"/>
    </row>
    <row r="241" ht="15.75" customHeight="1" s="74">
      <c r="A241" s="13" t="n"/>
      <c r="B241" s="13" t="n"/>
    </row>
    <row r="242" ht="15.75" customHeight="1" s="74">
      <c r="A242" s="13" t="n"/>
      <c r="B242" s="13" t="n"/>
    </row>
    <row r="243" ht="15.75" customHeight="1" s="74">
      <c r="A243" s="13" t="n"/>
      <c r="B243" s="13" t="n"/>
    </row>
    <row r="244" ht="15.75" customHeight="1" s="74">
      <c r="A244" s="13" t="n"/>
      <c r="B244" s="13" t="n"/>
    </row>
    <row r="245" ht="15.75" customHeight="1" s="74">
      <c r="A245" s="13" t="n"/>
      <c r="B245" s="13" t="n"/>
    </row>
    <row r="246" ht="15.75" customHeight="1" s="74">
      <c r="A246" s="13" t="n"/>
      <c r="B246" s="13" t="n"/>
    </row>
    <row r="247" ht="15.75" customHeight="1" s="74">
      <c r="A247" s="13" t="n"/>
      <c r="B247" s="13" t="n"/>
    </row>
    <row r="248" ht="15.75" customHeight="1" s="74">
      <c r="A248" s="13" t="n"/>
      <c r="B248" s="13" t="n"/>
    </row>
    <row r="249" ht="15.75" customHeight="1" s="74">
      <c r="A249" s="13" t="n"/>
      <c r="B249" s="13" t="n"/>
    </row>
    <row r="250" ht="15.75" customHeight="1" s="74">
      <c r="A250" s="13" t="n"/>
      <c r="B250" s="13" t="n"/>
    </row>
    <row r="251" ht="15.75" customHeight="1" s="74">
      <c r="A251" s="13" t="n"/>
      <c r="B251" s="13" t="n"/>
    </row>
    <row r="252" ht="15.75" customHeight="1" s="74">
      <c r="A252" s="13" t="n"/>
      <c r="B252" s="13" t="n"/>
    </row>
    <row r="253" ht="15.75" customHeight="1" s="74">
      <c r="A253" s="13" t="n"/>
      <c r="B253" s="13" t="n"/>
    </row>
    <row r="254" ht="15.75" customHeight="1" s="74">
      <c r="A254" s="13" t="n"/>
      <c r="B254" s="13" t="n"/>
    </row>
    <row r="255" ht="15.75" customHeight="1" s="74">
      <c r="A255" s="13" t="n"/>
      <c r="B255" s="13" t="n"/>
    </row>
    <row r="256" ht="15.75" customHeight="1" s="74">
      <c r="A256" s="13" t="n"/>
      <c r="B256" s="13" t="n"/>
    </row>
    <row r="257" ht="15.75" customHeight="1" s="74">
      <c r="A257" s="13" t="n"/>
      <c r="B257" s="13" t="n"/>
    </row>
    <row r="258" ht="15.75" customHeight="1" s="74">
      <c r="A258" s="13" t="n"/>
      <c r="B258" s="13" t="n"/>
    </row>
    <row r="259" ht="15.75" customHeight="1" s="74">
      <c r="A259" s="13" t="n"/>
      <c r="B259" s="13" t="n"/>
    </row>
    <row r="260" ht="15.75" customHeight="1" s="74">
      <c r="A260" s="13" t="n"/>
      <c r="B260" s="13" t="n"/>
    </row>
    <row r="261" ht="15.75" customHeight="1" s="74">
      <c r="A261" s="13" t="n"/>
      <c r="B261" s="13" t="n"/>
    </row>
    <row r="262" ht="15.75" customHeight="1" s="74">
      <c r="A262" s="13" t="n"/>
      <c r="B262" s="13" t="n"/>
    </row>
    <row r="263" ht="15.75" customHeight="1" s="74">
      <c r="A263" s="13" t="n"/>
      <c r="B263" s="13" t="n"/>
    </row>
    <row r="264" ht="15.75" customHeight="1" s="74">
      <c r="A264" s="13" t="n"/>
      <c r="B264" s="13" t="n"/>
    </row>
    <row r="265" ht="15.75" customHeight="1" s="74">
      <c r="A265" s="13" t="n"/>
      <c r="B265" s="13" t="n"/>
    </row>
    <row r="266" ht="15.75" customHeight="1" s="74">
      <c r="A266" s="13" t="n"/>
      <c r="B266" s="13" t="n"/>
    </row>
    <row r="267" ht="15.75" customHeight="1" s="74">
      <c r="A267" s="13" t="n"/>
      <c r="B267" s="13" t="n"/>
    </row>
    <row r="268" ht="15.75" customHeight="1" s="74">
      <c r="A268" s="13" t="n"/>
      <c r="B268" s="13" t="n"/>
    </row>
    <row r="269" ht="15.75" customHeight="1" s="74">
      <c r="A269" s="13" t="n"/>
      <c r="B269" s="13" t="n"/>
    </row>
    <row r="270" ht="15.75" customHeight="1" s="74">
      <c r="A270" s="13" t="n"/>
      <c r="B270" s="13" t="n"/>
    </row>
    <row r="271" ht="15.75" customHeight="1" s="74">
      <c r="A271" s="13" t="n"/>
      <c r="B271" s="13" t="n"/>
    </row>
    <row r="272" ht="15.75" customHeight="1" s="74">
      <c r="A272" s="13" t="n"/>
      <c r="B272" s="13" t="n"/>
    </row>
    <row r="273" ht="15.75" customHeight="1" s="74">
      <c r="A273" s="13" t="n"/>
      <c r="B273" s="13" t="n"/>
    </row>
    <row r="274" ht="15.75" customHeight="1" s="74">
      <c r="A274" s="13" t="n"/>
      <c r="B274" s="13" t="n"/>
    </row>
    <row r="275" ht="15.75" customHeight="1" s="74">
      <c r="A275" s="13" t="n"/>
      <c r="B275" s="13" t="n"/>
    </row>
    <row r="276" ht="15.75" customHeight="1" s="74">
      <c r="A276" s="13" t="n"/>
      <c r="B276" s="13" t="n"/>
    </row>
    <row r="277" ht="15.75" customHeight="1" s="74">
      <c r="A277" s="13" t="n"/>
      <c r="B277" s="13" t="n"/>
    </row>
    <row r="278" ht="15.75" customHeight="1" s="74">
      <c r="A278" s="13" t="n"/>
      <c r="B278" s="13" t="n"/>
    </row>
    <row r="279" ht="15.75" customHeight="1" s="74">
      <c r="A279" s="13" t="n"/>
      <c r="B279" s="13" t="n"/>
    </row>
    <row r="280" ht="15.75" customHeight="1" s="74">
      <c r="A280" s="13" t="n"/>
      <c r="B280" s="13" t="n"/>
    </row>
    <row r="281" ht="15.75" customHeight="1" s="74">
      <c r="A281" s="13" t="n"/>
      <c r="B281" s="13" t="n"/>
    </row>
    <row r="282" ht="15.75" customHeight="1" s="74">
      <c r="A282" s="13" t="n"/>
      <c r="B282" s="13" t="n"/>
    </row>
    <row r="283" ht="15.75" customHeight="1" s="74">
      <c r="A283" s="13" t="n"/>
      <c r="B283" s="13" t="n"/>
    </row>
    <row r="284" ht="15.75" customHeight="1" s="74">
      <c r="A284" s="13" t="n"/>
      <c r="B284" s="13" t="n"/>
    </row>
    <row r="285" ht="15.75" customHeight="1" s="74">
      <c r="A285" s="13" t="n"/>
      <c r="B285" s="13" t="n"/>
    </row>
    <row r="286" ht="15.75" customHeight="1" s="74">
      <c r="A286" s="13" t="n"/>
      <c r="B286" s="13" t="n"/>
    </row>
    <row r="287" ht="15.75" customHeight="1" s="74">
      <c r="A287" s="13" t="n"/>
      <c r="B287" s="13" t="n"/>
    </row>
    <row r="288" ht="15.75" customHeight="1" s="74">
      <c r="A288" s="13" t="n"/>
      <c r="B288" s="13" t="n"/>
    </row>
    <row r="289" ht="15.75" customHeight="1" s="74">
      <c r="A289" s="13" t="n"/>
      <c r="B289" s="13" t="n"/>
    </row>
    <row r="290" ht="15.75" customHeight="1" s="74">
      <c r="A290" s="13" t="n"/>
      <c r="B290" s="13" t="n"/>
    </row>
    <row r="291" ht="15.75" customHeight="1" s="74">
      <c r="A291" s="13" t="n"/>
      <c r="B291" s="13" t="n"/>
    </row>
    <row r="292" ht="15.75" customHeight="1" s="74">
      <c r="A292" s="13" t="n"/>
      <c r="B292" s="13" t="n"/>
    </row>
    <row r="293" ht="15.75" customHeight="1" s="74">
      <c r="A293" s="13" t="n"/>
      <c r="B293" s="13" t="n"/>
    </row>
    <row r="294" ht="15.75" customHeight="1" s="74">
      <c r="A294" s="13" t="n"/>
      <c r="B294" s="13" t="n"/>
    </row>
    <row r="295" ht="15.75" customHeight="1" s="74">
      <c r="A295" s="13" t="n"/>
      <c r="B295" s="13" t="n"/>
    </row>
    <row r="296" ht="15.75" customHeight="1" s="74">
      <c r="A296" s="13" t="n"/>
      <c r="B296" s="13" t="n"/>
    </row>
    <row r="297" ht="15.75" customHeight="1" s="74">
      <c r="A297" s="13" t="n"/>
      <c r="B297" s="13" t="n"/>
    </row>
    <row r="298" ht="15.75" customHeight="1" s="74">
      <c r="A298" s="13" t="n"/>
      <c r="B298" s="13" t="n"/>
    </row>
    <row r="299" ht="15.75" customHeight="1" s="74">
      <c r="A299" s="13" t="n"/>
      <c r="B299" s="13" t="n"/>
    </row>
    <row r="300" ht="15.75" customHeight="1" s="74">
      <c r="A300" s="13" t="n"/>
      <c r="B300" s="13" t="n"/>
    </row>
    <row r="301" ht="15.75" customHeight="1" s="74">
      <c r="A301" s="13" t="n"/>
      <c r="B301" s="13" t="n"/>
    </row>
    <row r="302" ht="15.75" customHeight="1" s="74">
      <c r="A302" s="13" t="n"/>
      <c r="B302" s="13" t="n"/>
    </row>
    <row r="303" ht="15.75" customHeight="1" s="74">
      <c r="A303" s="13" t="n"/>
      <c r="B303" s="13" t="n"/>
    </row>
    <row r="304" ht="15.75" customHeight="1" s="74">
      <c r="A304" s="13" t="n"/>
      <c r="B304" s="13" t="n"/>
    </row>
    <row r="305" ht="15.75" customHeight="1" s="74">
      <c r="A305" s="13" t="n"/>
      <c r="B305" s="13" t="n"/>
    </row>
    <row r="306" ht="15.75" customHeight="1" s="74">
      <c r="A306" s="13" t="n"/>
      <c r="B306" s="13" t="n"/>
    </row>
    <row r="307" ht="15.75" customHeight="1" s="74">
      <c r="A307" s="13" t="n"/>
      <c r="B307" s="13" t="n"/>
    </row>
    <row r="308" ht="15.75" customHeight="1" s="74">
      <c r="A308" s="13" t="n"/>
      <c r="B308" s="13" t="n"/>
    </row>
    <row r="309" ht="15.75" customHeight="1" s="74">
      <c r="A309" s="13" t="n"/>
      <c r="B309" s="13" t="n"/>
    </row>
    <row r="310" ht="15.75" customHeight="1" s="74">
      <c r="A310" s="13" t="n"/>
      <c r="B310" s="13" t="n"/>
    </row>
    <row r="311" ht="15.75" customHeight="1" s="74">
      <c r="A311" s="13" t="n"/>
      <c r="B311" s="13" t="n"/>
    </row>
    <row r="312" ht="15.75" customHeight="1" s="74">
      <c r="A312" s="13" t="n"/>
      <c r="B312" s="13" t="n"/>
    </row>
    <row r="313" ht="15.75" customHeight="1" s="74">
      <c r="A313" s="13" t="n"/>
      <c r="B313" s="13" t="n"/>
    </row>
    <row r="314" ht="15.75" customHeight="1" s="74">
      <c r="A314" s="13" t="n"/>
      <c r="B314" s="13" t="n"/>
    </row>
    <row r="315" ht="15.75" customHeight="1" s="74">
      <c r="A315" s="13" t="n"/>
      <c r="B315" s="13" t="n"/>
    </row>
    <row r="316" ht="15.75" customHeight="1" s="74">
      <c r="A316" s="13" t="n"/>
      <c r="B316" s="13" t="n"/>
    </row>
    <row r="317" ht="15.75" customHeight="1" s="74">
      <c r="A317" s="13" t="n"/>
      <c r="B317" s="13" t="n"/>
    </row>
    <row r="318" ht="15.75" customHeight="1" s="74">
      <c r="A318" s="13" t="n"/>
      <c r="B318" s="13" t="n"/>
    </row>
    <row r="319" ht="15.75" customHeight="1" s="74">
      <c r="A319" s="13" t="n"/>
      <c r="B319" s="13" t="n"/>
    </row>
    <row r="320" ht="15.75" customHeight="1" s="74">
      <c r="A320" s="13" t="n"/>
      <c r="B320" s="13" t="n"/>
    </row>
    <row r="321" ht="15.75" customHeight="1" s="74">
      <c r="A321" s="13" t="n"/>
      <c r="B321" s="13" t="n"/>
    </row>
    <row r="322" ht="15.75" customHeight="1" s="74">
      <c r="A322" s="13" t="n"/>
      <c r="B322" s="13" t="n"/>
    </row>
    <row r="323" ht="15.75" customHeight="1" s="74">
      <c r="A323" s="13" t="n"/>
      <c r="B323" s="13" t="n"/>
    </row>
    <row r="324" ht="15.75" customHeight="1" s="74">
      <c r="A324" s="13" t="n"/>
      <c r="B324" s="13" t="n"/>
    </row>
    <row r="325" ht="15.75" customHeight="1" s="74">
      <c r="A325" s="13" t="n"/>
      <c r="B325" s="13" t="n"/>
    </row>
    <row r="326" ht="15.75" customHeight="1" s="74">
      <c r="A326" s="13" t="n"/>
      <c r="B326" s="13" t="n"/>
    </row>
    <row r="327" ht="15.75" customHeight="1" s="74">
      <c r="A327" s="13" t="n"/>
      <c r="B327" s="13" t="n"/>
    </row>
    <row r="328" ht="15.75" customHeight="1" s="74">
      <c r="A328" s="13" t="n"/>
      <c r="B328" s="13" t="n"/>
    </row>
    <row r="329" ht="15.75" customHeight="1" s="74">
      <c r="A329" s="13" t="n"/>
      <c r="B329" s="13" t="n"/>
    </row>
    <row r="330" ht="15.75" customHeight="1" s="74">
      <c r="A330" s="13" t="n"/>
      <c r="B330" s="13" t="n"/>
    </row>
    <row r="331" ht="15.75" customHeight="1" s="74">
      <c r="A331" s="13" t="n"/>
      <c r="B331" s="13" t="n"/>
    </row>
    <row r="332" ht="15.75" customHeight="1" s="74">
      <c r="A332" s="13" t="n"/>
      <c r="B332" s="13" t="n"/>
    </row>
    <row r="333" ht="15.75" customHeight="1" s="74">
      <c r="A333" s="13" t="n"/>
      <c r="B333" s="13" t="n"/>
    </row>
    <row r="334" ht="15.75" customHeight="1" s="74">
      <c r="A334" s="13" t="n"/>
      <c r="B334" s="13" t="n"/>
    </row>
    <row r="335" ht="15.75" customHeight="1" s="74">
      <c r="A335" s="13" t="n"/>
      <c r="B335" s="13" t="n"/>
    </row>
    <row r="336" ht="15.75" customHeight="1" s="74">
      <c r="A336" s="13" t="n"/>
      <c r="B336" s="13" t="n"/>
    </row>
    <row r="337" ht="15.75" customHeight="1" s="74">
      <c r="A337" s="13" t="n"/>
      <c r="B337" s="13" t="n"/>
    </row>
    <row r="338" ht="15.75" customHeight="1" s="74">
      <c r="A338" s="13" t="n"/>
      <c r="B338" s="13" t="n"/>
    </row>
    <row r="339" ht="15.75" customHeight="1" s="74">
      <c r="A339" s="13" t="n"/>
      <c r="B339" s="13" t="n"/>
    </row>
    <row r="340" ht="15.75" customHeight="1" s="74">
      <c r="A340" s="13" t="n"/>
      <c r="B340" s="13" t="n"/>
    </row>
    <row r="341" ht="15.75" customHeight="1" s="74">
      <c r="A341" s="13" t="n"/>
      <c r="B341" s="13" t="n"/>
    </row>
    <row r="342" ht="15.75" customHeight="1" s="74">
      <c r="A342" s="13" t="n"/>
      <c r="B342" s="13" t="n"/>
    </row>
    <row r="343" ht="15.75" customHeight="1" s="74">
      <c r="A343" s="13" t="n"/>
      <c r="B343" s="13" t="n"/>
    </row>
    <row r="344" ht="15.75" customHeight="1" s="74">
      <c r="A344" s="13" t="n"/>
      <c r="B344" s="13" t="n"/>
    </row>
    <row r="345" ht="15.75" customHeight="1" s="74">
      <c r="A345" s="13" t="n"/>
      <c r="B345" s="13" t="n"/>
    </row>
    <row r="346" ht="15.75" customHeight="1" s="74">
      <c r="A346" s="13" t="n"/>
      <c r="B346" s="13" t="n"/>
    </row>
    <row r="347" ht="15.75" customHeight="1" s="74">
      <c r="A347" s="13" t="n"/>
      <c r="B347" s="13" t="n"/>
    </row>
    <row r="348" ht="15.75" customHeight="1" s="74">
      <c r="A348" s="13" t="n"/>
      <c r="B348" s="13" t="n"/>
    </row>
    <row r="349" ht="15.75" customHeight="1" s="74">
      <c r="A349" s="13" t="n"/>
      <c r="B349" s="13" t="n"/>
    </row>
    <row r="350" ht="15.75" customHeight="1" s="74">
      <c r="A350" s="13" t="n"/>
      <c r="B350" s="13" t="n"/>
    </row>
    <row r="351" ht="15.75" customHeight="1" s="74">
      <c r="A351" s="13" t="n"/>
      <c r="B351" s="13" t="n"/>
    </row>
    <row r="352" ht="15.75" customHeight="1" s="74">
      <c r="A352" s="13" t="n"/>
      <c r="B352" s="13" t="n"/>
    </row>
    <row r="353" ht="15.75" customHeight="1" s="74">
      <c r="A353" s="13" t="n"/>
      <c r="B353" s="13" t="n"/>
    </row>
    <row r="354" ht="15.75" customHeight="1" s="74">
      <c r="A354" s="13" t="n"/>
      <c r="B354" s="13" t="n"/>
    </row>
    <row r="355" ht="15.75" customHeight="1" s="74">
      <c r="A355" s="13" t="n"/>
      <c r="B355" s="13" t="n"/>
    </row>
    <row r="356" ht="15.75" customHeight="1" s="74">
      <c r="A356" s="13" t="n"/>
      <c r="B356" s="13" t="n"/>
    </row>
    <row r="357" ht="15.75" customHeight="1" s="74">
      <c r="A357" s="13" t="n"/>
      <c r="B357" s="13" t="n"/>
    </row>
    <row r="358" ht="15.75" customHeight="1" s="74">
      <c r="A358" s="13" t="n"/>
      <c r="B358" s="13" t="n"/>
    </row>
    <row r="359" ht="15.75" customHeight="1" s="74">
      <c r="A359" s="13" t="n"/>
      <c r="B359" s="13" t="n"/>
    </row>
    <row r="360" ht="15.75" customHeight="1" s="74">
      <c r="A360" s="13" t="n"/>
      <c r="B360" s="13" t="n"/>
    </row>
    <row r="361" ht="15.75" customHeight="1" s="74">
      <c r="A361" s="13" t="n"/>
      <c r="B361" s="13" t="n"/>
    </row>
    <row r="362" ht="15.75" customHeight="1" s="74">
      <c r="A362" s="13" t="n"/>
      <c r="B362" s="13" t="n"/>
    </row>
    <row r="363" ht="15.75" customHeight="1" s="74">
      <c r="A363" s="13" t="n"/>
      <c r="B363" s="13" t="n"/>
    </row>
    <row r="364" ht="15.75" customHeight="1" s="74">
      <c r="A364" s="13" t="n"/>
      <c r="B364" s="13" t="n"/>
    </row>
    <row r="365" ht="15.75" customHeight="1" s="74">
      <c r="A365" s="13" t="n"/>
      <c r="B365" s="13" t="n"/>
    </row>
    <row r="366" ht="15.75" customHeight="1" s="74">
      <c r="A366" s="13" t="n"/>
      <c r="B366" s="13" t="n"/>
    </row>
    <row r="367" ht="15.75" customHeight="1" s="74">
      <c r="A367" s="13" t="n"/>
      <c r="B367" s="13" t="n"/>
    </row>
    <row r="368" ht="15.75" customHeight="1" s="74">
      <c r="A368" s="13" t="n"/>
      <c r="B368" s="13" t="n"/>
    </row>
    <row r="369" ht="15.75" customHeight="1" s="74">
      <c r="A369" s="13" t="n"/>
      <c r="B369" s="13" t="n"/>
    </row>
    <row r="370" ht="15.75" customHeight="1" s="74">
      <c r="A370" s="13" t="n"/>
      <c r="B370" s="13" t="n"/>
    </row>
    <row r="371" ht="15.75" customHeight="1" s="74">
      <c r="A371" s="13" t="n"/>
      <c r="B371" s="13" t="n"/>
    </row>
    <row r="372" ht="15.75" customHeight="1" s="74">
      <c r="A372" s="13" t="n"/>
      <c r="B372" s="13" t="n"/>
    </row>
    <row r="373" ht="15.75" customHeight="1" s="74">
      <c r="A373" s="13" t="n"/>
      <c r="B373" s="13" t="n"/>
    </row>
    <row r="374" ht="15.75" customHeight="1" s="74">
      <c r="A374" s="13" t="n"/>
      <c r="B374" s="13" t="n"/>
    </row>
    <row r="375" ht="15.75" customHeight="1" s="74">
      <c r="A375" s="13" t="n"/>
      <c r="B375" s="13" t="n"/>
    </row>
    <row r="376" ht="15.75" customHeight="1" s="74">
      <c r="A376" s="13" t="n"/>
      <c r="B376" s="13" t="n"/>
    </row>
    <row r="377" ht="15.75" customHeight="1" s="74">
      <c r="A377" s="13" t="n"/>
      <c r="B377" s="13" t="n"/>
    </row>
    <row r="378" ht="15.75" customHeight="1" s="74">
      <c r="A378" s="13" t="n"/>
      <c r="B378" s="13" t="n"/>
    </row>
    <row r="379" ht="15.75" customHeight="1" s="74">
      <c r="A379" s="13" t="n"/>
      <c r="B379" s="13" t="n"/>
    </row>
    <row r="380" ht="15.75" customHeight="1" s="74">
      <c r="A380" s="13" t="n"/>
      <c r="B380" s="13" t="n"/>
    </row>
    <row r="381" ht="15.75" customHeight="1" s="74">
      <c r="A381" s="13" t="n"/>
      <c r="B381" s="13" t="n"/>
    </row>
    <row r="382" ht="15.75" customHeight="1" s="74">
      <c r="A382" s="13" t="n"/>
      <c r="B382" s="13" t="n"/>
    </row>
    <row r="383" ht="15.75" customHeight="1" s="74">
      <c r="A383" s="13" t="n"/>
      <c r="B383" s="13" t="n"/>
    </row>
    <row r="384" ht="15.75" customHeight="1" s="74">
      <c r="A384" s="13" t="n"/>
      <c r="B384" s="13" t="n"/>
    </row>
    <row r="385" ht="15.75" customHeight="1" s="74">
      <c r="A385" s="13" t="n"/>
      <c r="B385" s="13" t="n"/>
    </row>
    <row r="386" ht="15.75" customHeight="1" s="74">
      <c r="A386" s="13" t="n"/>
      <c r="B386" s="13" t="n"/>
    </row>
    <row r="387" ht="15.75" customHeight="1" s="74">
      <c r="A387" s="13" t="n"/>
      <c r="B387" s="13" t="n"/>
    </row>
    <row r="388" ht="15.75" customHeight="1" s="74">
      <c r="A388" s="13" t="n"/>
      <c r="B388" s="13" t="n"/>
    </row>
    <row r="389" ht="15.75" customHeight="1" s="74">
      <c r="A389" s="13" t="n"/>
      <c r="B389" s="13" t="n"/>
    </row>
    <row r="390" ht="15.75" customHeight="1" s="74">
      <c r="A390" s="13" t="n"/>
      <c r="B390" s="13" t="n"/>
    </row>
    <row r="391" ht="15.75" customHeight="1" s="74">
      <c r="A391" s="13" t="n"/>
      <c r="B391" s="13" t="n"/>
    </row>
    <row r="392" ht="15.75" customHeight="1" s="74">
      <c r="A392" s="13" t="n"/>
      <c r="B392" s="13" t="n"/>
    </row>
    <row r="393" ht="15.75" customHeight="1" s="74">
      <c r="A393" s="13" t="n"/>
      <c r="B393" s="13" t="n"/>
    </row>
    <row r="394" ht="15.75" customHeight="1" s="74">
      <c r="A394" s="13" t="n"/>
      <c r="B394" s="13" t="n"/>
    </row>
    <row r="395" ht="15.75" customHeight="1" s="74">
      <c r="A395" s="13" t="n"/>
      <c r="B395" s="13" t="n"/>
    </row>
    <row r="396" ht="15.75" customHeight="1" s="74">
      <c r="A396" s="13" t="n"/>
      <c r="B396" s="13" t="n"/>
    </row>
    <row r="397" ht="15.75" customHeight="1" s="74">
      <c r="A397" s="13" t="n"/>
      <c r="B397" s="13" t="n"/>
    </row>
    <row r="398" ht="15.75" customHeight="1" s="74">
      <c r="A398" s="13" t="n"/>
      <c r="B398" s="13" t="n"/>
    </row>
    <row r="399" ht="15.75" customHeight="1" s="74">
      <c r="A399" s="13" t="n"/>
      <c r="B399" s="13" t="n"/>
    </row>
    <row r="400" ht="15.75" customHeight="1" s="74">
      <c r="A400" s="13" t="n"/>
      <c r="B400" s="13" t="n"/>
    </row>
    <row r="401" ht="15.75" customHeight="1" s="74">
      <c r="A401" s="13" t="n"/>
      <c r="B401" s="13" t="n"/>
    </row>
    <row r="402" ht="15.75" customHeight="1" s="74">
      <c r="A402" s="13" t="n"/>
      <c r="B402" s="13" t="n"/>
    </row>
    <row r="403" ht="15.75" customHeight="1" s="74">
      <c r="A403" s="13" t="n"/>
      <c r="B403" s="13" t="n"/>
    </row>
    <row r="404" ht="15.75" customHeight="1" s="74">
      <c r="A404" s="13" t="n"/>
      <c r="B404" s="13" t="n"/>
    </row>
    <row r="405" ht="15.75" customHeight="1" s="74">
      <c r="A405" s="13" t="n"/>
      <c r="B405" s="13" t="n"/>
    </row>
    <row r="406" ht="15.75" customHeight="1" s="74">
      <c r="A406" s="13" t="n"/>
      <c r="B406" s="13" t="n"/>
    </row>
    <row r="407" ht="15.75" customHeight="1" s="74">
      <c r="A407" s="13" t="n"/>
      <c r="B407" s="13" t="n"/>
    </row>
    <row r="408" ht="15.75" customHeight="1" s="74">
      <c r="A408" s="13" t="n"/>
      <c r="B408" s="13" t="n"/>
    </row>
    <row r="409" ht="15.75" customHeight="1" s="74">
      <c r="A409" s="13" t="n"/>
      <c r="B409" s="13" t="n"/>
    </row>
    <row r="410" ht="15.75" customHeight="1" s="74">
      <c r="A410" s="13" t="n"/>
      <c r="B410" s="13" t="n"/>
    </row>
    <row r="411" ht="15.75" customHeight="1" s="74">
      <c r="A411" s="13" t="n"/>
      <c r="B411" s="13" t="n"/>
    </row>
    <row r="412" ht="15.75" customHeight="1" s="74">
      <c r="A412" s="13" t="n"/>
      <c r="B412" s="13" t="n"/>
    </row>
    <row r="413" ht="15.75" customHeight="1" s="74">
      <c r="A413" s="13" t="n"/>
      <c r="B413" s="13" t="n"/>
    </row>
    <row r="414" ht="15.75" customHeight="1" s="74">
      <c r="A414" s="13" t="n"/>
      <c r="B414" s="13" t="n"/>
    </row>
    <row r="415" ht="15.75" customHeight="1" s="74">
      <c r="A415" s="13" t="n"/>
      <c r="B415" s="13" t="n"/>
    </row>
    <row r="416" ht="15.75" customHeight="1" s="74">
      <c r="A416" s="13" t="n"/>
      <c r="B416" s="13" t="n"/>
    </row>
    <row r="417" ht="15.75" customHeight="1" s="74">
      <c r="A417" s="13" t="n"/>
      <c r="B417" s="13" t="n"/>
    </row>
    <row r="418" ht="15.75" customHeight="1" s="74">
      <c r="A418" s="13" t="n"/>
      <c r="B418" s="13" t="n"/>
    </row>
    <row r="419" ht="15.75" customHeight="1" s="74">
      <c r="A419" s="13" t="n"/>
      <c r="B419" s="13" t="n"/>
    </row>
    <row r="420" ht="15.75" customHeight="1" s="74">
      <c r="A420" s="13" t="n"/>
      <c r="B420" s="13" t="n"/>
    </row>
    <row r="421" ht="15.75" customHeight="1" s="74">
      <c r="A421" s="13" t="n"/>
      <c r="B421" s="13" t="n"/>
    </row>
    <row r="422" ht="15.75" customHeight="1" s="74">
      <c r="A422" s="13" t="n"/>
      <c r="B422" s="13" t="n"/>
    </row>
    <row r="423" ht="15.75" customHeight="1" s="74">
      <c r="A423" s="13" t="n"/>
      <c r="B423" s="13" t="n"/>
    </row>
    <row r="424" ht="15.75" customHeight="1" s="74">
      <c r="A424" s="13" t="n"/>
      <c r="B424" s="13" t="n"/>
    </row>
    <row r="425" ht="15.75" customHeight="1" s="74">
      <c r="A425" s="13" t="n"/>
      <c r="B425" s="13" t="n"/>
    </row>
    <row r="426" ht="15.75" customHeight="1" s="74">
      <c r="A426" s="13" t="n"/>
      <c r="B426" s="13" t="n"/>
    </row>
    <row r="427" ht="15.75" customHeight="1" s="74">
      <c r="A427" s="13" t="n"/>
      <c r="B427" s="13" t="n"/>
    </row>
    <row r="428" ht="15.75" customHeight="1" s="74">
      <c r="A428" s="13" t="n"/>
      <c r="B428" s="13" t="n"/>
    </row>
    <row r="429" ht="15.75" customHeight="1" s="74">
      <c r="A429" s="13" t="n"/>
      <c r="B429" s="13" t="n"/>
    </row>
    <row r="430" ht="15.75" customHeight="1" s="74">
      <c r="A430" s="13" t="n"/>
      <c r="B430" s="13" t="n"/>
    </row>
    <row r="431" ht="15.75" customHeight="1" s="74">
      <c r="A431" s="13" t="n"/>
      <c r="B431" s="13" t="n"/>
    </row>
    <row r="432" ht="15.75" customHeight="1" s="74">
      <c r="A432" s="13" t="n"/>
      <c r="B432" s="13" t="n"/>
    </row>
    <row r="433" ht="15.75" customHeight="1" s="74">
      <c r="A433" s="13" t="n"/>
      <c r="B433" s="13" t="n"/>
    </row>
    <row r="434" ht="15.75" customHeight="1" s="74">
      <c r="A434" s="13" t="n"/>
      <c r="B434" s="13" t="n"/>
    </row>
    <row r="435" ht="15.75" customHeight="1" s="74">
      <c r="A435" s="13" t="n"/>
      <c r="B435" s="13" t="n"/>
    </row>
    <row r="436" ht="15.75" customHeight="1" s="74">
      <c r="A436" s="13" t="n"/>
      <c r="B436" s="13" t="n"/>
    </row>
    <row r="437" ht="15.75" customHeight="1" s="74">
      <c r="A437" s="13" t="n"/>
      <c r="B437" s="13" t="n"/>
    </row>
    <row r="438" ht="15.75" customHeight="1" s="74">
      <c r="A438" s="13" t="n"/>
      <c r="B438" s="13" t="n"/>
    </row>
    <row r="439" ht="15.75" customHeight="1" s="74">
      <c r="A439" s="13" t="n"/>
      <c r="B439" s="13" t="n"/>
    </row>
    <row r="440" ht="15.75" customHeight="1" s="74">
      <c r="A440" s="13" t="n"/>
      <c r="B440" s="13" t="n"/>
    </row>
    <row r="441" ht="15.75" customHeight="1" s="74">
      <c r="A441" s="13" t="n"/>
      <c r="B441" s="13" t="n"/>
    </row>
    <row r="442" ht="15.75" customHeight="1" s="74">
      <c r="A442" s="13" t="n"/>
      <c r="B442" s="13" t="n"/>
    </row>
    <row r="443" ht="15.75" customHeight="1" s="74">
      <c r="A443" s="13" t="n"/>
      <c r="B443" s="13" t="n"/>
    </row>
    <row r="444" ht="15.75" customHeight="1" s="74">
      <c r="A444" s="13" t="n"/>
      <c r="B444" s="13" t="n"/>
    </row>
    <row r="445" ht="15.75" customHeight="1" s="74">
      <c r="A445" s="13" t="n"/>
      <c r="B445" s="13" t="n"/>
    </row>
    <row r="446" ht="15.75" customHeight="1" s="74">
      <c r="A446" s="13" t="n"/>
      <c r="B446" s="13" t="n"/>
    </row>
    <row r="447" ht="15.75" customHeight="1" s="74">
      <c r="A447" s="13" t="n"/>
      <c r="B447" s="13" t="n"/>
    </row>
    <row r="448" ht="15.75" customHeight="1" s="74">
      <c r="A448" s="13" t="n"/>
      <c r="B448" s="13" t="n"/>
    </row>
    <row r="449" ht="15.75" customHeight="1" s="74">
      <c r="A449" s="13" t="n"/>
      <c r="B449" s="13" t="n"/>
    </row>
    <row r="450" ht="15.75" customHeight="1" s="74">
      <c r="A450" s="13" t="n"/>
      <c r="B450" s="13" t="n"/>
    </row>
    <row r="451" ht="15.75" customHeight="1" s="74">
      <c r="A451" s="13" t="n"/>
      <c r="B451" s="13" t="n"/>
    </row>
    <row r="452" ht="15.75" customHeight="1" s="74">
      <c r="A452" s="13" t="n"/>
      <c r="B452" s="13" t="n"/>
    </row>
    <row r="453" ht="15.75" customHeight="1" s="74">
      <c r="A453" s="13" t="n"/>
      <c r="B453" s="13" t="n"/>
    </row>
    <row r="454" ht="15.75" customHeight="1" s="74">
      <c r="A454" s="13" t="n"/>
      <c r="B454" s="13" t="n"/>
    </row>
    <row r="455" ht="15.75" customHeight="1" s="74">
      <c r="A455" s="13" t="n"/>
      <c r="B455" s="13" t="n"/>
    </row>
    <row r="456" ht="15.75" customHeight="1" s="74">
      <c r="A456" s="13" t="n"/>
      <c r="B456" s="13" t="n"/>
    </row>
    <row r="457" ht="15.75" customHeight="1" s="74">
      <c r="A457" s="13" t="n"/>
      <c r="B457" s="13" t="n"/>
    </row>
    <row r="458" ht="15.75" customHeight="1" s="74">
      <c r="A458" s="13" t="n"/>
      <c r="B458" s="13" t="n"/>
    </row>
    <row r="459" ht="15.75" customHeight="1" s="74">
      <c r="A459" s="13" t="n"/>
      <c r="B459" s="13" t="n"/>
    </row>
    <row r="460" ht="15.75" customHeight="1" s="74">
      <c r="A460" s="13" t="n"/>
      <c r="B460" s="13" t="n"/>
    </row>
    <row r="461" ht="15.75" customHeight="1" s="74">
      <c r="A461" s="13" t="n"/>
      <c r="B461" s="13" t="n"/>
    </row>
    <row r="462" ht="15.75" customHeight="1" s="74">
      <c r="A462" s="13" t="n"/>
      <c r="B462" s="13" t="n"/>
    </row>
    <row r="463" ht="15.75" customHeight="1" s="74">
      <c r="A463" s="13" t="n"/>
      <c r="B463" s="13" t="n"/>
    </row>
    <row r="464" ht="15.75" customHeight="1" s="74">
      <c r="A464" s="13" t="n"/>
      <c r="B464" s="13" t="n"/>
    </row>
    <row r="465" ht="15.75" customHeight="1" s="74">
      <c r="A465" s="13" t="n"/>
      <c r="B465" s="13" t="n"/>
    </row>
    <row r="466" ht="15.75" customHeight="1" s="74">
      <c r="A466" s="13" t="n"/>
      <c r="B466" s="13" t="n"/>
    </row>
    <row r="467" ht="15.75" customHeight="1" s="74">
      <c r="A467" s="13" t="n"/>
      <c r="B467" s="13" t="n"/>
    </row>
    <row r="468" ht="15.75" customHeight="1" s="74">
      <c r="A468" s="13" t="n"/>
      <c r="B468" s="13" t="n"/>
    </row>
    <row r="469" ht="15.75" customHeight="1" s="74">
      <c r="A469" s="13" t="n"/>
      <c r="B469" s="13" t="n"/>
    </row>
    <row r="470" ht="15.75" customHeight="1" s="74">
      <c r="A470" s="13" t="n"/>
      <c r="B470" s="13" t="n"/>
    </row>
    <row r="471" ht="15.75" customHeight="1" s="74">
      <c r="A471" s="13" t="n"/>
      <c r="B471" s="13" t="n"/>
    </row>
    <row r="472" ht="15.75" customHeight="1" s="74">
      <c r="A472" s="13" t="n"/>
      <c r="B472" s="13" t="n"/>
    </row>
    <row r="473" ht="15.75" customHeight="1" s="74">
      <c r="A473" s="13" t="n"/>
      <c r="B473" s="13" t="n"/>
    </row>
    <row r="474" ht="15.75" customHeight="1" s="74">
      <c r="A474" s="13" t="n"/>
      <c r="B474" s="13" t="n"/>
    </row>
    <row r="475" ht="15.75" customHeight="1" s="74">
      <c r="A475" s="13" t="n"/>
      <c r="B475" s="13" t="n"/>
    </row>
    <row r="476" ht="15.75" customHeight="1" s="74">
      <c r="A476" s="13" t="n"/>
      <c r="B476" s="13" t="n"/>
    </row>
    <row r="477" ht="15.75" customHeight="1" s="74">
      <c r="A477" s="13" t="n"/>
      <c r="B477" s="13" t="n"/>
    </row>
    <row r="478" ht="15.75" customHeight="1" s="74">
      <c r="A478" s="13" t="n"/>
      <c r="B478" s="13" t="n"/>
    </row>
    <row r="479" ht="15.75" customHeight="1" s="74">
      <c r="A479" s="13" t="n"/>
      <c r="B479" s="13" t="n"/>
    </row>
    <row r="480" ht="15.75" customHeight="1" s="74">
      <c r="A480" s="13" t="n"/>
      <c r="B480" s="13" t="n"/>
    </row>
    <row r="481" ht="15.75" customHeight="1" s="74">
      <c r="A481" s="13" t="n"/>
      <c r="B481" s="13" t="n"/>
    </row>
    <row r="482" ht="15.75" customHeight="1" s="74">
      <c r="A482" s="13" t="n"/>
      <c r="B482" s="13" t="n"/>
    </row>
    <row r="483" ht="15.75" customHeight="1" s="74">
      <c r="A483" s="13" t="n"/>
      <c r="B483" s="13" t="n"/>
    </row>
    <row r="484" ht="15.75" customHeight="1" s="74">
      <c r="A484" s="13" t="n"/>
      <c r="B484" s="13" t="n"/>
    </row>
    <row r="485" ht="15.75" customHeight="1" s="74">
      <c r="A485" s="13" t="n"/>
      <c r="B485" s="13" t="n"/>
    </row>
    <row r="486" ht="15.75" customHeight="1" s="74">
      <c r="A486" s="13" t="n"/>
      <c r="B486" s="13" t="n"/>
    </row>
    <row r="487" ht="15.75" customHeight="1" s="74">
      <c r="A487" s="13" t="n"/>
      <c r="B487" s="13" t="n"/>
    </row>
    <row r="488" ht="15.75" customHeight="1" s="74">
      <c r="A488" s="13" t="n"/>
      <c r="B488" s="13" t="n"/>
    </row>
    <row r="489" ht="15.75" customHeight="1" s="74">
      <c r="A489" s="13" t="n"/>
      <c r="B489" s="13" t="n"/>
    </row>
    <row r="490" ht="15.75" customHeight="1" s="74">
      <c r="A490" s="13" t="n"/>
      <c r="B490" s="13" t="n"/>
    </row>
    <row r="491" ht="15.75" customHeight="1" s="74">
      <c r="A491" s="13" t="n"/>
      <c r="B491" s="13" t="n"/>
    </row>
    <row r="492" ht="15.75" customHeight="1" s="74">
      <c r="A492" s="13" t="n"/>
      <c r="B492" s="13" t="n"/>
    </row>
    <row r="493" ht="15.75" customHeight="1" s="74">
      <c r="A493" s="13" t="n"/>
      <c r="B493" s="13" t="n"/>
    </row>
    <row r="494" ht="15.75" customHeight="1" s="74">
      <c r="A494" s="13" t="n"/>
      <c r="B494" s="13" t="n"/>
    </row>
    <row r="495" ht="15.75" customHeight="1" s="74">
      <c r="A495" s="13" t="n"/>
      <c r="B495" s="13" t="n"/>
    </row>
    <row r="496" ht="15.75" customHeight="1" s="74">
      <c r="A496" s="13" t="n"/>
      <c r="B496" s="13" t="n"/>
    </row>
    <row r="497" ht="15.75" customHeight="1" s="74">
      <c r="A497" s="13" t="n"/>
      <c r="B497" s="13" t="n"/>
    </row>
    <row r="498" ht="15.75" customHeight="1" s="74">
      <c r="A498" s="13" t="n"/>
      <c r="B498" s="13" t="n"/>
    </row>
    <row r="499" ht="15.75" customHeight="1" s="74">
      <c r="A499" s="13" t="n"/>
      <c r="B499" s="13" t="n"/>
    </row>
    <row r="500" ht="15.75" customHeight="1" s="74">
      <c r="A500" s="13" t="n"/>
      <c r="B500" s="13" t="n"/>
    </row>
    <row r="501" ht="15.75" customHeight="1" s="74">
      <c r="A501" s="13" t="n"/>
      <c r="B501" s="13" t="n"/>
    </row>
    <row r="502" ht="15.75" customHeight="1" s="74">
      <c r="A502" s="13" t="n"/>
      <c r="B502" s="13" t="n"/>
    </row>
    <row r="503" ht="15.75" customHeight="1" s="74">
      <c r="A503" s="13" t="n"/>
      <c r="B503" s="13" t="n"/>
    </row>
    <row r="504" ht="15.75" customHeight="1" s="74">
      <c r="A504" s="13" t="n"/>
      <c r="B504" s="13" t="n"/>
    </row>
    <row r="505" ht="15.75" customHeight="1" s="74">
      <c r="A505" s="13" t="n"/>
      <c r="B505" s="13" t="n"/>
    </row>
    <row r="506" ht="15.75" customHeight="1" s="74">
      <c r="A506" s="13" t="n"/>
      <c r="B506" s="13" t="n"/>
    </row>
    <row r="507" ht="15.75" customHeight="1" s="74">
      <c r="A507" s="13" t="n"/>
      <c r="B507" s="13" t="n"/>
    </row>
    <row r="508" ht="15.75" customHeight="1" s="74">
      <c r="A508" s="13" t="n"/>
      <c r="B508" s="13" t="n"/>
    </row>
    <row r="509" ht="15.75" customHeight="1" s="74">
      <c r="A509" s="13" t="n"/>
      <c r="B509" s="13" t="n"/>
    </row>
    <row r="510" ht="15.75" customHeight="1" s="74">
      <c r="A510" s="13" t="n"/>
      <c r="B510" s="13" t="n"/>
    </row>
    <row r="511" ht="15.75" customHeight="1" s="74">
      <c r="A511" s="13" t="n"/>
      <c r="B511" s="13" t="n"/>
    </row>
    <row r="512" ht="15.75" customHeight="1" s="74">
      <c r="A512" s="13" t="n"/>
      <c r="B512" s="13" t="n"/>
    </row>
    <row r="513" ht="15.75" customHeight="1" s="74">
      <c r="A513" s="13" t="n"/>
      <c r="B513" s="13" t="n"/>
    </row>
    <row r="514" ht="15.75" customHeight="1" s="74">
      <c r="A514" s="13" t="n"/>
      <c r="B514" s="13" t="n"/>
    </row>
    <row r="515" ht="15.75" customHeight="1" s="74">
      <c r="A515" s="13" t="n"/>
      <c r="B515" s="13" t="n"/>
    </row>
    <row r="516" ht="15.75" customHeight="1" s="74">
      <c r="A516" s="13" t="n"/>
      <c r="B516" s="13" t="n"/>
    </row>
    <row r="517" ht="15.75" customHeight="1" s="74">
      <c r="A517" s="13" t="n"/>
      <c r="B517" s="13" t="n"/>
    </row>
    <row r="518" ht="15.75" customHeight="1" s="74">
      <c r="A518" s="13" t="n"/>
      <c r="B518" s="13" t="n"/>
    </row>
    <row r="519" ht="15.75" customHeight="1" s="74">
      <c r="A519" s="13" t="n"/>
      <c r="B519" s="13" t="n"/>
    </row>
    <row r="520" ht="15.75" customHeight="1" s="74">
      <c r="A520" s="13" t="n"/>
      <c r="B520" s="13" t="n"/>
    </row>
    <row r="521" ht="15.75" customHeight="1" s="74">
      <c r="A521" s="13" t="n"/>
      <c r="B521" s="13" t="n"/>
    </row>
    <row r="522" ht="15.75" customHeight="1" s="74">
      <c r="A522" s="13" t="n"/>
      <c r="B522" s="13" t="n"/>
    </row>
    <row r="523" ht="15.75" customHeight="1" s="74">
      <c r="A523" s="13" t="n"/>
      <c r="B523" s="13" t="n"/>
    </row>
    <row r="524" ht="15.75" customHeight="1" s="74">
      <c r="A524" s="13" t="n"/>
      <c r="B524" s="13" t="n"/>
    </row>
    <row r="525" ht="15.75" customHeight="1" s="74">
      <c r="A525" s="13" t="n"/>
      <c r="B525" s="13" t="n"/>
    </row>
    <row r="526" ht="15.75" customHeight="1" s="74">
      <c r="A526" s="13" t="n"/>
      <c r="B526" s="13" t="n"/>
    </row>
    <row r="527" ht="15.75" customHeight="1" s="74">
      <c r="A527" s="13" t="n"/>
      <c r="B527" s="13" t="n"/>
    </row>
    <row r="528" ht="15.75" customHeight="1" s="74">
      <c r="A528" s="13" t="n"/>
      <c r="B528" s="13" t="n"/>
    </row>
    <row r="529" ht="15.75" customHeight="1" s="74">
      <c r="A529" s="13" t="n"/>
      <c r="B529" s="13" t="n"/>
    </row>
    <row r="530" ht="15.75" customHeight="1" s="74">
      <c r="A530" s="13" t="n"/>
      <c r="B530" s="13" t="n"/>
    </row>
    <row r="531" ht="15.75" customHeight="1" s="74">
      <c r="A531" s="13" t="n"/>
      <c r="B531" s="13" t="n"/>
    </row>
    <row r="532" ht="15.75" customHeight="1" s="74">
      <c r="A532" s="13" t="n"/>
      <c r="B532" s="13" t="n"/>
    </row>
    <row r="533" ht="15.75" customHeight="1" s="74">
      <c r="A533" s="13" t="n"/>
      <c r="B533" s="13" t="n"/>
    </row>
    <row r="534" ht="15.75" customHeight="1" s="74">
      <c r="A534" s="13" t="n"/>
      <c r="B534" s="13" t="n"/>
    </row>
    <row r="535" ht="15.75" customHeight="1" s="74">
      <c r="A535" s="13" t="n"/>
      <c r="B535" s="13" t="n"/>
    </row>
    <row r="536" ht="15.75" customHeight="1" s="74">
      <c r="A536" s="13" t="n"/>
      <c r="B536" s="13" t="n"/>
    </row>
    <row r="537" ht="15.75" customHeight="1" s="74">
      <c r="A537" s="13" t="n"/>
      <c r="B537" s="13" t="n"/>
    </row>
    <row r="538" ht="15.75" customHeight="1" s="74">
      <c r="A538" s="13" t="n"/>
      <c r="B538" s="13" t="n"/>
    </row>
    <row r="539" ht="15.75" customHeight="1" s="74">
      <c r="A539" s="13" t="n"/>
      <c r="B539" s="13" t="n"/>
    </row>
    <row r="540" ht="15.75" customHeight="1" s="74">
      <c r="A540" s="13" t="n"/>
      <c r="B540" s="13" t="n"/>
    </row>
    <row r="541" ht="15.75" customHeight="1" s="74">
      <c r="A541" s="13" t="n"/>
      <c r="B541" s="13" t="n"/>
    </row>
    <row r="542" ht="15.75" customHeight="1" s="74">
      <c r="A542" s="13" t="n"/>
      <c r="B542" s="13" t="n"/>
    </row>
    <row r="543" ht="15.75" customHeight="1" s="74">
      <c r="A543" s="13" t="n"/>
      <c r="B543" s="13" t="n"/>
    </row>
    <row r="544" ht="15.75" customHeight="1" s="74">
      <c r="A544" s="13" t="n"/>
      <c r="B544" s="13" t="n"/>
    </row>
    <row r="545" ht="15.75" customHeight="1" s="74">
      <c r="A545" s="13" t="n"/>
      <c r="B545" s="13" t="n"/>
    </row>
    <row r="546" ht="15.75" customHeight="1" s="74">
      <c r="A546" s="13" t="n"/>
      <c r="B546" s="13" t="n"/>
    </row>
    <row r="547" ht="15.75" customHeight="1" s="74">
      <c r="A547" s="13" t="n"/>
      <c r="B547" s="13" t="n"/>
    </row>
    <row r="548" ht="15.75" customHeight="1" s="74">
      <c r="A548" s="13" t="n"/>
      <c r="B548" s="13" t="n"/>
    </row>
    <row r="549" ht="15.75" customHeight="1" s="74">
      <c r="A549" s="13" t="n"/>
      <c r="B549" s="13" t="n"/>
    </row>
    <row r="550" ht="15.75" customHeight="1" s="74">
      <c r="A550" s="13" t="n"/>
      <c r="B550" s="13" t="n"/>
    </row>
    <row r="551" ht="15.75" customHeight="1" s="74">
      <c r="A551" s="13" t="n"/>
      <c r="B551" s="13" t="n"/>
    </row>
    <row r="552" ht="15.75" customHeight="1" s="74">
      <c r="A552" s="13" t="n"/>
      <c r="B552" s="13" t="n"/>
    </row>
    <row r="553" ht="15.75" customHeight="1" s="74">
      <c r="A553" s="13" t="n"/>
      <c r="B553" s="13" t="n"/>
    </row>
    <row r="554" ht="15.75" customHeight="1" s="74">
      <c r="A554" s="13" t="n"/>
      <c r="B554" s="13" t="n"/>
    </row>
    <row r="555" ht="15.75" customHeight="1" s="74">
      <c r="A555" s="13" t="n"/>
      <c r="B555" s="13" t="n"/>
    </row>
    <row r="556" ht="15.75" customHeight="1" s="74">
      <c r="A556" s="13" t="n"/>
      <c r="B556" s="13" t="n"/>
    </row>
    <row r="557" ht="15.75" customHeight="1" s="74">
      <c r="A557" s="13" t="n"/>
      <c r="B557" s="13" t="n"/>
    </row>
    <row r="558" ht="15.75" customHeight="1" s="74">
      <c r="A558" s="13" t="n"/>
      <c r="B558" s="13" t="n"/>
    </row>
    <row r="559" ht="15.75" customHeight="1" s="74">
      <c r="A559" s="13" t="n"/>
      <c r="B559" s="13" t="n"/>
    </row>
    <row r="560" ht="15.75" customHeight="1" s="74">
      <c r="A560" s="13" t="n"/>
      <c r="B560" s="13" t="n"/>
    </row>
    <row r="561" ht="15.75" customHeight="1" s="74">
      <c r="A561" s="13" t="n"/>
      <c r="B561" s="13" t="n"/>
    </row>
    <row r="562" ht="15.75" customHeight="1" s="74">
      <c r="A562" s="13" t="n"/>
      <c r="B562" s="13" t="n"/>
    </row>
    <row r="563" ht="15.75" customHeight="1" s="74">
      <c r="A563" s="13" t="n"/>
      <c r="B563" s="13" t="n"/>
    </row>
    <row r="564" ht="15.75" customHeight="1" s="74">
      <c r="A564" s="13" t="n"/>
      <c r="B564" s="13" t="n"/>
    </row>
    <row r="565" ht="15.75" customHeight="1" s="74">
      <c r="A565" s="13" t="n"/>
      <c r="B565" s="13" t="n"/>
    </row>
    <row r="566" ht="15.75" customHeight="1" s="74">
      <c r="A566" s="13" t="n"/>
      <c r="B566" s="13" t="n"/>
    </row>
    <row r="567" ht="15.75" customHeight="1" s="74">
      <c r="A567" s="13" t="n"/>
      <c r="B567" s="13" t="n"/>
    </row>
    <row r="568" ht="15.75" customHeight="1" s="74">
      <c r="A568" s="13" t="n"/>
      <c r="B568" s="13" t="n"/>
    </row>
    <row r="569" ht="15.75" customHeight="1" s="74">
      <c r="A569" s="13" t="n"/>
      <c r="B569" s="13" t="n"/>
    </row>
    <row r="570" ht="15.75" customHeight="1" s="74">
      <c r="A570" s="13" t="n"/>
      <c r="B570" s="13" t="n"/>
    </row>
    <row r="571" ht="15.75" customHeight="1" s="74">
      <c r="A571" s="13" t="n"/>
      <c r="B571" s="13" t="n"/>
    </row>
    <row r="572" ht="15.75" customHeight="1" s="74">
      <c r="A572" s="13" t="n"/>
      <c r="B572" s="13" t="n"/>
    </row>
    <row r="573" ht="15.75" customHeight="1" s="74">
      <c r="A573" s="13" t="n"/>
      <c r="B573" s="13" t="n"/>
    </row>
    <row r="574" ht="15.75" customHeight="1" s="74">
      <c r="A574" s="13" t="n"/>
      <c r="B574" s="13" t="n"/>
    </row>
    <row r="575" ht="15.75" customHeight="1" s="74">
      <c r="A575" s="13" t="n"/>
      <c r="B575" s="13" t="n"/>
    </row>
    <row r="576" ht="15.75" customHeight="1" s="74">
      <c r="A576" s="13" t="n"/>
      <c r="B576" s="13" t="n"/>
    </row>
    <row r="577" ht="15.75" customHeight="1" s="74">
      <c r="A577" s="13" t="n"/>
      <c r="B577" s="13" t="n"/>
    </row>
    <row r="578" ht="15.75" customHeight="1" s="74">
      <c r="A578" s="13" t="n"/>
      <c r="B578" s="13" t="n"/>
    </row>
    <row r="579" ht="15.75" customHeight="1" s="74">
      <c r="A579" s="13" t="n"/>
      <c r="B579" s="13" t="n"/>
    </row>
    <row r="580" ht="15.75" customHeight="1" s="74">
      <c r="A580" s="13" t="n"/>
      <c r="B580" s="13" t="n"/>
    </row>
    <row r="581" ht="15.75" customHeight="1" s="74">
      <c r="A581" s="13" t="n"/>
      <c r="B581" s="13" t="n"/>
    </row>
    <row r="582" ht="15.75" customHeight="1" s="74">
      <c r="A582" s="13" t="n"/>
      <c r="B582" s="13" t="n"/>
    </row>
    <row r="583" ht="15.75" customHeight="1" s="74">
      <c r="A583" s="13" t="n"/>
      <c r="B583" s="13" t="n"/>
    </row>
    <row r="584" ht="15.75" customHeight="1" s="74">
      <c r="A584" s="13" t="n"/>
      <c r="B584" s="13" t="n"/>
    </row>
    <row r="585" ht="15.75" customHeight="1" s="74">
      <c r="A585" s="13" t="n"/>
      <c r="B585" s="13" t="n"/>
    </row>
    <row r="586" ht="15.75" customHeight="1" s="74">
      <c r="A586" s="13" t="n"/>
      <c r="B586" s="13" t="n"/>
    </row>
    <row r="587" ht="15.75" customHeight="1" s="74">
      <c r="A587" s="13" t="n"/>
      <c r="B587" s="13" t="n"/>
    </row>
    <row r="588" ht="15.75" customHeight="1" s="74">
      <c r="A588" s="13" t="n"/>
      <c r="B588" s="13" t="n"/>
    </row>
    <row r="589" ht="15.75" customHeight="1" s="74">
      <c r="A589" s="13" t="n"/>
      <c r="B589" s="13" t="n"/>
    </row>
    <row r="590" ht="15.75" customHeight="1" s="74">
      <c r="A590" s="13" t="n"/>
      <c r="B590" s="13" t="n"/>
    </row>
    <row r="591" ht="15.75" customHeight="1" s="74">
      <c r="A591" s="13" t="n"/>
      <c r="B591" s="13" t="n"/>
    </row>
    <row r="592" ht="15.75" customHeight="1" s="74">
      <c r="A592" s="13" t="n"/>
      <c r="B592" s="13" t="n"/>
    </row>
    <row r="593" ht="15.75" customHeight="1" s="74">
      <c r="A593" s="13" t="n"/>
      <c r="B593" s="13" t="n"/>
    </row>
    <row r="594" ht="15.75" customHeight="1" s="74">
      <c r="A594" s="13" t="n"/>
      <c r="B594" s="13" t="n"/>
    </row>
    <row r="595" ht="15.75" customHeight="1" s="74">
      <c r="A595" s="13" t="n"/>
      <c r="B595" s="13" t="n"/>
    </row>
    <row r="596" ht="15.75" customHeight="1" s="74">
      <c r="A596" s="13" t="n"/>
      <c r="B596" s="13" t="n"/>
    </row>
    <row r="597" ht="15.75" customHeight="1" s="74">
      <c r="A597" s="13" t="n"/>
      <c r="B597" s="13" t="n"/>
    </row>
    <row r="598" ht="15.75" customHeight="1" s="74">
      <c r="A598" s="13" t="n"/>
      <c r="B598" s="13" t="n"/>
    </row>
    <row r="599" ht="15.75" customHeight="1" s="74">
      <c r="A599" s="13" t="n"/>
      <c r="B599" s="13" t="n"/>
    </row>
    <row r="600" ht="15.75" customHeight="1" s="74">
      <c r="A600" s="13" t="n"/>
      <c r="B600" s="13" t="n"/>
    </row>
    <row r="601" ht="15.75" customHeight="1" s="74">
      <c r="A601" s="13" t="n"/>
      <c r="B601" s="13" t="n"/>
    </row>
    <row r="602" ht="15.75" customHeight="1" s="74">
      <c r="A602" s="13" t="n"/>
      <c r="B602" s="13" t="n"/>
    </row>
    <row r="603" ht="15.75" customHeight="1" s="74">
      <c r="A603" s="13" t="n"/>
      <c r="B603" s="13" t="n"/>
    </row>
    <row r="604" ht="15.75" customHeight="1" s="74">
      <c r="A604" s="13" t="n"/>
      <c r="B604" s="13" t="n"/>
    </row>
    <row r="605" ht="15.75" customHeight="1" s="74">
      <c r="A605" s="13" t="n"/>
      <c r="B605" s="13" t="n"/>
    </row>
    <row r="606" ht="15.75" customHeight="1" s="74">
      <c r="A606" s="13" t="n"/>
      <c r="B606" s="13" t="n"/>
    </row>
    <row r="607" ht="15.75" customHeight="1" s="74">
      <c r="A607" s="13" t="n"/>
      <c r="B607" s="13" t="n"/>
    </row>
    <row r="608" ht="15.75" customHeight="1" s="74">
      <c r="A608" s="13" t="n"/>
      <c r="B608" s="13" t="n"/>
    </row>
    <row r="609" ht="15.75" customHeight="1" s="74">
      <c r="A609" s="13" t="n"/>
      <c r="B609" s="13" t="n"/>
    </row>
    <row r="610" ht="15.75" customHeight="1" s="74">
      <c r="A610" s="13" t="n"/>
      <c r="B610" s="13" t="n"/>
    </row>
    <row r="611" ht="15.75" customHeight="1" s="74">
      <c r="A611" s="13" t="n"/>
      <c r="B611" s="13" t="n"/>
    </row>
    <row r="612" ht="15.75" customHeight="1" s="74">
      <c r="A612" s="13" t="n"/>
      <c r="B612" s="13" t="n"/>
    </row>
    <row r="613" ht="15.75" customHeight="1" s="74">
      <c r="A613" s="13" t="n"/>
      <c r="B613" s="13" t="n"/>
    </row>
    <row r="614" ht="15.75" customHeight="1" s="74">
      <c r="A614" s="13" t="n"/>
      <c r="B614" s="13" t="n"/>
    </row>
    <row r="615" ht="15.75" customHeight="1" s="74">
      <c r="A615" s="13" t="n"/>
      <c r="B615" s="13" t="n"/>
    </row>
    <row r="616" ht="15.75" customHeight="1" s="74">
      <c r="A616" s="13" t="n"/>
      <c r="B616" s="13" t="n"/>
    </row>
    <row r="617" ht="15.75" customHeight="1" s="74">
      <c r="A617" s="13" t="n"/>
      <c r="B617" s="13" t="n"/>
    </row>
    <row r="618" ht="15.75" customHeight="1" s="74">
      <c r="A618" s="13" t="n"/>
      <c r="B618" s="13" t="n"/>
    </row>
    <row r="619" ht="15.75" customHeight="1" s="74">
      <c r="A619" s="13" t="n"/>
      <c r="B619" s="13" t="n"/>
    </row>
    <row r="620" ht="15.75" customHeight="1" s="74">
      <c r="A620" s="13" t="n"/>
      <c r="B620" s="13" t="n"/>
    </row>
    <row r="621" ht="15.75" customHeight="1" s="74">
      <c r="A621" s="13" t="n"/>
      <c r="B621" s="13" t="n"/>
    </row>
    <row r="622" ht="15.75" customHeight="1" s="74">
      <c r="A622" s="13" t="n"/>
      <c r="B622" s="13" t="n"/>
    </row>
    <row r="623" ht="15.75" customHeight="1" s="74">
      <c r="A623" s="13" t="n"/>
      <c r="B623" s="13" t="n"/>
    </row>
    <row r="624" ht="15.75" customHeight="1" s="74">
      <c r="A624" s="13" t="n"/>
      <c r="B624" s="13" t="n"/>
    </row>
    <row r="625" ht="15.75" customHeight="1" s="74">
      <c r="A625" s="13" t="n"/>
      <c r="B625" s="13" t="n"/>
    </row>
    <row r="626" ht="15.75" customHeight="1" s="74">
      <c r="A626" s="13" t="n"/>
      <c r="B626" s="13" t="n"/>
    </row>
    <row r="627" ht="15.75" customHeight="1" s="74">
      <c r="A627" s="13" t="n"/>
      <c r="B627" s="13" t="n"/>
    </row>
    <row r="628" ht="15.75" customHeight="1" s="74">
      <c r="A628" s="13" t="n"/>
      <c r="B628" s="13" t="n"/>
    </row>
    <row r="629" ht="15.75" customHeight="1" s="74">
      <c r="A629" s="13" t="n"/>
      <c r="B629" s="13" t="n"/>
    </row>
    <row r="630" ht="15.75" customHeight="1" s="74">
      <c r="A630" s="13" t="n"/>
      <c r="B630" s="13" t="n"/>
    </row>
    <row r="631" ht="15.75" customHeight="1" s="74">
      <c r="A631" s="13" t="n"/>
      <c r="B631" s="13" t="n"/>
    </row>
    <row r="632" ht="15.75" customHeight="1" s="74">
      <c r="A632" s="13" t="n"/>
      <c r="B632" s="13" t="n"/>
    </row>
    <row r="633" ht="15.75" customHeight="1" s="74">
      <c r="A633" s="13" t="n"/>
      <c r="B633" s="13" t="n"/>
    </row>
    <row r="634" ht="15.75" customHeight="1" s="74">
      <c r="A634" s="13" t="n"/>
      <c r="B634" s="13" t="n"/>
    </row>
    <row r="635" ht="15.75" customHeight="1" s="74">
      <c r="A635" s="13" t="n"/>
      <c r="B635" s="13" t="n"/>
    </row>
    <row r="636" ht="15.75" customHeight="1" s="74">
      <c r="A636" s="13" t="n"/>
      <c r="B636" s="13" t="n"/>
    </row>
    <row r="637" ht="15.75" customHeight="1" s="74">
      <c r="A637" s="13" t="n"/>
      <c r="B637" s="13" t="n"/>
    </row>
    <row r="638" ht="15.75" customHeight="1" s="74">
      <c r="A638" s="13" t="n"/>
      <c r="B638" s="13" t="n"/>
    </row>
    <row r="639" ht="15.75" customHeight="1" s="74">
      <c r="A639" s="13" t="n"/>
      <c r="B639" s="13" t="n"/>
    </row>
    <row r="640" ht="15.75" customHeight="1" s="74">
      <c r="A640" s="13" t="n"/>
      <c r="B640" s="13" t="n"/>
    </row>
    <row r="641" ht="15.75" customHeight="1" s="74">
      <c r="A641" s="13" t="n"/>
      <c r="B641" s="13" t="n"/>
    </row>
    <row r="642" ht="15.75" customHeight="1" s="74">
      <c r="A642" s="13" t="n"/>
      <c r="B642" s="13" t="n"/>
    </row>
    <row r="643" ht="15.75" customHeight="1" s="74">
      <c r="A643" s="13" t="n"/>
      <c r="B643" s="13" t="n"/>
    </row>
    <row r="644" ht="15.75" customHeight="1" s="74">
      <c r="A644" s="13" t="n"/>
      <c r="B644" s="13" t="n"/>
    </row>
    <row r="645" ht="15.75" customHeight="1" s="74">
      <c r="A645" s="13" t="n"/>
      <c r="B645" s="13" t="n"/>
    </row>
    <row r="646" ht="15.75" customHeight="1" s="74">
      <c r="A646" s="13" t="n"/>
      <c r="B646" s="13" t="n"/>
    </row>
    <row r="647" ht="15.75" customHeight="1" s="74">
      <c r="A647" s="13" t="n"/>
      <c r="B647" s="13" t="n"/>
    </row>
    <row r="648" ht="15.75" customHeight="1" s="74">
      <c r="A648" s="13" t="n"/>
      <c r="B648" s="13" t="n"/>
    </row>
    <row r="649" ht="15.75" customHeight="1" s="74">
      <c r="A649" s="13" t="n"/>
      <c r="B649" s="13" t="n"/>
    </row>
    <row r="650" ht="15.75" customHeight="1" s="74">
      <c r="A650" s="13" t="n"/>
      <c r="B650" s="13" t="n"/>
    </row>
    <row r="651" ht="15.75" customHeight="1" s="74">
      <c r="A651" s="13" t="n"/>
      <c r="B651" s="13" t="n"/>
    </row>
    <row r="652" ht="15.75" customHeight="1" s="74">
      <c r="A652" s="13" t="n"/>
      <c r="B652" s="13" t="n"/>
    </row>
    <row r="653" ht="15.75" customHeight="1" s="74">
      <c r="A653" s="13" t="n"/>
      <c r="B653" s="13" t="n"/>
    </row>
    <row r="654" ht="15.75" customHeight="1" s="74">
      <c r="A654" s="13" t="n"/>
      <c r="B654" s="13" t="n"/>
    </row>
    <row r="655" ht="15.75" customHeight="1" s="74">
      <c r="A655" s="13" t="n"/>
      <c r="B655" s="13" t="n"/>
    </row>
    <row r="656" ht="15.75" customHeight="1" s="74">
      <c r="A656" s="13" t="n"/>
      <c r="B656" s="13" t="n"/>
    </row>
    <row r="657" ht="15.75" customHeight="1" s="74">
      <c r="A657" s="13" t="n"/>
      <c r="B657" s="13" t="n"/>
    </row>
    <row r="658" ht="15.75" customHeight="1" s="74">
      <c r="A658" s="13" t="n"/>
      <c r="B658" s="13" t="n"/>
    </row>
    <row r="659" ht="15.75" customHeight="1" s="74">
      <c r="A659" s="13" t="n"/>
      <c r="B659" s="13" t="n"/>
    </row>
    <row r="660" ht="15.75" customHeight="1" s="74">
      <c r="A660" s="13" t="n"/>
      <c r="B660" s="13" t="n"/>
    </row>
    <row r="661" ht="15.75" customHeight="1" s="74">
      <c r="A661" s="13" t="n"/>
      <c r="B661" s="13" t="n"/>
    </row>
    <row r="662" ht="15.75" customHeight="1" s="74">
      <c r="A662" s="13" t="n"/>
      <c r="B662" s="13" t="n"/>
    </row>
    <row r="663" ht="15.75" customHeight="1" s="74">
      <c r="A663" s="13" t="n"/>
      <c r="B663" s="13" t="n"/>
    </row>
    <row r="664" ht="15.75" customHeight="1" s="74">
      <c r="A664" s="13" t="n"/>
      <c r="B664" s="13" t="n"/>
    </row>
    <row r="665" ht="15.75" customHeight="1" s="74">
      <c r="A665" s="13" t="n"/>
      <c r="B665" s="13" t="n"/>
    </row>
    <row r="666" ht="15.75" customHeight="1" s="74">
      <c r="A666" s="13" t="n"/>
      <c r="B666" s="13" t="n"/>
    </row>
    <row r="667" ht="15.75" customHeight="1" s="74">
      <c r="A667" s="13" t="n"/>
      <c r="B667" s="13" t="n"/>
    </row>
    <row r="668" ht="15.75" customHeight="1" s="74">
      <c r="A668" s="13" t="n"/>
      <c r="B668" s="13" t="n"/>
    </row>
    <row r="669" ht="15.75" customHeight="1" s="74">
      <c r="A669" s="13" t="n"/>
      <c r="B669" s="13" t="n"/>
    </row>
    <row r="670" ht="15.75" customHeight="1" s="74">
      <c r="A670" s="13" t="n"/>
      <c r="B670" s="13" t="n"/>
    </row>
    <row r="671" ht="15.75" customHeight="1" s="74">
      <c r="A671" s="13" t="n"/>
      <c r="B671" s="13" t="n"/>
    </row>
    <row r="672" ht="15.75" customHeight="1" s="74">
      <c r="A672" s="13" t="n"/>
      <c r="B672" s="13" t="n"/>
    </row>
    <row r="673" ht="15.75" customHeight="1" s="74">
      <c r="A673" s="13" t="n"/>
      <c r="B673" s="13" t="n"/>
    </row>
    <row r="674" ht="15.75" customHeight="1" s="74">
      <c r="A674" s="13" t="n"/>
      <c r="B674" s="13" t="n"/>
    </row>
    <row r="675" ht="15.75" customHeight="1" s="74">
      <c r="A675" s="13" t="n"/>
      <c r="B675" s="13" t="n"/>
    </row>
    <row r="676" ht="15.75" customHeight="1" s="74">
      <c r="A676" s="13" t="n"/>
      <c r="B676" s="13" t="n"/>
    </row>
    <row r="677" ht="15.75" customHeight="1" s="74">
      <c r="A677" s="13" t="n"/>
      <c r="B677" s="13" t="n"/>
    </row>
    <row r="678" ht="15.75" customHeight="1" s="74">
      <c r="A678" s="13" t="n"/>
      <c r="B678" s="13" t="n"/>
    </row>
    <row r="679" ht="15.75" customHeight="1" s="74">
      <c r="A679" s="13" t="n"/>
      <c r="B679" s="13" t="n"/>
    </row>
    <row r="680" ht="15.75" customHeight="1" s="74">
      <c r="A680" s="13" t="n"/>
      <c r="B680" s="13" t="n"/>
    </row>
    <row r="681" ht="15.75" customHeight="1" s="74">
      <c r="A681" s="13" t="n"/>
      <c r="B681" s="13" t="n"/>
    </row>
    <row r="682" ht="15.75" customHeight="1" s="74">
      <c r="A682" s="13" t="n"/>
      <c r="B682" s="13" t="n"/>
    </row>
    <row r="683" ht="15.75" customHeight="1" s="74">
      <c r="A683" s="13" t="n"/>
      <c r="B683" s="13" t="n"/>
    </row>
    <row r="684" ht="15.75" customHeight="1" s="74">
      <c r="A684" s="13" t="n"/>
      <c r="B684" s="13" t="n"/>
    </row>
    <row r="685" ht="15.75" customHeight="1" s="74">
      <c r="A685" s="13" t="n"/>
      <c r="B685" s="13" t="n"/>
    </row>
    <row r="686" ht="15.75" customHeight="1" s="74">
      <c r="A686" s="13" t="n"/>
      <c r="B686" s="13" t="n"/>
    </row>
    <row r="687" ht="15.75" customHeight="1" s="74">
      <c r="A687" s="13" t="n"/>
      <c r="B687" s="13" t="n"/>
    </row>
    <row r="688" ht="15.75" customHeight="1" s="74">
      <c r="A688" s="13" t="n"/>
      <c r="B688" s="13" t="n"/>
    </row>
    <row r="689" ht="15.75" customHeight="1" s="74">
      <c r="A689" s="13" t="n"/>
      <c r="B689" s="13" t="n"/>
    </row>
    <row r="690" ht="15.75" customHeight="1" s="74">
      <c r="A690" s="13" t="n"/>
      <c r="B690" s="13" t="n"/>
    </row>
    <row r="691" ht="15.75" customHeight="1" s="74">
      <c r="A691" s="13" t="n"/>
      <c r="B691" s="13" t="n"/>
    </row>
    <row r="692" ht="15.75" customHeight="1" s="74">
      <c r="A692" s="13" t="n"/>
      <c r="B692" s="13" t="n"/>
    </row>
    <row r="693" ht="15.75" customHeight="1" s="74">
      <c r="A693" s="13" t="n"/>
      <c r="B693" s="13" t="n"/>
    </row>
    <row r="694" ht="15.75" customHeight="1" s="74">
      <c r="A694" s="13" t="n"/>
      <c r="B694" s="13" t="n"/>
    </row>
    <row r="695" ht="15.75" customHeight="1" s="74">
      <c r="A695" s="13" t="n"/>
      <c r="B695" s="13" t="n"/>
    </row>
    <row r="696" ht="15.75" customHeight="1" s="74">
      <c r="A696" s="13" t="n"/>
      <c r="B696" s="13" t="n"/>
    </row>
    <row r="697" ht="15.75" customHeight="1" s="74">
      <c r="A697" s="13" t="n"/>
      <c r="B697" s="13" t="n"/>
    </row>
    <row r="698" ht="15.75" customHeight="1" s="74">
      <c r="A698" s="13" t="n"/>
      <c r="B698" s="13" t="n"/>
    </row>
    <row r="699" ht="15.75" customHeight="1" s="74">
      <c r="A699" s="13" t="n"/>
      <c r="B699" s="13" t="n"/>
    </row>
    <row r="700" ht="15.75" customHeight="1" s="74">
      <c r="A700" s="13" t="n"/>
      <c r="B700" s="13" t="n"/>
    </row>
    <row r="701" ht="15.75" customHeight="1" s="74">
      <c r="A701" s="13" t="n"/>
      <c r="B701" s="13" t="n"/>
    </row>
    <row r="702" ht="15.75" customHeight="1" s="74">
      <c r="A702" s="13" t="n"/>
      <c r="B702" s="13" t="n"/>
    </row>
    <row r="703" ht="15.75" customHeight="1" s="74">
      <c r="A703" s="13" t="n"/>
      <c r="B703" s="13" t="n"/>
    </row>
    <row r="704" ht="15.75" customHeight="1" s="74">
      <c r="A704" s="13" t="n"/>
      <c r="B704" s="13" t="n"/>
    </row>
    <row r="705" ht="15.75" customHeight="1" s="74">
      <c r="A705" s="13" t="n"/>
      <c r="B705" s="13" t="n"/>
    </row>
    <row r="706" ht="15.75" customHeight="1" s="74">
      <c r="A706" s="13" t="n"/>
      <c r="B706" s="13" t="n"/>
    </row>
    <row r="707" ht="15.75" customHeight="1" s="74">
      <c r="A707" s="13" t="n"/>
      <c r="B707" s="13" t="n"/>
    </row>
    <row r="708" ht="15.75" customHeight="1" s="74">
      <c r="A708" s="13" t="n"/>
      <c r="B708" s="13" t="n"/>
    </row>
    <row r="709" ht="15.75" customHeight="1" s="74">
      <c r="A709" s="13" t="n"/>
      <c r="B709" s="13" t="n"/>
    </row>
    <row r="710" ht="15.75" customHeight="1" s="74">
      <c r="A710" s="13" t="n"/>
      <c r="B710" s="13" t="n"/>
    </row>
    <row r="711" ht="15.75" customHeight="1" s="74">
      <c r="A711" s="13" t="n"/>
      <c r="B711" s="13" t="n"/>
    </row>
    <row r="712" ht="15.75" customHeight="1" s="74">
      <c r="A712" s="13" t="n"/>
      <c r="B712" s="13" t="n"/>
    </row>
    <row r="713" ht="15.75" customHeight="1" s="74">
      <c r="A713" s="13" t="n"/>
      <c r="B713" s="13" t="n"/>
    </row>
    <row r="714" ht="15.75" customHeight="1" s="74">
      <c r="A714" s="13" t="n"/>
      <c r="B714" s="13" t="n"/>
    </row>
    <row r="715" ht="15.75" customHeight="1" s="74">
      <c r="A715" s="13" t="n"/>
      <c r="B715" s="13" t="n"/>
    </row>
    <row r="716" ht="15.75" customHeight="1" s="74">
      <c r="A716" s="13" t="n"/>
      <c r="B716" s="13" t="n"/>
    </row>
    <row r="717" ht="15.75" customHeight="1" s="74">
      <c r="A717" s="13" t="n"/>
      <c r="B717" s="13" t="n"/>
    </row>
    <row r="718" ht="15.75" customHeight="1" s="74">
      <c r="A718" s="13" t="n"/>
      <c r="B718" s="13" t="n"/>
    </row>
    <row r="719" ht="15.75" customHeight="1" s="74">
      <c r="A719" s="13" t="n"/>
      <c r="B719" s="13" t="n"/>
    </row>
    <row r="720" ht="15.75" customHeight="1" s="74">
      <c r="A720" s="13" t="n"/>
      <c r="B720" s="13" t="n"/>
    </row>
    <row r="721" ht="15.75" customHeight="1" s="74">
      <c r="A721" s="13" t="n"/>
      <c r="B721" s="13" t="n"/>
    </row>
    <row r="722" ht="15.75" customHeight="1" s="74">
      <c r="A722" s="13" t="n"/>
      <c r="B722" s="13" t="n"/>
    </row>
    <row r="723" ht="15.75" customHeight="1" s="74">
      <c r="A723" s="13" t="n"/>
      <c r="B723" s="13" t="n"/>
    </row>
    <row r="724" ht="15.75" customHeight="1" s="74">
      <c r="A724" s="13" t="n"/>
      <c r="B724" s="13" t="n"/>
    </row>
    <row r="725" ht="15.75" customHeight="1" s="74">
      <c r="A725" s="13" t="n"/>
      <c r="B725" s="13" t="n"/>
    </row>
    <row r="726" ht="15.75" customHeight="1" s="74">
      <c r="A726" s="13" t="n"/>
      <c r="B726" s="13" t="n"/>
    </row>
    <row r="727" ht="15.75" customHeight="1" s="74">
      <c r="A727" s="13" t="n"/>
      <c r="B727" s="13" t="n"/>
    </row>
    <row r="728" ht="15.75" customHeight="1" s="74">
      <c r="A728" s="13" t="n"/>
      <c r="B728" s="13" t="n"/>
    </row>
    <row r="729" ht="15.75" customHeight="1" s="74">
      <c r="A729" s="13" t="n"/>
      <c r="B729" s="13" t="n"/>
    </row>
    <row r="730" ht="15.75" customHeight="1" s="74">
      <c r="A730" s="13" t="n"/>
      <c r="B730" s="13" t="n"/>
    </row>
    <row r="731" ht="15.75" customHeight="1" s="74">
      <c r="A731" s="13" t="n"/>
      <c r="B731" s="13" t="n"/>
    </row>
    <row r="732" ht="15.75" customHeight="1" s="74">
      <c r="A732" s="13" t="n"/>
      <c r="B732" s="13" t="n"/>
    </row>
    <row r="733" ht="15.75" customHeight="1" s="74">
      <c r="A733" s="13" t="n"/>
      <c r="B733" s="13" t="n"/>
    </row>
    <row r="734" ht="15.75" customHeight="1" s="74">
      <c r="A734" s="13" t="n"/>
      <c r="B734" s="13" t="n"/>
    </row>
    <row r="735" ht="15.75" customHeight="1" s="74">
      <c r="A735" s="13" t="n"/>
      <c r="B735" s="13" t="n"/>
    </row>
    <row r="736" ht="15.75" customHeight="1" s="74">
      <c r="A736" s="13" t="n"/>
      <c r="B736" s="13" t="n"/>
    </row>
    <row r="737" ht="15.75" customHeight="1" s="74">
      <c r="A737" s="13" t="n"/>
      <c r="B737" s="13" t="n"/>
    </row>
    <row r="738" ht="15.75" customHeight="1" s="74">
      <c r="A738" s="13" t="n"/>
      <c r="B738" s="13" t="n"/>
    </row>
    <row r="739" ht="15.75" customHeight="1" s="74">
      <c r="A739" s="13" t="n"/>
      <c r="B739" s="13" t="n"/>
    </row>
    <row r="740" ht="15.75" customHeight="1" s="74">
      <c r="A740" s="13" t="n"/>
      <c r="B740" s="13" t="n"/>
    </row>
    <row r="741" ht="15.75" customHeight="1" s="74">
      <c r="A741" s="13" t="n"/>
      <c r="B741" s="13" t="n"/>
    </row>
    <row r="742" ht="15.75" customHeight="1" s="74">
      <c r="A742" s="13" t="n"/>
      <c r="B742" s="13" t="n"/>
    </row>
    <row r="743" ht="15.75" customHeight="1" s="74">
      <c r="A743" s="13" t="n"/>
      <c r="B743" s="13" t="n"/>
    </row>
    <row r="744" ht="15.75" customHeight="1" s="74">
      <c r="A744" s="13" t="n"/>
      <c r="B744" s="13" t="n"/>
    </row>
    <row r="745" ht="15.75" customHeight="1" s="74">
      <c r="A745" s="13" t="n"/>
      <c r="B745" s="13" t="n"/>
    </row>
    <row r="746" ht="15.75" customHeight="1" s="74">
      <c r="A746" s="13" t="n"/>
      <c r="B746" s="13" t="n"/>
    </row>
    <row r="747" ht="15.75" customHeight="1" s="74">
      <c r="A747" s="13" t="n"/>
      <c r="B747" s="13" t="n"/>
    </row>
    <row r="748" ht="15.75" customHeight="1" s="74">
      <c r="A748" s="13" t="n"/>
      <c r="B748" s="13" t="n"/>
    </row>
    <row r="749" ht="15.75" customHeight="1" s="74">
      <c r="A749" s="13" t="n"/>
      <c r="B749" s="13" t="n"/>
    </row>
    <row r="750" ht="15.75" customHeight="1" s="74">
      <c r="A750" s="13" t="n"/>
      <c r="B750" s="13" t="n"/>
    </row>
    <row r="751" ht="15.75" customHeight="1" s="74">
      <c r="A751" s="13" t="n"/>
      <c r="B751" s="13" t="n"/>
    </row>
    <row r="752" ht="15.75" customHeight="1" s="74">
      <c r="A752" s="13" t="n"/>
      <c r="B752" s="13" t="n"/>
    </row>
    <row r="753" ht="15.75" customHeight="1" s="74">
      <c r="A753" s="13" t="n"/>
      <c r="B753" s="13" t="n"/>
    </row>
    <row r="754" ht="15.75" customHeight="1" s="74">
      <c r="A754" s="13" t="n"/>
      <c r="B754" s="13" t="n"/>
    </row>
    <row r="755" ht="15.75" customHeight="1" s="74">
      <c r="A755" s="13" t="n"/>
      <c r="B755" s="13" t="n"/>
    </row>
    <row r="756" ht="15.75" customHeight="1" s="74">
      <c r="A756" s="13" t="n"/>
      <c r="B756" s="13" t="n"/>
    </row>
    <row r="757" ht="15.75" customHeight="1" s="74">
      <c r="A757" s="13" t="n"/>
      <c r="B757" s="13" t="n"/>
    </row>
    <row r="758" ht="15.75" customHeight="1" s="74">
      <c r="A758" s="13" t="n"/>
      <c r="B758" s="13" t="n"/>
    </row>
    <row r="759" ht="15.75" customHeight="1" s="74">
      <c r="A759" s="13" t="n"/>
      <c r="B759" s="13" t="n"/>
    </row>
    <row r="760" ht="15.75" customHeight="1" s="74">
      <c r="A760" s="13" t="n"/>
      <c r="B760" s="13" t="n"/>
    </row>
    <row r="761" ht="15.75" customHeight="1" s="74">
      <c r="A761" s="13" t="n"/>
      <c r="B761" s="13" t="n"/>
    </row>
    <row r="762" ht="15.75" customHeight="1" s="74">
      <c r="A762" s="13" t="n"/>
      <c r="B762" s="13" t="n"/>
    </row>
    <row r="763" ht="15.75" customHeight="1" s="74">
      <c r="A763" s="13" t="n"/>
      <c r="B763" s="13" t="n"/>
    </row>
    <row r="764" ht="15.75" customHeight="1" s="74">
      <c r="A764" s="13" t="n"/>
      <c r="B764" s="13" t="n"/>
    </row>
    <row r="765" ht="15.75" customHeight="1" s="74">
      <c r="A765" s="13" t="n"/>
      <c r="B765" s="13" t="n"/>
    </row>
    <row r="766" ht="15.75" customHeight="1" s="74">
      <c r="A766" s="13" t="n"/>
      <c r="B766" s="13" t="n"/>
    </row>
    <row r="767" ht="15.75" customHeight="1" s="74">
      <c r="A767" s="13" t="n"/>
      <c r="B767" s="13" t="n"/>
    </row>
    <row r="768" ht="15.75" customHeight="1" s="74">
      <c r="A768" s="13" t="n"/>
      <c r="B768" s="13" t="n"/>
    </row>
    <row r="769" ht="15.75" customHeight="1" s="74">
      <c r="A769" s="13" t="n"/>
      <c r="B769" s="13" t="n"/>
    </row>
    <row r="770" ht="15.75" customHeight="1" s="74">
      <c r="A770" s="13" t="n"/>
      <c r="B770" s="13" t="n"/>
    </row>
    <row r="771" ht="15.75" customHeight="1" s="74">
      <c r="A771" s="13" t="n"/>
      <c r="B771" s="13" t="n"/>
    </row>
    <row r="772" ht="15.75" customHeight="1" s="74">
      <c r="A772" s="13" t="n"/>
      <c r="B772" s="13" t="n"/>
    </row>
    <row r="773" ht="15.75" customHeight="1" s="74">
      <c r="A773" s="13" t="n"/>
      <c r="B773" s="13" t="n"/>
    </row>
    <row r="774" ht="15.75" customHeight="1" s="74">
      <c r="A774" s="13" t="n"/>
      <c r="B774" s="13" t="n"/>
    </row>
    <row r="775" ht="15.75" customHeight="1" s="74">
      <c r="A775" s="13" t="n"/>
      <c r="B775" s="13" t="n"/>
    </row>
    <row r="776" ht="15.75" customHeight="1" s="74">
      <c r="A776" s="13" t="n"/>
      <c r="B776" s="13" t="n"/>
    </row>
    <row r="777" ht="15.75" customHeight="1" s="74">
      <c r="A777" s="13" t="n"/>
      <c r="B777" s="13" t="n"/>
    </row>
    <row r="778" ht="15.75" customHeight="1" s="74">
      <c r="A778" s="13" t="n"/>
      <c r="B778" s="13" t="n"/>
    </row>
    <row r="779" ht="15.75" customHeight="1" s="74">
      <c r="A779" s="13" t="n"/>
      <c r="B779" s="13" t="n"/>
    </row>
    <row r="780" ht="15.75" customHeight="1" s="74">
      <c r="A780" s="13" t="n"/>
      <c r="B780" s="13" t="n"/>
    </row>
    <row r="781" ht="15.75" customHeight="1" s="74">
      <c r="A781" s="13" t="n"/>
      <c r="B781" s="13" t="n"/>
    </row>
    <row r="782" ht="15.75" customHeight="1" s="74">
      <c r="A782" s="13" t="n"/>
      <c r="B782" s="13" t="n"/>
    </row>
    <row r="783" ht="15.75" customHeight="1" s="74">
      <c r="A783" s="13" t="n"/>
      <c r="B783" s="13" t="n"/>
    </row>
    <row r="784" ht="15.75" customHeight="1" s="74">
      <c r="A784" s="13" t="n"/>
      <c r="B784" s="13" t="n"/>
    </row>
    <row r="785" ht="15.75" customHeight="1" s="74">
      <c r="A785" s="13" t="n"/>
      <c r="B785" s="13" t="n"/>
    </row>
    <row r="786" ht="15.75" customHeight="1" s="74">
      <c r="A786" s="13" t="n"/>
      <c r="B786" s="13" t="n"/>
    </row>
    <row r="787" ht="15.75" customHeight="1" s="74">
      <c r="A787" s="13" t="n"/>
      <c r="B787" s="13" t="n"/>
    </row>
    <row r="788" ht="15.75" customHeight="1" s="74">
      <c r="A788" s="13" t="n"/>
      <c r="B788" s="13" t="n"/>
    </row>
    <row r="789" ht="15.75" customHeight="1" s="74">
      <c r="A789" s="13" t="n"/>
      <c r="B789" s="13" t="n"/>
    </row>
    <row r="790" ht="15.75" customHeight="1" s="74">
      <c r="A790" s="13" t="n"/>
      <c r="B790" s="13" t="n"/>
    </row>
    <row r="791" ht="15.75" customHeight="1" s="74">
      <c r="A791" s="13" t="n"/>
      <c r="B791" s="13" t="n"/>
    </row>
    <row r="792" ht="15.75" customHeight="1" s="74">
      <c r="A792" s="13" t="n"/>
      <c r="B792" s="13" t="n"/>
    </row>
    <row r="793" ht="15.75" customHeight="1" s="74">
      <c r="A793" s="13" t="n"/>
      <c r="B793" s="13" t="n"/>
    </row>
    <row r="794" ht="15.75" customHeight="1" s="74">
      <c r="A794" s="13" t="n"/>
      <c r="B794" s="13" t="n"/>
    </row>
    <row r="795" ht="15.75" customHeight="1" s="74">
      <c r="A795" s="13" t="n"/>
      <c r="B795" s="13" t="n"/>
    </row>
    <row r="796" ht="15.75" customHeight="1" s="74">
      <c r="A796" s="13" t="n"/>
      <c r="B796" s="13" t="n"/>
    </row>
    <row r="797" ht="15.75" customHeight="1" s="74">
      <c r="A797" s="13" t="n"/>
      <c r="B797" s="13" t="n"/>
    </row>
    <row r="798" ht="15.75" customHeight="1" s="74">
      <c r="A798" s="13" t="n"/>
      <c r="B798" s="13" t="n"/>
    </row>
    <row r="799" ht="15.75" customHeight="1" s="74">
      <c r="A799" s="13" t="n"/>
      <c r="B799" s="13" t="n"/>
    </row>
    <row r="800" ht="15.75" customHeight="1" s="74">
      <c r="A800" s="13" t="n"/>
      <c r="B800" s="13" t="n"/>
    </row>
    <row r="801" ht="15.75" customHeight="1" s="74">
      <c r="A801" s="13" t="n"/>
      <c r="B801" s="13" t="n"/>
    </row>
    <row r="802" ht="15.75" customHeight="1" s="74">
      <c r="A802" s="13" t="n"/>
      <c r="B802" s="13" t="n"/>
    </row>
    <row r="803" ht="15.75" customHeight="1" s="74">
      <c r="A803" s="13" t="n"/>
      <c r="B803" s="13" t="n"/>
    </row>
    <row r="804" ht="15.75" customHeight="1" s="74">
      <c r="A804" s="13" t="n"/>
      <c r="B804" s="13" t="n"/>
    </row>
    <row r="805" ht="15.75" customHeight="1" s="74">
      <c r="A805" s="13" t="n"/>
      <c r="B805" s="13" t="n"/>
    </row>
    <row r="806" ht="15.75" customHeight="1" s="74">
      <c r="A806" s="13" t="n"/>
      <c r="B806" s="13" t="n"/>
    </row>
    <row r="807" ht="15.75" customHeight="1" s="74">
      <c r="A807" s="13" t="n"/>
      <c r="B807" s="13" t="n"/>
    </row>
    <row r="808" ht="15.75" customHeight="1" s="74">
      <c r="A808" s="13" t="n"/>
      <c r="B808" s="13" t="n"/>
    </row>
    <row r="809" ht="15.75" customHeight="1" s="74">
      <c r="A809" s="13" t="n"/>
      <c r="B809" s="13" t="n"/>
    </row>
    <row r="810" ht="15.75" customHeight="1" s="74">
      <c r="A810" s="13" t="n"/>
      <c r="B810" s="13" t="n"/>
    </row>
    <row r="811" ht="15.75" customHeight="1" s="74">
      <c r="A811" s="13" t="n"/>
      <c r="B811" s="13" t="n"/>
    </row>
    <row r="812" ht="15.75" customHeight="1" s="74">
      <c r="A812" s="13" t="n"/>
      <c r="B812" s="13" t="n"/>
    </row>
    <row r="813" ht="15.75" customHeight="1" s="74">
      <c r="A813" s="13" t="n"/>
      <c r="B813" s="13" t="n"/>
    </row>
    <row r="814" ht="15.75" customHeight="1" s="74">
      <c r="A814" s="13" t="n"/>
      <c r="B814" s="13" t="n"/>
    </row>
    <row r="815" ht="15.75" customHeight="1" s="74">
      <c r="A815" s="13" t="n"/>
      <c r="B815" s="13" t="n"/>
    </row>
    <row r="816" ht="15.75" customHeight="1" s="74">
      <c r="A816" s="13" t="n"/>
      <c r="B816" s="13" t="n"/>
    </row>
    <row r="817" ht="15.75" customHeight="1" s="74">
      <c r="A817" s="13" t="n"/>
      <c r="B817" s="13" t="n"/>
    </row>
    <row r="818" ht="15.75" customHeight="1" s="74">
      <c r="A818" s="13" t="n"/>
      <c r="B818" s="13" t="n"/>
    </row>
    <row r="819" ht="15.75" customHeight="1" s="74">
      <c r="A819" s="13" t="n"/>
      <c r="B819" s="13" t="n"/>
    </row>
    <row r="820" ht="15.75" customHeight="1" s="74">
      <c r="A820" s="13" t="n"/>
      <c r="B820" s="13" t="n"/>
    </row>
    <row r="821" ht="15.75" customHeight="1" s="74">
      <c r="A821" s="13" t="n"/>
      <c r="B821" s="13" t="n"/>
    </row>
    <row r="822" ht="15.75" customHeight="1" s="74">
      <c r="A822" s="13" t="n"/>
      <c r="B822" s="13" t="n"/>
    </row>
    <row r="823" ht="15.75" customHeight="1" s="74">
      <c r="A823" s="13" t="n"/>
      <c r="B823" s="13" t="n"/>
    </row>
    <row r="824" ht="15.75" customHeight="1" s="74">
      <c r="A824" s="13" t="n"/>
      <c r="B824" s="13" t="n"/>
    </row>
    <row r="825" ht="15.75" customHeight="1" s="74">
      <c r="A825" s="13" t="n"/>
      <c r="B825" s="13" t="n"/>
    </row>
    <row r="826" ht="15.75" customHeight="1" s="74">
      <c r="A826" s="13" t="n"/>
      <c r="B826" s="13" t="n"/>
    </row>
    <row r="827" ht="15.75" customHeight="1" s="74">
      <c r="A827" s="13" t="n"/>
      <c r="B827" s="13" t="n"/>
    </row>
    <row r="828" ht="15.75" customHeight="1" s="74">
      <c r="A828" s="13" t="n"/>
      <c r="B828" s="13" t="n"/>
    </row>
    <row r="829" ht="15.75" customHeight="1" s="74">
      <c r="A829" s="13" t="n"/>
      <c r="B829" s="13" t="n"/>
    </row>
    <row r="830" ht="15.75" customHeight="1" s="74">
      <c r="A830" s="13" t="n"/>
      <c r="B830" s="13" t="n"/>
    </row>
    <row r="831" ht="15.75" customHeight="1" s="74">
      <c r="A831" s="13" t="n"/>
      <c r="B831" s="13" t="n"/>
    </row>
    <row r="832" ht="15.75" customHeight="1" s="74">
      <c r="A832" s="13" t="n"/>
      <c r="B832" s="13" t="n"/>
    </row>
    <row r="833" ht="15.75" customHeight="1" s="74">
      <c r="A833" s="13" t="n"/>
      <c r="B833" s="13" t="n"/>
    </row>
    <row r="834" ht="15.75" customHeight="1" s="74">
      <c r="A834" s="13" t="n"/>
      <c r="B834" s="13" t="n"/>
    </row>
    <row r="835" ht="15.75" customHeight="1" s="74">
      <c r="A835" s="13" t="n"/>
      <c r="B835" s="13" t="n"/>
    </row>
    <row r="836" ht="15.75" customHeight="1" s="74">
      <c r="A836" s="13" t="n"/>
      <c r="B836" s="13" t="n"/>
    </row>
    <row r="837" ht="15.75" customHeight="1" s="74">
      <c r="A837" s="13" t="n"/>
      <c r="B837" s="13" t="n"/>
    </row>
    <row r="838" ht="15.75" customHeight="1" s="74">
      <c r="A838" s="13" t="n"/>
      <c r="B838" s="13" t="n"/>
    </row>
    <row r="839" ht="15.75" customHeight="1" s="74">
      <c r="A839" s="13" t="n"/>
      <c r="B839" s="13" t="n"/>
    </row>
    <row r="840" ht="15.75" customHeight="1" s="74">
      <c r="A840" s="13" t="n"/>
      <c r="B840" s="13" t="n"/>
    </row>
    <row r="841" ht="15.75" customHeight="1" s="74">
      <c r="A841" s="13" t="n"/>
      <c r="B841" s="13" t="n"/>
    </row>
    <row r="842" ht="15.75" customHeight="1" s="74">
      <c r="A842" s="13" t="n"/>
      <c r="B842" s="13" t="n"/>
    </row>
    <row r="843" ht="15.75" customHeight="1" s="74">
      <c r="A843" s="13" t="n"/>
      <c r="B843" s="13" t="n"/>
    </row>
    <row r="844" ht="15.75" customHeight="1" s="74">
      <c r="A844" s="13" t="n"/>
      <c r="B844" s="13" t="n"/>
    </row>
    <row r="845" ht="15.75" customHeight="1" s="74">
      <c r="A845" s="13" t="n"/>
      <c r="B845" s="13" t="n"/>
    </row>
    <row r="846" ht="15.75" customHeight="1" s="74">
      <c r="A846" s="13" t="n"/>
      <c r="B846" s="13" t="n"/>
    </row>
    <row r="847" ht="15.75" customHeight="1" s="74">
      <c r="A847" s="13" t="n"/>
      <c r="B847" s="13" t="n"/>
    </row>
    <row r="848" ht="15.75" customHeight="1" s="74">
      <c r="A848" s="13" t="n"/>
      <c r="B848" s="13" t="n"/>
    </row>
    <row r="849" ht="15.75" customHeight="1" s="74">
      <c r="A849" s="13" t="n"/>
      <c r="B849" s="13" t="n"/>
    </row>
    <row r="850" ht="15.75" customHeight="1" s="74">
      <c r="A850" s="13" t="n"/>
      <c r="B850" s="13" t="n"/>
    </row>
    <row r="851" ht="15.75" customHeight="1" s="74">
      <c r="A851" s="13" t="n"/>
      <c r="B851" s="13" t="n"/>
    </row>
    <row r="852" ht="15.75" customHeight="1" s="74">
      <c r="A852" s="13" t="n"/>
      <c r="B852" s="13" t="n"/>
    </row>
    <row r="853" ht="15.75" customHeight="1" s="74">
      <c r="A853" s="13" t="n"/>
      <c r="B853" s="13" t="n"/>
    </row>
    <row r="854" ht="15.75" customHeight="1" s="74">
      <c r="A854" s="13" t="n"/>
      <c r="B854" s="13" t="n"/>
    </row>
    <row r="855" ht="15.75" customHeight="1" s="74">
      <c r="A855" s="13" t="n"/>
      <c r="B855" s="13" t="n"/>
    </row>
    <row r="856" ht="15.75" customHeight="1" s="74">
      <c r="A856" s="13" t="n"/>
      <c r="B856" s="13" t="n"/>
    </row>
    <row r="857" ht="15.75" customHeight="1" s="74">
      <c r="A857" s="13" t="n"/>
      <c r="B857" s="13" t="n"/>
    </row>
    <row r="858" ht="15.75" customHeight="1" s="74">
      <c r="A858" s="13" t="n"/>
      <c r="B858" s="13" t="n"/>
    </row>
    <row r="859" ht="15.75" customHeight="1" s="74">
      <c r="A859" s="13" t="n"/>
      <c r="B859" s="13" t="n"/>
    </row>
    <row r="860" ht="15.75" customHeight="1" s="74">
      <c r="A860" s="13" t="n"/>
      <c r="B860" s="13" t="n"/>
    </row>
    <row r="861" ht="15.75" customHeight="1" s="74">
      <c r="A861" s="13" t="n"/>
      <c r="B861" s="13" t="n"/>
    </row>
    <row r="862" ht="15.75" customHeight="1" s="74">
      <c r="A862" s="13" t="n"/>
      <c r="B862" s="13" t="n"/>
    </row>
    <row r="863" ht="15.75" customHeight="1" s="74">
      <c r="A863" s="13" t="n"/>
      <c r="B863" s="13" t="n"/>
    </row>
    <row r="864" ht="15.75" customHeight="1" s="74">
      <c r="A864" s="13" t="n"/>
      <c r="B864" s="13" t="n"/>
    </row>
    <row r="865" ht="15.75" customHeight="1" s="74">
      <c r="A865" s="13" t="n"/>
      <c r="B865" s="13" t="n"/>
    </row>
    <row r="866" ht="15.75" customHeight="1" s="74">
      <c r="A866" s="13" t="n"/>
      <c r="B866" s="13" t="n"/>
    </row>
    <row r="867" ht="15.75" customHeight="1" s="74">
      <c r="A867" s="13" t="n"/>
      <c r="B867" s="13" t="n"/>
    </row>
    <row r="868" ht="15.75" customHeight="1" s="74">
      <c r="A868" s="13" t="n"/>
      <c r="B868" s="13" t="n"/>
    </row>
    <row r="869" ht="15.75" customHeight="1" s="74">
      <c r="A869" s="13" t="n"/>
      <c r="B869" s="13" t="n"/>
    </row>
    <row r="870" ht="15.75" customHeight="1" s="74">
      <c r="A870" s="13" t="n"/>
      <c r="B870" s="13" t="n"/>
    </row>
    <row r="871" ht="15.75" customHeight="1" s="74">
      <c r="A871" s="13" t="n"/>
      <c r="B871" s="13" t="n"/>
    </row>
    <row r="872" ht="15.75" customHeight="1" s="74">
      <c r="A872" s="13" t="n"/>
      <c r="B872" s="13" t="n"/>
    </row>
    <row r="873" ht="15.75" customHeight="1" s="74">
      <c r="A873" s="13" t="n"/>
      <c r="B873" s="13" t="n"/>
    </row>
    <row r="874" ht="15.75" customHeight="1" s="74">
      <c r="A874" s="13" t="n"/>
      <c r="B874" s="13" t="n"/>
    </row>
    <row r="875" ht="15.75" customHeight="1" s="74">
      <c r="A875" s="13" t="n"/>
      <c r="B875" s="13" t="n"/>
    </row>
    <row r="876" ht="15.75" customHeight="1" s="74">
      <c r="A876" s="13" t="n"/>
      <c r="B876" s="13" t="n"/>
    </row>
    <row r="877" ht="15.75" customHeight="1" s="74">
      <c r="A877" s="13" t="n"/>
      <c r="B877" s="13" t="n"/>
    </row>
    <row r="878" ht="15.75" customHeight="1" s="74">
      <c r="A878" s="13" t="n"/>
      <c r="B878" s="13" t="n"/>
    </row>
    <row r="879" ht="15.75" customHeight="1" s="74">
      <c r="A879" s="13" t="n"/>
      <c r="B879" s="13" t="n"/>
    </row>
    <row r="880" ht="15.75" customHeight="1" s="74">
      <c r="A880" s="13" t="n"/>
      <c r="B880" s="13" t="n"/>
    </row>
    <row r="881" ht="15.75" customHeight="1" s="74">
      <c r="A881" s="13" t="n"/>
      <c r="B881" s="13" t="n"/>
    </row>
    <row r="882" ht="15.75" customHeight="1" s="74">
      <c r="A882" s="13" t="n"/>
      <c r="B882" s="13" t="n"/>
    </row>
    <row r="883" ht="15.75" customHeight="1" s="74">
      <c r="A883" s="13" t="n"/>
      <c r="B883" s="13" t="n"/>
    </row>
    <row r="884" ht="15.75" customHeight="1" s="74">
      <c r="A884" s="13" t="n"/>
      <c r="B884" s="13" t="n"/>
    </row>
    <row r="885" ht="15.75" customHeight="1" s="74">
      <c r="A885" s="13" t="n"/>
      <c r="B885" s="13" t="n"/>
    </row>
    <row r="886" ht="15.75" customHeight="1" s="74">
      <c r="A886" s="13" t="n"/>
      <c r="B886" s="13" t="n"/>
    </row>
    <row r="887" ht="15.75" customHeight="1" s="74">
      <c r="A887" s="13" t="n"/>
      <c r="B887" s="13" t="n"/>
    </row>
    <row r="888" ht="15.75" customHeight="1" s="74">
      <c r="A888" s="13" t="n"/>
      <c r="B888" s="13" t="n"/>
    </row>
    <row r="889" ht="15.75" customHeight="1" s="74">
      <c r="A889" s="13" t="n"/>
      <c r="B889" s="13" t="n"/>
    </row>
    <row r="890" ht="15.75" customHeight="1" s="74">
      <c r="A890" s="13" t="n"/>
      <c r="B890" s="13" t="n"/>
    </row>
    <row r="891" ht="15.75" customHeight="1" s="74">
      <c r="A891" s="13" t="n"/>
      <c r="B891" s="13" t="n"/>
    </row>
    <row r="892" ht="15.75" customHeight="1" s="74">
      <c r="A892" s="13" t="n"/>
      <c r="B892" s="13" t="n"/>
    </row>
    <row r="893" ht="15.75" customHeight="1" s="74">
      <c r="A893" s="13" t="n"/>
      <c r="B893" s="13" t="n"/>
    </row>
    <row r="894" ht="15.75" customHeight="1" s="74">
      <c r="A894" s="13" t="n"/>
      <c r="B894" s="13" t="n"/>
    </row>
    <row r="895" ht="15.75" customHeight="1" s="74">
      <c r="A895" s="13" t="n"/>
      <c r="B895" s="13" t="n"/>
    </row>
    <row r="896" ht="15.75" customHeight="1" s="74">
      <c r="A896" s="13" t="n"/>
      <c r="B896" s="13" t="n"/>
    </row>
    <row r="897" ht="15.75" customHeight="1" s="74">
      <c r="A897" s="13" t="n"/>
      <c r="B897" s="13" t="n"/>
    </row>
    <row r="898" ht="15.75" customHeight="1" s="74">
      <c r="A898" s="13" t="n"/>
      <c r="B898" s="13" t="n"/>
    </row>
    <row r="899" ht="15.75" customHeight="1" s="74">
      <c r="A899" s="13" t="n"/>
      <c r="B899" s="13" t="n"/>
    </row>
    <row r="900" ht="15.75" customHeight="1" s="74">
      <c r="A900" s="13" t="n"/>
      <c r="B900" s="13" t="n"/>
    </row>
    <row r="901" ht="15.75" customHeight="1" s="74">
      <c r="A901" s="13" t="n"/>
      <c r="B901" s="13" t="n"/>
    </row>
    <row r="902" ht="15.75" customHeight="1" s="74">
      <c r="A902" s="13" t="n"/>
      <c r="B902" s="13" t="n"/>
    </row>
    <row r="903" ht="15.75" customHeight="1" s="74">
      <c r="A903" s="13" t="n"/>
      <c r="B903" s="13" t="n"/>
    </row>
    <row r="904" ht="15.75" customHeight="1" s="74">
      <c r="A904" s="13" t="n"/>
      <c r="B904" s="13" t="n"/>
    </row>
    <row r="905" ht="15.75" customHeight="1" s="74">
      <c r="A905" s="13" t="n"/>
      <c r="B905" s="13" t="n"/>
    </row>
    <row r="906" ht="15.75" customHeight="1" s="74">
      <c r="A906" s="13" t="n"/>
      <c r="B906" s="13" t="n"/>
    </row>
    <row r="907" ht="15.75" customHeight="1" s="74">
      <c r="A907" s="13" t="n"/>
      <c r="B907" s="13" t="n"/>
    </row>
    <row r="908" ht="15.75" customHeight="1" s="74">
      <c r="A908" s="13" t="n"/>
      <c r="B908" s="13" t="n"/>
    </row>
    <row r="909" ht="15.75" customHeight="1" s="74">
      <c r="A909" s="13" t="n"/>
      <c r="B909" s="13" t="n"/>
    </row>
    <row r="910" ht="15.75" customHeight="1" s="74">
      <c r="A910" s="13" t="n"/>
      <c r="B910" s="13" t="n"/>
    </row>
    <row r="911" ht="15.75" customHeight="1" s="74">
      <c r="A911" s="13" t="n"/>
      <c r="B911" s="13" t="n"/>
    </row>
    <row r="912" ht="15.75" customHeight="1" s="74">
      <c r="A912" s="13" t="n"/>
      <c r="B912" s="13" t="n"/>
    </row>
    <row r="913" ht="15.75" customHeight="1" s="74">
      <c r="A913" s="13" t="n"/>
      <c r="B913" s="13" t="n"/>
    </row>
    <row r="914" ht="15.75" customHeight="1" s="74">
      <c r="A914" s="13" t="n"/>
      <c r="B914" s="13" t="n"/>
    </row>
    <row r="915" ht="15.75" customHeight="1" s="74">
      <c r="A915" s="13" t="n"/>
      <c r="B915" s="13" t="n"/>
    </row>
    <row r="916" ht="15.75" customHeight="1" s="74">
      <c r="A916" s="13" t="n"/>
      <c r="B916" s="13" t="n"/>
    </row>
    <row r="917" ht="15.75" customHeight="1" s="74">
      <c r="A917" s="13" t="n"/>
      <c r="B917" s="13" t="n"/>
    </row>
    <row r="918" ht="15.75" customHeight="1" s="74">
      <c r="A918" s="13" t="n"/>
      <c r="B918" s="13" t="n"/>
    </row>
    <row r="919" ht="15.75" customHeight="1" s="74">
      <c r="A919" s="13" t="n"/>
      <c r="B919" s="13" t="n"/>
    </row>
    <row r="920" ht="15.75" customHeight="1" s="74">
      <c r="A920" s="13" t="n"/>
      <c r="B920" s="13" t="n"/>
    </row>
    <row r="921" ht="15.75" customHeight="1" s="74">
      <c r="A921" s="13" t="n"/>
      <c r="B921" s="13" t="n"/>
    </row>
    <row r="922" ht="15.75" customHeight="1" s="74">
      <c r="A922" s="13" t="n"/>
      <c r="B922" s="13" t="n"/>
    </row>
    <row r="923" ht="15.75" customHeight="1" s="74">
      <c r="A923" s="13" t="n"/>
      <c r="B923" s="13" t="n"/>
    </row>
    <row r="924" ht="15.75" customHeight="1" s="74">
      <c r="A924" s="13" t="n"/>
      <c r="B924" s="13" t="n"/>
    </row>
    <row r="925" ht="15.75" customHeight="1" s="74">
      <c r="A925" s="13" t="n"/>
      <c r="B925" s="13" t="n"/>
    </row>
    <row r="926" ht="15.75" customHeight="1" s="74">
      <c r="A926" s="13" t="n"/>
      <c r="B926" s="13" t="n"/>
    </row>
    <row r="927" ht="15.75" customHeight="1" s="74">
      <c r="A927" s="13" t="n"/>
      <c r="B927" s="13" t="n"/>
    </row>
    <row r="928" ht="15.75" customHeight="1" s="74">
      <c r="A928" s="13" t="n"/>
      <c r="B928" s="13" t="n"/>
    </row>
    <row r="929" ht="15.75" customHeight="1" s="74">
      <c r="A929" s="13" t="n"/>
      <c r="B929" s="13" t="n"/>
    </row>
    <row r="930" ht="15.75" customHeight="1" s="74">
      <c r="A930" s="13" t="n"/>
      <c r="B930" s="13" t="n"/>
    </row>
    <row r="931" ht="15.75" customHeight="1" s="74">
      <c r="A931" s="13" t="n"/>
      <c r="B931" s="13" t="n"/>
    </row>
    <row r="932" ht="15.75" customHeight="1" s="74">
      <c r="A932" s="13" t="n"/>
      <c r="B932" s="13" t="n"/>
    </row>
    <row r="933" ht="15.75" customHeight="1" s="74">
      <c r="A933" s="13" t="n"/>
      <c r="B933" s="13" t="n"/>
    </row>
    <row r="934" ht="15.75" customHeight="1" s="74">
      <c r="A934" s="13" t="n"/>
      <c r="B934" s="13" t="n"/>
    </row>
    <row r="935" ht="15.75" customHeight="1" s="74">
      <c r="A935" s="13" t="n"/>
      <c r="B935" s="13" t="n"/>
    </row>
    <row r="936" ht="15.75" customHeight="1" s="74">
      <c r="A936" s="13" t="n"/>
      <c r="B936" s="13" t="n"/>
    </row>
    <row r="937" ht="15.75" customHeight="1" s="74">
      <c r="A937" s="13" t="n"/>
      <c r="B937" s="13" t="n"/>
    </row>
    <row r="938" ht="15.75" customHeight="1" s="74">
      <c r="A938" s="13" t="n"/>
      <c r="B938" s="13" t="n"/>
    </row>
    <row r="939" ht="15.75" customHeight="1" s="74">
      <c r="A939" s="13" t="n"/>
      <c r="B939" s="13" t="n"/>
    </row>
    <row r="940" ht="15.75" customHeight="1" s="74">
      <c r="A940" s="13" t="n"/>
      <c r="B940" s="13" t="n"/>
    </row>
    <row r="941" ht="15.75" customHeight="1" s="74">
      <c r="A941" s="13" t="n"/>
      <c r="B941" s="13" t="n"/>
    </row>
    <row r="942" ht="15.75" customHeight="1" s="74">
      <c r="A942" s="13" t="n"/>
      <c r="B942" s="13" t="n"/>
    </row>
    <row r="943" ht="15.75" customHeight="1" s="74">
      <c r="A943" s="13" t="n"/>
      <c r="B943" s="13" t="n"/>
    </row>
    <row r="944" ht="15.75" customHeight="1" s="74">
      <c r="A944" s="13" t="n"/>
      <c r="B944" s="13" t="n"/>
    </row>
    <row r="945" ht="15.75" customHeight="1" s="74">
      <c r="A945" s="13" t="n"/>
      <c r="B945" s="13" t="n"/>
    </row>
    <row r="946" ht="15.75" customHeight="1" s="74">
      <c r="A946" s="13" t="n"/>
      <c r="B946" s="13" t="n"/>
    </row>
    <row r="947" ht="15.75" customHeight="1" s="74">
      <c r="A947" s="13" t="n"/>
      <c r="B947" s="13" t="n"/>
    </row>
    <row r="948" ht="15.75" customHeight="1" s="74">
      <c r="A948" s="13" t="n"/>
      <c r="B948" s="13" t="n"/>
    </row>
    <row r="949" ht="15.75" customHeight="1" s="74">
      <c r="A949" s="13" t="n"/>
      <c r="B949" s="13" t="n"/>
    </row>
    <row r="950" ht="15.75" customHeight="1" s="74">
      <c r="A950" s="13" t="n"/>
      <c r="B950" s="13" t="n"/>
    </row>
    <row r="951" ht="15.75" customHeight="1" s="74">
      <c r="A951" s="13" t="n"/>
      <c r="B951" s="13" t="n"/>
    </row>
    <row r="952" ht="15.75" customHeight="1" s="74">
      <c r="A952" s="13" t="n"/>
      <c r="B952" s="13" t="n"/>
    </row>
    <row r="953" ht="15.75" customHeight="1" s="74">
      <c r="A953" s="13" t="n"/>
      <c r="B953" s="13" t="n"/>
    </row>
    <row r="954" ht="15.75" customHeight="1" s="74">
      <c r="A954" s="13" t="n"/>
      <c r="B954" s="13" t="n"/>
    </row>
    <row r="955" ht="15.75" customHeight="1" s="74">
      <c r="A955" s="13" t="n"/>
      <c r="B955" s="13" t="n"/>
    </row>
    <row r="956" ht="15.75" customHeight="1" s="74">
      <c r="A956" s="13" t="n"/>
      <c r="B956" s="13" t="n"/>
    </row>
    <row r="957" ht="15.75" customHeight="1" s="74">
      <c r="A957" s="13" t="n"/>
      <c r="B957" s="13" t="n"/>
    </row>
    <row r="958" ht="15.75" customHeight="1" s="74">
      <c r="A958" s="13" t="n"/>
      <c r="B958" s="13" t="n"/>
    </row>
    <row r="959" ht="15.75" customHeight="1" s="74">
      <c r="A959" s="13" t="n"/>
      <c r="B959" s="13" t="n"/>
    </row>
    <row r="960" ht="15.75" customHeight="1" s="74">
      <c r="A960" s="13" t="n"/>
      <c r="B960" s="13" t="n"/>
    </row>
    <row r="961" ht="15.75" customHeight="1" s="74">
      <c r="A961" s="13" t="n"/>
      <c r="B961" s="13" t="n"/>
    </row>
    <row r="962" ht="15.75" customHeight="1" s="74">
      <c r="A962" s="13" t="n"/>
      <c r="B962" s="13" t="n"/>
    </row>
    <row r="963" ht="15.75" customHeight="1" s="74">
      <c r="A963" s="13" t="n"/>
      <c r="B963" s="13" t="n"/>
    </row>
    <row r="964" ht="15.75" customHeight="1" s="74">
      <c r="A964" s="13" t="n"/>
      <c r="B964" s="13" t="n"/>
    </row>
    <row r="965" ht="15.75" customHeight="1" s="74">
      <c r="A965" s="13" t="n"/>
      <c r="B965" s="13" t="n"/>
    </row>
    <row r="966" ht="15.75" customHeight="1" s="74">
      <c r="A966" s="13" t="n"/>
      <c r="B966" s="13" t="n"/>
    </row>
    <row r="967" ht="15.75" customHeight="1" s="74">
      <c r="A967" s="13" t="n"/>
      <c r="B967" s="13" t="n"/>
    </row>
    <row r="968" ht="15.75" customHeight="1" s="74">
      <c r="A968" s="13" t="n"/>
      <c r="B968" s="13" t="n"/>
    </row>
    <row r="969" ht="15.75" customHeight="1" s="74">
      <c r="A969" s="13" t="n"/>
      <c r="B969" s="13" t="n"/>
    </row>
    <row r="970" ht="15.75" customHeight="1" s="74">
      <c r="A970" s="13" t="n"/>
      <c r="B970" s="13" t="n"/>
    </row>
    <row r="971" ht="15.75" customHeight="1" s="74">
      <c r="A971" s="13" t="n"/>
      <c r="B971" s="13" t="n"/>
    </row>
    <row r="972" ht="15.75" customHeight="1" s="74">
      <c r="A972" s="13" t="n"/>
      <c r="B972" s="13" t="n"/>
    </row>
    <row r="973" ht="15.75" customHeight="1" s="74">
      <c r="A973" s="13" t="n"/>
      <c r="B973" s="13" t="n"/>
    </row>
    <row r="974" ht="15.75" customHeight="1" s="74">
      <c r="A974" s="13" t="n"/>
      <c r="B974" s="13" t="n"/>
    </row>
    <row r="975" ht="15.75" customHeight="1" s="74">
      <c r="A975" s="13" t="n"/>
      <c r="B975" s="13" t="n"/>
    </row>
    <row r="976" ht="15.75" customHeight="1" s="74">
      <c r="A976" s="13" t="n"/>
      <c r="B976" s="13" t="n"/>
    </row>
    <row r="977" ht="15.75" customHeight="1" s="74">
      <c r="A977" s="13" t="n"/>
      <c r="B977" s="13" t="n"/>
    </row>
    <row r="978" ht="15.75" customHeight="1" s="74">
      <c r="A978" s="13" t="n"/>
      <c r="B978" s="13" t="n"/>
    </row>
    <row r="979" ht="15.75" customHeight="1" s="74">
      <c r="A979" s="13" t="n"/>
      <c r="B979" s="13" t="n"/>
    </row>
    <row r="980" ht="15.75" customHeight="1" s="74">
      <c r="A980" s="13" t="n"/>
      <c r="B980" s="13" t="n"/>
    </row>
    <row r="981" ht="15.75" customHeight="1" s="74">
      <c r="A981" s="13" t="n"/>
      <c r="B981" s="13" t="n"/>
    </row>
    <row r="982" ht="15.75" customHeight="1" s="74">
      <c r="A982" s="13" t="n"/>
      <c r="B982" s="13" t="n"/>
    </row>
    <row r="983" ht="15.75" customHeight="1" s="74">
      <c r="A983" s="13" t="n"/>
      <c r="B983" s="13" t="n"/>
    </row>
    <row r="984" ht="15.75" customHeight="1" s="74">
      <c r="A984" s="13" t="n"/>
      <c r="B984" s="13" t="n"/>
    </row>
    <row r="985" ht="15.75" customHeight="1" s="74">
      <c r="A985" s="13" t="n"/>
      <c r="B985" s="13" t="n"/>
    </row>
    <row r="986" ht="15.75" customHeight="1" s="74">
      <c r="A986" s="13" t="n"/>
      <c r="B986" s="13" t="n"/>
    </row>
    <row r="987" ht="15.75" customHeight="1" s="74">
      <c r="A987" s="13" t="n"/>
      <c r="B987" s="13" t="n"/>
    </row>
    <row r="988" ht="15.75" customHeight="1" s="74">
      <c r="A988" s="13" t="n"/>
      <c r="B988" s="13" t="n"/>
    </row>
    <row r="989" ht="15.75" customHeight="1" s="74">
      <c r="A989" s="13" t="n"/>
      <c r="B989" s="13" t="n"/>
    </row>
    <row r="990" ht="15.75" customHeight="1" s="74">
      <c r="A990" s="13" t="n"/>
      <c r="B990" s="13" t="n"/>
    </row>
    <row r="991" ht="15.75" customHeight="1" s="74">
      <c r="A991" s="13" t="n"/>
      <c r="B991" s="13" t="n"/>
    </row>
    <row r="992" ht="15.75" customHeight="1" s="74">
      <c r="A992" s="13" t="n"/>
      <c r="B992" s="13" t="n"/>
    </row>
  </sheetData>
  <autoFilter ref="$A$1:$AA$39"/>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6" customWidth="1" style="74" min="1" max="1"/>
    <col width="12" customWidth="1" style="74" min="2" max="2"/>
    <col width="52" customWidth="1" style="74" min="3" max="3"/>
    <col width="8" customWidth="1" style="74" min="4" max="4"/>
    <col width="16" customWidth="1" style="74" min="5" max="5"/>
    <col width="16" customWidth="1" style="74" min="6" max="6"/>
    <col width="12" customWidth="1" style="74" min="7" max="7"/>
    <col width="22" customWidth="1" style="74" min="9" max="9"/>
    <col width="18" customWidth="1" style="74" min="10" max="10"/>
  </cols>
  <sheetData>
    <row r="1">
      <c r="A1" s="90" t="inlineStr">
        <is>
          <t>Product System Readiness Index (PCRI) Assessment</t>
        </is>
      </c>
    </row>
    <row r="2">
      <c r="A2" t="inlineStr">
        <is>
          <t>PCRI Version</t>
        </is>
      </c>
      <c r="B2" t="inlineStr">
        <is>
          <t>1.2</t>
        </is>
      </c>
      <c r="D2" t="inlineStr">
        <is>
          <t>Assessment Type</t>
        </is>
      </c>
      <c r="E2" t="inlineStr">
        <is>
          <t>Baseline</t>
        </is>
      </c>
    </row>
    <row r="3">
      <c r="A3" t="inlineStr">
        <is>
          <t>System Landscape</t>
        </is>
      </c>
      <c r="B3" t="inlineStr">
        <is>
          <t>Single</t>
        </is>
      </c>
      <c r="D3" t="inlineStr">
        <is>
          <t>Is Multi-System?</t>
        </is>
      </c>
      <c r="E3">
        <f>IF(B3="Single",FALSE,TRUE)</f>
        <v/>
      </c>
    </row>
    <row r="4">
      <c r="A4" t="inlineStr">
        <is>
          <t>Scoring scale</t>
        </is>
      </c>
      <c r="B4" t="inlineStr">
        <is>
          <t>0-10 (0 none; 10 best-in-class)</t>
        </is>
      </c>
      <c r="D4" t="inlineStr">
        <is>
          <t>Last Updated</t>
        </is>
      </c>
      <c r="E4">
        <f>TODAY()</f>
        <v/>
      </c>
    </row>
    <row r="6">
      <c r="A6" s="94" t="inlineStr">
        <is>
          <t>Pillar</t>
        </is>
      </c>
      <c r="B6" s="94" t="inlineStr">
        <is>
          <t>Question ID</t>
        </is>
      </c>
      <c r="C6" s="94" t="inlineStr">
        <is>
          <t>Question</t>
        </is>
      </c>
      <c r="D6" s="94" t="inlineStr">
        <is>
          <t>Weight</t>
        </is>
      </c>
      <c r="E6" s="94" t="inlineStr">
        <is>
          <t>Response (0–10)</t>
        </is>
      </c>
      <c r="F6" s="94" t="inlineStr">
        <is>
          <t>Weighted Points</t>
        </is>
      </c>
      <c r="G6" s="94" t="inlineStr">
        <is>
          <t>Max Points</t>
        </is>
      </c>
      <c r="I6" s="99" t="inlineStr">
        <is>
          <t>PCRI Outputs</t>
        </is>
      </c>
    </row>
    <row r="7">
      <c r="A7" s="100" t="inlineStr">
        <is>
          <t>Foundation</t>
        </is>
      </c>
      <c r="B7" s="93" t="inlineStr">
        <is>
          <t>F1</t>
        </is>
      </c>
      <c r="C7" s="100" t="inlineStr">
        <is>
          <t>Design system state (tokens/components/docs)</t>
        </is>
      </c>
      <c r="D7" s="93" t="n">
        <v>1.5</v>
      </c>
      <c r="E7" s="93" t="n">
        <v>5</v>
      </c>
      <c r="F7" s="95">
        <f>E7*D7</f>
        <v/>
      </c>
      <c r="G7" s="95">
        <f>10*D7</f>
        <v/>
      </c>
      <c r="I7" s="91" t="n"/>
    </row>
    <row r="8">
      <c r="A8" s="100" t="inlineStr">
        <is>
          <t>Foundation</t>
        </is>
      </c>
      <c r="B8" s="93" t="inlineStr">
        <is>
          <t>F2</t>
        </is>
      </c>
      <c r="C8" s="100" t="inlineStr">
        <is>
          <t>Token architecture maturity (semantic layering, theming)</t>
        </is>
      </c>
      <c r="D8" s="93" t="n">
        <v>2</v>
      </c>
      <c r="E8" s="93" t="n">
        <v>5</v>
      </c>
      <c r="F8" s="95">
        <f>E8*D8</f>
        <v/>
      </c>
      <c r="G8" s="95">
        <f>10*D8</f>
        <v/>
      </c>
      <c r="I8" s="92" t="inlineStr">
        <is>
          <t>Foundation (raw)</t>
        </is>
      </c>
      <c r="J8" s="101">
        <f>IFERROR(SUMIF($A$7:$A$33,"Foundation",$F$7:$F$33)/SUMIF($A$7:$A$33,"Foundation",$G$7:$G$33)*100,0)</f>
        <v/>
      </c>
    </row>
    <row r="9">
      <c r="A9" s="100" t="inlineStr">
        <is>
          <t>Foundation</t>
        </is>
      </c>
      <c r="B9" s="93" t="inlineStr">
        <is>
          <t>F3</t>
        </is>
      </c>
      <c r="C9" s="100" t="inlineStr">
        <is>
          <t>Documentation quality + discoverability</t>
        </is>
      </c>
      <c r="D9" s="93" t="n">
        <v>1</v>
      </c>
      <c r="E9" s="93" t="n">
        <v>5</v>
      </c>
      <c r="F9" s="95">
        <f>E9*D9</f>
        <v/>
      </c>
      <c r="G9" s="95">
        <f>10*D9</f>
        <v/>
      </c>
      <c r="I9" s="92" t="inlineStr">
        <is>
          <t>AI Readiness (raw)</t>
        </is>
      </c>
      <c r="J9" s="101">
        <f>IFERROR(SUMIF($A$7:$A$33,"AI Readiness",$F$7:$F$33)/SUMIF($A$7:$A$33,"AI Readiness",$G$7:$G$33)*100,0)</f>
        <v/>
      </c>
    </row>
    <row r="10">
      <c r="A10" s="100" t="inlineStr">
        <is>
          <t>Foundation</t>
        </is>
      </c>
      <c r="B10" s="93" t="inlineStr">
        <is>
          <t>F4</t>
        </is>
      </c>
      <c r="C10" s="100" t="inlineStr">
        <is>
          <t>Accessibility standards + enforcement</t>
        </is>
      </c>
      <c r="D10" s="93" t="n">
        <v>1.5</v>
      </c>
      <c r="E10" s="93" t="n">
        <v>5</v>
      </c>
      <c r="F10" s="95">
        <f>E10*D10</f>
        <v/>
      </c>
      <c r="G10" s="95">
        <f>10*D10</f>
        <v/>
      </c>
      <c r="I10" s="92" t="inlineStr">
        <is>
          <t>Governance (raw)</t>
        </is>
      </c>
      <c r="J10" s="101">
        <f>IFERROR(SUMIF($A$7:$A$33,"Governance",$F$7:$F$33)/SUMIF($A$7:$A$33,"Governance",$G$7:$G$33)*100,0)</f>
        <v/>
      </c>
    </row>
    <row r="11">
      <c r="A11" s="100" t="inlineStr">
        <is>
          <t>AI Readiness</t>
        </is>
      </c>
      <c r="B11" s="93" t="inlineStr">
        <is>
          <t>AI1</t>
        </is>
      </c>
      <c r="C11" s="100" t="inlineStr">
        <is>
          <t>AI tool usage in design/dev workflows</t>
        </is>
      </c>
      <c r="D11" s="93" t="n">
        <v>1.5</v>
      </c>
      <c r="E11" s="93" t="n">
        <v>5</v>
      </c>
      <c r="F11" s="95">
        <f>E11*D11</f>
        <v/>
      </c>
      <c r="G11" s="95">
        <f>10*D11</f>
        <v/>
      </c>
      <c r="I11" s="92" t="inlineStr">
        <is>
          <t>Delivery (raw)</t>
        </is>
      </c>
      <c r="J11" s="101">
        <f>IFERROR(SUMIF($A$7:$A$33,"Delivery",$F$7:$F$33)/SUMIF($A$7:$A$33,"Delivery",$G$7:$G$33)*100,0)</f>
        <v/>
      </c>
    </row>
    <row r="12">
      <c r="A12" s="100" t="inlineStr">
        <is>
          <t>AI Readiness</t>
        </is>
      </c>
      <c r="B12" s="93" t="inlineStr">
        <is>
          <t>AI2</t>
        </is>
      </c>
      <c r="C12" s="100" t="inlineStr">
        <is>
          <t>API maturity + component interface consistency</t>
        </is>
      </c>
      <c r="D12" s="93" t="n">
        <v>2</v>
      </c>
      <c r="E12" s="93" t="n">
        <v>5</v>
      </c>
      <c r="F12" s="95">
        <f>E12*D12</f>
        <v/>
      </c>
      <c r="G12" s="95">
        <f>10*D12</f>
        <v/>
      </c>
      <c r="I12" s="92" t="inlineStr">
        <is>
          <t>Culture (raw)</t>
        </is>
      </c>
      <c r="J12" s="101">
        <f>IFERROR(SUMIF($A$7:$A$33,"Culture",$F$7:$F$33)/SUMIF($A$7:$A$33,"Culture",$G$7:$G$33)*100,0)</f>
        <v/>
      </c>
    </row>
    <row r="13">
      <c r="A13" s="100" t="inlineStr">
        <is>
          <t>AI Readiness</t>
        </is>
      </c>
      <c r="B13" s="93" t="inlineStr">
        <is>
          <t>AI3</t>
        </is>
      </c>
      <c r="C13" s="100" t="inlineStr">
        <is>
          <t>Product/design data quality + access</t>
        </is>
      </c>
      <c r="D13" s="93" t="n">
        <v>1.5</v>
      </c>
      <c r="E13" s="93" t="n">
        <v>5</v>
      </c>
      <c r="F13" s="95">
        <f>E13*D13</f>
        <v/>
      </c>
      <c r="G13" s="95">
        <f>10*D13</f>
        <v/>
      </c>
      <c r="I13" s="92" t="inlineStr">
        <is>
          <t>AI Gate Applied?</t>
        </is>
      </c>
      <c r="J13" s="101">
        <f>J8&lt;40</f>
        <v/>
      </c>
    </row>
    <row r="14">
      <c r="A14" s="100" t="inlineStr">
        <is>
          <t>AI Readiness</t>
        </is>
      </c>
      <c r="B14" s="93" t="inlineStr">
        <is>
          <t>AI4</t>
        </is>
      </c>
      <c r="C14" s="100" t="inlineStr">
        <is>
          <t>AI governance (context, safety, evaluation)</t>
        </is>
      </c>
      <c r="D14" s="93" t="n">
        <v>2</v>
      </c>
      <c r="E14" s="93" t="n">
        <v>5</v>
      </c>
      <c r="F14" s="95">
        <f>E14*D14</f>
        <v/>
      </c>
      <c r="G14" s="95">
        <f>10*D14</f>
        <v/>
      </c>
      <c r="I14" s="92" t="inlineStr">
        <is>
          <t>Delivery Gate Applied?</t>
        </is>
      </c>
      <c r="J14" s="101">
        <f>J10&lt;30</f>
        <v/>
      </c>
    </row>
    <row r="15">
      <c r="A15" s="100" t="inlineStr">
        <is>
          <t>Governance</t>
        </is>
      </c>
      <c r="B15" s="93" t="inlineStr">
        <is>
          <t>G1</t>
        </is>
      </c>
      <c r="C15" s="100" t="inlineStr">
        <is>
          <t>Executive sponsor + decision rights clarity</t>
        </is>
      </c>
      <c r="D15" s="93" t="n">
        <v>2</v>
      </c>
      <c r="E15" s="93" t="n">
        <v>5</v>
      </c>
      <c r="F15" s="95">
        <f>E15*D15</f>
        <v/>
      </c>
      <c r="G15" s="95">
        <f>10*D15</f>
        <v/>
      </c>
      <c r="I15" s="92" t="inlineStr">
        <is>
          <t>Foundation (effective)</t>
        </is>
      </c>
      <c r="J15" s="101">
        <f>J8</f>
        <v/>
      </c>
    </row>
    <row r="16">
      <c r="A16" s="100" t="inlineStr">
        <is>
          <t>Governance</t>
        </is>
      </c>
      <c r="B16" s="93" t="inlineStr">
        <is>
          <t>G2</t>
        </is>
      </c>
      <c r="C16" s="100" t="inlineStr">
        <is>
          <t>Budget commitment + capacity allocation</t>
        </is>
      </c>
      <c r="D16" s="93" t="n">
        <v>1.5</v>
      </c>
      <c r="E16" s="93" t="n">
        <v>5</v>
      </c>
      <c r="F16" s="95">
        <f>E16*D16</f>
        <v/>
      </c>
      <c r="G16" s="95">
        <f>10*D16</f>
        <v/>
      </c>
      <c r="I16" s="92" t="inlineStr">
        <is>
          <t>AI Readiness (effective)</t>
        </is>
      </c>
      <c r="J16" s="101">
        <f>IF(J13,J9*0.5,J9)</f>
        <v/>
      </c>
    </row>
    <row r="17">
      <c r="A17" s="100" t="inlineStr">
        <is>
          <t>Governance</t>
        </is>
      </c>
      <c r="B17" s="93" t="inlineStr">
        <is>
          <t>G3</t>
        </is>
      </c>
      <c r="C17" s="100" t="inlineStr">
        <is>
          <t>Change capacity + comms operating cadence</t>
        </is>
      </c>
      <c r="D17" s="93" t="n">
        <v>1</v>
      </c>
      <c r="E17" s="93" t="n">
        <v>5</v>
      </c>
      <c r="F17" s="95">
        <f>E17*D17</f>
        <v/>
      </c>
      <c r="G17" s="95">
        <f>10*D17</f>
        <v/>
      </c>
      <c r="I17" s="92" t="inlineStr">
        <is>
          <t>Governance (effective)</t>
        </is>
      </c>
      <c r="J17" s="101">
        <f>J10</f>
        <v/>
      </c>
    </row>
    <row r="18">
      <c r="A18" s="100" t="inlineStr">
        <is>
          <t>Governance</t>
        </is>
      </c>
      <c r="B18" s="93" t="inlineStr">
        <is>
          <t>G4</t>
        </is>
      </c>
      <c r="C18" s="100" t="inlineStr">
        <is>
          <t>ROI measurement + KPI instrumentation</t>
        </is>
      </c>
      <c r="D18" s="93" t="n">
        <v>1.5</v>
      </c>
      <c r="E18" s="93" t="n">
        <v>5</v>
      </c>
      <c r="F18" s="95">
        <f>E18*D18</f>
        <v/>
      </c>
      <c r="G18" s="95">
        <f>10*D18</f>
        <v/>
      </c>
      <c r="I18" s="92" t="inlineStr">
        <is>
          <t>Delivery (effective)</t>
        </is>
      </c>
      <c r="J18" s="101">
        <f>IF(J14,J11*0.7,J11)</f>
        <v/>
      </c>
    </row>
    <row r="19">
      <c r="A19" s="100" t="inlineStr">
        <is>
          <t>Governance</t>
        </is>
      </c>
      <c r="B19" s="93" t="inlineStr">
        <is>
          <t>G5</t>
        </is>
      </c>
      <c r="C19" s="100" t="inlineStr">
        <is>
          <t>Cross-functional governance structure (design/eng/product)</t>
        </is>
      </c>
      <c r="D19" s="93" t="n">
        <v>1.5</v>
      </c>
      <c r="E19" s="93" t="n">
        <v>5</v>
      </c>
      <c r="F19" s="95">
        <f>E19*D19</f>
        <v/>
      </c>
      <c r="G19" s="95">
        <f>10*D19</f>
        <v/>
      </c>
      <c r="I19" s="92" t="inlineStr">
        <is>
          <t>Culture (effective)</t>
        </is>
      </c>
      <c r="J19" s="101">
        <f>J12</f>
        <v/>
      </c>
    </row>
    <row r="20">
      <c r="A20" s="100" t="inlineStr">
        <is>
          <t>Delivery</t>
        </is>
      </c>
      <c r="B20" s="93" t="inlineStr">
        <is>
          <t>D1</t>
        </is>
      </c>
      <c r="C20" s="100" t="inlineStr">
        <is>
          <t>Decision clarity in delivery workflow</t>
        </is>
      </c>
      <c r="D20" s="93" t="n">
        <v>1</v>
      </c>
      <c r="E20" s="93" t="n">
        <v>5</v>
      </c>
      <c r="F20" s="95">
        <f>E20*D20</f>
        <v/>
      </c>
      <c r="G20" s="95">
        <f>10*D20</f>
        <v/>
      </c>
      <c r="I20" s="92" t="inlineStr">
        <is>
          <t>PCRI Score</t>
        </is>
      </c>
      <c r="J20" s="101">
        <f>ROUND((J15*0.20)+(J16*0.20)+(J17*0.20)+(J18*0.15)+(J19*0.25),0)</f>
        <v/>
      </c>
    </row>
    <row r="21">
      <c r="A21" s="100" t="inlineStr">
        <is>
          <t>Delivery</t>
        </is>
      </c>
      <c r="B21" s="93" t="inlineStr">
        <is>
          <t>D2</t>
        </is>
      </c>
      <c r="C21" s="100" t="inlineStr">
        <is>
          <t>Experiment pace + iteration loops</t>
        </is>
      </c>
      <c r="D21" s="93" t="n">
        <v>1.5</v>
      </c>
      <c r="E21" s="93" t="n">
        <v>5</v>
      </c>
      <c r="F21" s="95">
        <f>E21*D21</f>
        <v/>
      </c>
      <c r="G21" s="95">
        <f>10*D21</f>
        <v/>
      </c>
      <c r="I21" s="92" t="inlineStr">
        <is>
          <t>Archetype</t>
        </is>
      </c>
      <c r="J21" s="101">
        <f>IF(AND(J20&gt;=75,J15&gt;=70,J17&gt;=60,J19&gt;=60),"Transformer",IF(AND(J20&gt;=55,J15&gt;=60,J17&gt;=55,J19&gt;=50),"Optimizer",IF(AND(J20&gt;=45,J17&gt;=50,J19&gt;=40),"Adopter","Builder")))</f>
        <v/>
      </c>
    </row>
    <row r="22">
      <c r="A22" s="100" t="inlineStr">
        <is>
          <t>Delivery</t>
        </is>
      </c>
      <c r="B22" s="93" t="inlineStr">
        <is>
          <t>D3</t>
        </is>
      </c>
      <c r="C22" s="100" t="inlineStr">
        <is>
          <t>Cross-functional collaboration consistency</t>
        </is>
      </c>
      <c r="D22" s="93" t="n">
        <v>1</v>
      </c>
      <c r="E22" s="93" t="n">
        <v>5</v>
      </c>
      <c r="F22" s="95">
        <f>E22*D22</f>
        <v/>
      </c>
      <c r="G22" s="95">
        <f>10*D22</f>
        <v/>
      </c>
      <c r="I22" s="92" t="inlineStr">
        <is>
          <t>Multi-System Score</t>
        </is>
      </c>
      <c r="J22" s="101">
        <f>IF($E$3,IFERROR(SUM($F$39:$F$44)/SUM($G$39:$G$44)*100,0),"")</f>
        <v/>
      </c>
    </row>
    <row r="23">
      <c r="A23" s="100" t="inlineStr">
        <is>
          <t>Delivery</t>
        </is>
      </c>
      <c r="B23" s="93" t="inlineStr">
        <is>
          <t>D4</t>
        </is>
      </c>
      <c r="C23" s="100" t="inlineStr">
        <is>
          <t>Toolchain integration (design↔code, CI/CD, docs)</t>
        </is>
      </c>
      <c r="D23" s="93" t="n">
        <v>1</v>
      </c>
      <c r="E23" s="93" t="n">
        <v>5</v>
      </c>
      <c r="F23" s="95">
        <f>E23*D23</f>
        <v/>
      </c>
      <c r="G23" s="95">
        <f>10*D23</f>
        <v/>
      </c>
    </row>
    <row r="24">
      <c r="A24" s="100" t="inlineStr">
        <is>
          <t>Delivery</t>
        </is>
      </c>
      <c r="B24" s="93" t="inlineStr">
        <is>
          <t>D5</t>
        </is>
      </c>
      <c r="C24" s="100" t="inlineStr">
        <is>
          <t>Workflow consistency across teams/products</t>
        </is>
      </c>
      <c r="D24" s="93" t="n">
        <v>1.5</v>
      </c>
      <c r="E24" s="93" t="n">
        <v>5</v>
      </c>
      <c r="F24" s="95">
        <f>E24*D24</f>
        <v/>
      </c>
      <c r="G24" s="95">
        <f>10*D24</f>
        <v/>
      </c>
    </row>
    <row r="25">
      <c r="A25" s="100" t="inlineStr">
        <is>
          <t>Delivery</t>
        </is>
      </c>
      <c r="B25" s="93" t="inlineStr">
        <is>
          <t>D6</t>
        </is>
      </c>
      <c r="C25" s="100" t="inlineStr">
        <is>
          <t>Platform team model / enablement pathways</t>
        </is>
      </c>
      <c r="D25" s="93" t="n">
        <v>1.5</v>
      </c>
      <c r="E25" s="93" t="n">
        <v>5</v>
      </c>
      <c r="F25" s="95">
        <f>E25*D25</f>
        <v/>
      </c>
      <c r="G25" s="95">
        <f>10*D25</f>
        <v/>
      </c>
    </row>
    <row r="26">
      <c r="A26" s="100" t="inlineStr">
        <is>
          <t>Delivery</t>
        </is>
      </c>
      <c r="B26" s="93" t="inlineStr">
        <is>
          <t>D7</t>
        </is>
      </c>
      <c r="C26" s="100" t="inlineStr">
        <is>
          <t>Deployment frequency + release discipline</t>
        </is>
      </c>
      <c r="D26" s="93" t="n">
        <v>1.5</v>
      </c>
      <c r="E26" s="93" t="n">
        <v>5</v>
      </c>
      <c r="F26" s="95">
        <f>E26*D26</f>
        <v/>
      </c>
      <c r="G26" s="95">
        <f>10*D26</f>
        <v/>
      </c>
    </row>
    <row r="27">
      <c r="A27" s="100" t="inlineStr">
        <is>
          <t>Culture</t>
        </is>
      </c>
      <c r="B27" s="93" t="inlineStr">
        <is>
          <t>C1</t>
        </is>
      </c>
      <c r="C27" s="100" t="inlineStr">
        <is>
          <t>Contribution model exists and is used</t>
        </is>
      </c>
      <c r="D27" s="93" t="n">
        <v>1.5</v>
      </c>
      <c r="E27" s="93" t="n">
        <v>5</v>
      </c>
      <c r="F27" s="95">
        <f>E27*D27</f>
        <v/>
      </c>
      <c r="G27" s="95">
        <f>10*D27</f>
        <v/>
      </c>
    </row>
    <row r="28">
      <c r="A28" s="100" t="inlineStr">
        <is>
          <t>Culture</t>
        </is>
      </c>
      <c r="B28" s="93" t="inlineStr">
        <is>
          <t>C2</t>
        </is>
      </c>
      <c r="C28" s="100" t="inlineStr">
        <is>
          <t>Contributor diversity across org</t>
        </is>
      </c>
      <c r="D28" s="93" t="n">
        <v>1</v>
      </c>
      <c r="E28" s="93" t="n">
        <v>5</v>
      </c>
      <c r="F28" s="95">
        <f>E28*D28</f>
        <v/>
      </c>
      <c r="G28" s="95">
        <f>10*D28</f>
        <v/>
      </c>
    </row>
    <row r="29">
      <c r="A29" s="100" t="inlineStr">
        <is>
          <t>Culture</t>
        </is>
      </c>
      <c r="B29" s="93" t="inlineStr">
        <is>
          <t>C3</t>
        </is>
      </c>
      <c r="C29" s="100" t="inlineStr">
        <is>
          <t>Community health (cadence, engagement)</t>
        </is>
      </c>
      <c r="D29" s="93" t="n">
        <v>1</v>
      </c>
      <c r="E29" s="93" t="n">
        <v>5</v>
      </c>
      <c r="F29" s="95">
        <f>E29*D29</f>
        <v/>
      </c>
      <c r="G29" s="95">
        <f>10*D29</f>
        <v/>
      </c>
    </row>
    <row r="30">
      <c r="A30" s="100" t="inlineStr">
        <is>
          <t>Culture</t>
        </is>
      </c>
      <c r="B30" s="93" t="inlineStr">
        <is>
          <t>C4</t>
        </is>
      </c>
      <c r="C30" s="100" t="inlineStr">
        <is>
          <t>Shared ownership (design+engineering)</t>
        </is>
      </c>
      <c r="D30" s="93" t="n">
        <v>1.5</v>
      </c>
      <c r="E30" s="93" t="n">
        <v>5</v>
      </c>
      <c r="F30" s="95">
        <f>E30*D30</f>
        <v/>
      </c>
      <c r="G30" s="95">
        <f>10*D30</f>
        <v/>
      </c>
    </row>
    <row r="31">
      <c r="A31" s="100" t="inlineStr">
        <is>
          <t>Culture</t>
        </is>
      </c>
      <c r="B31" s="93" t="inlineStr">
        <is>
          <t>C5</t>
        </is>
      </c>
      <c r="C31" s="100" t="inlineStr">
        <is>
          <t>Time allocation for contribution</t>
        </is>
      </c>
      <c r="D31" s="93" t="n">
        <v>1</v>
      </c>
      <c r="E31" s="93" t="n">
        <v>5</v>
      </c>
      <c r="F31" s="95">
        <f>E31*D31</f>
        <v/>
      </c>
      <c r="G31" s="95">
        <f>10*D31</f>
        <v/>
      </c>
    </row>
    <row r="32">
      <c r="A32" s="100" t="inlineStr">
        <is>
          <t>Culture</t>
        </is>
      </c>
      <c r="B32" s="93" t="inlineStr">
        <is>
          <t>C6</t>
        </is>
      </c>
      <c r="C32" s="100" t="inlineStr">
        <is>
          <t>Psychological safety</t>
        </is>
      </c>
      <c r="D32" s="93" t="n">
        <v>2</v>
      </c>
      <c r="E32" s="93" t="n">
        <v>5</v>
      </c>
      <c r="F32" s="95">
        <f>E32*D32</f>
        <v/>
      </c>
      <c r="G32" s="95">
        <f>10*D32</f>
        <v/>
      </c>
    </row>
    <row r="33">
      <c r="A33" s="100" t="inlineStr">
        <is>
          <t>Culture</t>
        </is>
      </c>
      <c r="B33" s="93" t="inlineStr">
        <is>
          <t>C7</t>
        </is>
      </c>
      <c r="C33" s="100" t="inlineStr">
        <is>
          <t>Information flow (Westrum typology indicator)</t>
        </is>
      </c>
      <c r="D33" s="93" t="n">
        <v>1.5</v>
      </c>
      <c r="E33" s="93" t="n">
        <v>5</v>
      </c>
      <c r="F33" s="95">
        <f>E33*D33</f>
        <v/>
      </c>
      <c r="G33" s="95">
        <f>10*D33</f>
        <v/>
      </c>
    </row>
    <row r="35">
      <c r="A35" s="102" t="inlineStr">
        <is>
          <t>Multi-System Architecture (optional)</t>
        </is>
      </c>
    </row>
    <row r="36">
      <c r="A36" s="91" t="inlineStr">
        <is>
          <t>Shown when System Landscape ≠ Single. Does not affect core PCRI.</t>
        </is>
      </c>
    </row>
    <row r="38">
      <c r="A38" s="103" t="inlineStr">
        <is>
          <t>Pillar</t>
        </is>
      </c>
      <c r="B38" s="103" t="inlineStr">
        <is>
          <t>Question ID</t>
        </is>
      </c>
      <c r="C38" s="103" t="inlineStr">
        <is>
          <t>Question</t>
        </is>
      </c>
      <c r="D38" s="103" t="inlineStr">
        <is>
          <t>Weight</t>
        </is>
      </c>
      <c r="E38" s="103" t="inlineStr">
        <is>
          <t>Response (0–10)</t>
        </is>
      </c>
      <c r="F38" s="103" t="inlineStr">
        <is>
          <t>Weighted Points</t>
        </is>
      </c>
      <c r="G38" s="103" t="inlineStr">
        <is>
          <t>Max Points</t>
        </is>
      </c>
    </row>
    <row r="39">
      <c r="A39" s="100" t="inlineStr">
        <is>
          <t>Multi-System</t>
        </is>
      </c>
      <c r="B39" s="93" t="inlineStr">
        <is>
          <t>MS27</t>
        </is>
      </c>
      <c r="C39" s="100" t="inlineStr">
        <is>
          <t>Token architecture across systems (semantic vs primitive layers)</t>
        </is>
      </c>
      <c r="D39" s="93" t="n">
        <v>1.5</v>
      </c>
      <c r="E39" s="93" t="n">
        <v>5</v>
      </c>
      <c r="F39" s="95">
        <f>E39*D39</f>
        <v/>
      </c>
      <c r="G39" s="95">
        <f>10*D39</f>
        <v/>
      </c>
    </row>
    <row r="40">
      <c r="A40" s="100" t="inlineStr">
        <is>
          <t>Multi-System</t>
        </is>
      </c>
      <c r="B40" s="93" t="inlineStr">
        <is>
          <t>MS28</t>
        </is>
      </c>
      <c r="C40" s="100" t="inlineStr">
        <is>
          <t>Component abstraction across systems</t>
        </is>
      </c>
      <c r="D40" s="93" t="n">
        <v>1.5</v>
      </c>
      <c r="E40" s="93" t="n">
        <v>5</v>
      </c>
      <c r="F40" s="95">
        <f>E40*D40</f>
        <v/>
      </c>
      <c r="G40" s="95">
        <f>10*D40</f>
        <v/>
      </c>
    </row>
    <row r="41">
      <c r="A41" s="100" t="inlineStr">
        <is>
          <t>Multi-System</t>
        </is>
      </c>
      <c r="B41" s="93" t="inlineStr">
        <is>
          <t>MS29</t>
        </is>
      </c>
      <c r="C41" s="100" t="inlineStr">
        <is>
          <t>Cross-system governance + decision rights</t>
        </is>
      </c>
      <c r="D41" s="93" t="n">
        <v>2</v>
      </c>
      <c r="E41" s="93" t="n">
        <v>5</v>
      </c>
      <c r="F41" s="95">
        <f>E41*D41</f>
        <v/>
      </c>
      <c r="G41" s="95">
        <f>10*D41</f>
        <v/>
      </c>
    </row>
    <row r="42">
      <c r="A42" s="100" t="inlineStr">
        <is>
          <t>Multi-System</t>
        </is>
      </c>
      <c r="B42" s="93" t="inlineStr">
        <is>
          <t>MS30</t>
        </is>
      </c>
      <c r="C42" s="100" t="inlineStr">
        <is>
          <t>Cross-system AI context unification</t>
        </is>
      </c>
      <c r="D42" s="93" t="n">
        <v>1.5</v>
      </c>
      <c r="E42" s="93" t="n">
        <v>5</v>
      </c>
      <c r="F42" s="95">
        <f>E42*D42</f>
        <v/>
      </c>
      <c r="G42" s="95">
        <f>10*D42</f>
        <v/>
      </c>
    </row>
    <row r="43">
      <c r="A43" s="100" t="inlineStr">
        <is>
          <t>Multi-System</t>
        </is>
      </c>
      <c r="B43" s="93" t="inlineStr">
        <is>
          <t>MS31</t>
        </is>
      </c>
      <c r="C43" s="100" t="inlineStr">
        <is>
          <t>Cross-system contribution model</t>
        </is>
      </c>
      <c r="D43" s="93" t="n">
        <v>1.5</v>
      </c>
      <c r="E43" s="93" t="n">
        <v>5</v>
      </c>
      <c r="F43" s="95">
        <f>E43*D43</f>
        <v/>
      </c>
      <c r="G43" s="95">
        <f>10*D43</f>
        <v/>
      </c>
    </row>
    <row r="44">
      <c r="A44" s="100" t="inlineStr">
        <is>
          <t>Multi-System</t>
        </is>
      </c>
      <c r="B44" s="93" t="inlineStr">
        <is>
          <t>MS32</t>
        </is>
      </c>
      <c r="C44" s="100" t="inlineStr">
        <is>
          <t>Release coordination across systems</t>
        </is>
      </c>
      <c r="D44" s="93" t="n">
        <v>1</v>
      </c>
      <c r="E44" s="93" t="n">
        <v>5</v>
      </c>
      <c r="F44" s="95">
        <f>E44*D44</f>
        <v/>
      </c>
      <c r="G44" s="95">
        <f>10*D44</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cols>
    <col width="26" customWidth="1" style="74" min="1" max="1"/>
    <col width="44" customWidth="1" style="74" min="2" max="2"/>
    <col width="28" customWidth="1" style="74" min="3" max="3"/>
    <col width="18" customWidth="1" style="74" min="4" max="4"/>
    <col width="16" customWidth="1" style="74" min="5" max="5"/>
    <col width="16" customWidth="1" style="74" min="6" max="6"/>
    <col width="16" customWidth="1" style="74" min="7" max="7"/>
    <col width="16" customWidth="1" style="74" min="8" max="8"/>
    <col width="22" customWidth="1" style="74" min="9" max="9"/>
    <col width="16" customWidth="1" style="74" min="10" max="10"/>
    <col width="16" customWidth="1" style="74" min="11" max="11"/>
    <col width="16" customWidth="1" style="74" min="12" max="12"/>
    <col width="16" customWidth="1" style="74" min="13" max="13"/>
    <col width="16" customWidth="1" style="74" min="14" max="14"/>
  </cols>
  <sheetData>
    <row r="1">
      <c r="A1" s="94" t="inlineStr">
        <is>
          <t>Phase</t>
        </is>
      </c>
      <c r="B1" s="94" t="inlineStr">
        <is>
          <t>Activity / Milestone</t>
        </is>
      </c>
      <c r="C1" s="94" t="inlineStr">
        <is>
          <t>Activity Key</t>
        </is>
      </c>
      <c r="D1" s="94" t="inlineStr">
        <is>
          <t>Primary PCRI Pillar</t>
        </is>
      </c>
      <c r="E1" s="94" t="inlineStr">
        <is>
          <t>Builder (1/0)</t>
        </is>
      </c>
      <c r="F1" s="94" t="inlineStr">
        <is>
          <t>Adopter (1/0)</t>
        </is>
      </c>
      <c r="G1" s="94" t="inlineStr">
        <is>
          <t>Optimizer (1/0)</t>
        </is>
      </c>
      <c r="H1" s="94" t="inlineStr">
        <is>
          <t>Transformer (1/0)</t>
        </is>
      </c>
      <c r="I1" s="94" t="inlineStr">
        <is>
          <t>Pillar Threshold Override (optional)</t>
        </is>
      </c>
      <c r="J1" s="94" t="inlineStr">
        <is>
          <t>Pillar Score (eff)</t>
        </is>
      </c>
      <c r="K1" s="94" t="inlineStr">
        <is>
          <t>Archetype</t>
        </is>
      </c>
      <c r="L1" s="94" t="inlineStr">
        <is>
          <t>Include?</t>
        </is>
      </c>
      <c r="M1" s="94" t="inlineStr">
        <is>
          <t>PCRI Mult</t>
        </is>
      </c>
    </row>
    <row r="2">
      <c r="A2" s="95" t="inlineStr">
        <is>
          <t>Implementation + Onboarding</t>
        </is>
      </c>
      <c r="B2" s="95" t="inlineStr">
        <is>
          <t>Stakeholder Alignment Workshops</t>
        </is>
      </c>
      <c r="C2" s="95">
        <f>A2&amp;"|"&amp;B2</f>
        <v/>
      </c>
      <c r="D2" s="95" t="inlineStr">
        <is>
          <t>Delivery</t>
        </is>
      </c>
      <c r="E2" s="95" t="n">
        <v>1</v>
      </c>
      <c r="F2" s="95" t="n">
        <v>1</v>
      </c>
      <c r="G2" s="95" t="n">
        <v>1</v>
      </c>
      <c r="H2" s="95" t="n">
        <v>1</v>
      </c>
      <c r="I2" s="95" t="inlineStr"/>
      <c r="J2" s="95">
        <f>IFERROR(CHOOSE(MATCH(D2,{"Foundation","AI Readiness","Governance","Delivery","Culture"},0),'PCRI Assessment'!$J$15,'PCRI Assessment'!$J$16,'PCRI Assessment'!$J$17,'PCRI Assessment'!$J$18,'PCRI Assessment'!$J$19),0)</f>
        <v/>
      </c>
      <c r="K2" s="95">
        <f>'PCRI Assessment'!$J$21</f>
        <v/>
      </c>
      <c r="L2" s="95">
        <f>MAX(IF(K2="Builder",E2,IF(K2="Adopter",F2,IF(K2="Optimizer",G2,H2))),IF(AND(I2&lt;&gt;"",J2&lt;I2),1,0))</f>
        <v/>
      </c>
      <c r="M2" s="95">
        <f>IF(L2=0,0,IF(J2&lt;30,1.3,IF(J2&lt;50,1.15,1)))</f>
        <v/>
      </c>
    </row>
    <row r="3">
      <c r="A3" s="95" t="inlineStr">
        <is>
          <t>Implementation + Onboarding</t>
        </is>
      </c>
      <c r="B3" s="95" t="inlineStr">
        <is>
          <t>Program management and coordination</t>
        </is>
      </c>
      <c r="C3" s="95">
        <f>A3&amp;"|"&amp;B3</f>
        <v/>
      </c>
      <c r="D3" s="95" t="inlineStr">
        <is>
          <t>Delivery</t>
        </is>
      </c>
      <c r="E3" s="95" t="n">
        <v>1</v>
      </c>
      <c r="F3" s="95" t="n">
        <v>1</v>
      </c>
      <c r="G3" s="95" t="n">
        <v>1</v>
      </c>
      <c r="H3" s="95" t="n">
        <v>1</v>
      </c>
      <c r="I3" s="95" t="inlineStr"/>
      <c r="J3" s="95">
        <f>IFERROR(CHOOSE(MATCH(D3,{"Foundation","AI Readiness","Governance","Delivery","Culture"},0),'PCRI Assessment'!$J$15,'PCRI Assessment'!$J$16,'PCRI Assessment'!$J$17,'PCRI Assessment'!$J$18,'PCRI Assessment'!$J$19),0)</f>
        <v/>
      </c>
      <c r="K3" s="95">
        <f>'PCRI Assessment'!$J$21</f>
        <v/>
      </c>
      <c r="L3" s="95">
        <f>MAX(IF(K3="Builder",E3,IF(K3="Adopter",F3,IF(K3="Optimizer",G3,H3))),IF(AND(I3&lt;&gt;"",J3&lt;I3),1,0))</f>
        <v/>
      </c>
      <c r="M3" s="95">
        <f>IF(L3=0,0,IF(J3&lt;30,1.3,IF(J3&lt;50,1.15,1)))</f>
        <v/>
      </c>
    </row>
    <row r="4">
      <c r="A4" s="95" t="inlineStr">
        <is>
          <t>Implementation + Onboarding</t>
        </is>
      </c>
      <c r="B4" s="95" t="inlineStr">
        <is>
          <t>Communication Launch Plan</t>
        </is>
      </c>
      <c r="C4" s="95">
        <f>A4&amp;"|"&amp;B4</f>
        <v/>
      </c>
      <c r="D4" s="95" t="inlineStr">
        <is>
          <t>Delivery</t>
        </is>
      </c>
      <c r="E4" s="95" t="n">
        <v>1</v>
      </c>
      <c r="F4" s="95" t="n">
        <v>1</v>
      </c>
      <c r="G4" s="95" t="n">
        <v>1</v>
      </c>
      <c r="H4" s="95" t="n">
        <v>1</v>
      </c>
      <c r="I4" s="95" t="inlineStr"/>
      <c r="J4" s="95">
        <f>IFERROR(CHOOSE(MATCH(D4,{"Foundation","AI Readiness","Governance","Delivery","Culture"},0),'PCRI Assessment'!$J$15,'PCRI Assessment'!$J$16,'PCRI Assessment'!$J$17,'PCRI Assessment'!$J$18,'PCRI Assessment'!$J$19),0)</f>
        <v/>
      </c>
      <c r="K4" s="95">
        <f>'PCRI Assessment'!$J$21</f>
        <v/>
      </c>
      <c r="L4" s="95">
        <f>MAX(IF(K4="Builder",E4,IF(K4="Adopter",F4,IF(K4="Optimizer",G4,H4))),IF(AND(I4&lt;&gt;"",J4&lt;I4),1,0))</f>
        <v/>
      </c>
      <c r="M4" s="95">
        <f>IF(L4=0,0,IF(J4&lt;30,1.3,IF(J4&lt;50,1.15,1)))</f>
        <v/>
      </c>
    </row>
    <row r="5">
      <c r="A5" s="95" t="inlineStr">
        <is>
          <t>Implementation + Onboarding</t>
        </is>
      </c>
      <c r="B5" s="95" t="inlineStr">
        <is>
          <t>Preparation</t>
        </is>
      </c>
      <c r="C5" s="95">
        <f>A5&amp;"|"&amp;B5</f>
        <v/>
      </c>
      <c r="D5" s="95" t="inlineStr">
        <is>
          <t>Delivery</t>
        </is>
      </c>
      <c r="E5" s="95" t="n">
        <v>1</v>
      </c>
      <c r="F5" s="95" t="n">
        <v>1</v>
      </c>
      <c r="G5" s="95" t="n">
        <v>1</v>
      </c>
      <c r="H5" s="95" t="n">
        <v>1</v>
      </c>
      <c r="I5" s="95" t="inlineStr"/>
      <c r="J5" s="95">
        <f>IFERROR(CHOOSE(MATCH(D5,{"Foundation","AI Readiness","Governance","Delivery","Culture"},0),'PCRI Assessment'!$J$15,'PCRI Assessment'!$J$16,'PCRI Assessment'!$J$17,'PCRI Assessment'!$J$18,'PCRI Assessment'!$J$19),0)</f>
        <v/>
      </c>
      <c r="K5" s="95">
        <f>'PCRI Assessment'!$J$21</f>
        <v/>
      </c>
      <c r="L5" s="95">
        <f>MAX(IF(K5="Builder",E5,IF(K5="Adopter",F5,IF(K5="Optimizer",G5,H5))),IF(AND(I5&lt;&gt;"",J5&lt;I5),1,0))</f>
        <v/>
      </c>
      <c r="M5" s="95">
        <f>IF(L5=0,0,IF(J5&lt;30,1.3,IF(J5&lt;50,1.15,1)))</f>
        <v/>
      </c>
    </row>
    <row r="6">
      <c r="A6" s="95" t="inlineStr">
        <is>
          <t>Implementation + Onboarding</t>
        </is>
      </c>
      <c r="B6" s="95" t="inlineStr">
        <is>
          <t>Local install support</t>
        </is>
      </c>
      <c r="C6" s="95">
        <f>A6&amp;"|"&amp;B6</f>
        <v/>
      </c>
      <c r="D6" s="95" t="inlineStr">
        <is>
          <t>Delivery</t>
        </is>
      </c>
      <c r="E6" s="95" t="n">
        <v>1</v>
      </c>
      <c r="F6" s="95" t="n">
        <v>1</v>
      </c>
      <c r="G6" s="95" t="n">
        <v>1</v>
      </c>
      <c r="H6" s="95" t="n">
        <v>1</v>
      </c>
      <c r="I6" s="95" t="inlineStr"/>
      <c r="J6" s="95">
        <f>IFERROR(CHOOSE(MATCH(D6,{"Foundation","AI Readiness","Governance","Delivery","Culture"},0),'PCRI Assessment'!$J$15,'PCRI Assessment'!$J$16,'PCRI Assessment'!$J$17,'PCRI Assessment'!$J$18,'PCRI Assessment'!$J$19),0)</f>
        <v/>
      </c>
      <c r="K6" s="95">
        <f>'PCRI Assessment'!$J$21</f>
        <v/>
      </c>
      <c r="L6" s="95">
        <f>MAX(IF(K6="Builder",E6,IF(K6="Adopter",F6,IF(K6="Optimizer",G6,H6))),IF(AND(I6&lt;&gt;"",J6&lt;I6),1,0))</f>
        <v/>
      </c>
      <c r="M6" s="95">
        <f>IF(L6=0,0,IF(J6&lt;30,1.3,IF(J6&lt;50,1.15,1)))</f>
        <v/>
      </c>
    </row>
    <row r="7">
      <c r="A7" s="95" t="inlineStr">
        <is>
          <t>Implementation + Onboarding</t>
        </is>
      </c>
      <c r="B7" s="95" t="inlineStr">
        <is>
          <t>Component rendering</t>
        </is>
      </c>
      <c r="C7" s="95">
        <f>A7&amp;"|"&amp;B7</f>
        <v/>
      </c>
      <c r="D7" s="95" t="inlineStr">
        <is>
          <t>Foundation</t>
        </is>
      </c>
      <c r="E7" s="95" t="n">
        <v>1</v>
      </c>
      <c r="F7" s="95" t="n">
        <v>1</v>
      </c>
      <c r="G7" s="95" t="n">
        <v>1</v>
      </c>
      <c r="H7" s="95" t="n">
        <v>1</v>
      </c>
      <c r="I7" s="95" t="inlineStr"/>
      <c r="J7" s="95">
        <f>IFERROR(CHOOSE(MATCH(D7,{"Foundation","AI Readiness","Governance","Delivery","Culture"},0),'PCRI Assessment'!$J$15,'PCRI Assessment'!$J$16,'PCRI Assessment'!$J$17,'PCRI Assessment'!$J$18,'PCRI Assessment'!$J$19),0)</f>
        <v/>
      </c>
      <c r="K7" s="95">
        <f>'PCRI Assessment'!$J$21</f>
        <v/>
      </c>
      <c r="L7" s="95">
        <f>MAX(IF(K7="Builder",E7,IF(K7="Adopter",F7,IF(K7="Optimizer",G7,H7))),IF(AND(I7&lt;&gt;"",J7&lt;I7),1,0))</f>
        <v/>
      </c>
      <c r="M7" s="95">
        <f>IF(L7=0,0,IF(J7&lt;30,1.3,IF(J7&lt;50,1.15,1)))</f>
        <v/>
      </c>
    </row>
    <row r="8">
      <c r="A8" s="95" t="inlineStr">
        <is>
          <t>Implementation + Onboarding</t>
        </is>
      </c>
      <c r="B8" s="95" t="inlineStr">
        <is>
          <t>SME support for rendering</t>
        </is>
      </c>
      <c r="C8" s="95">
        <f>A8&amp;"|"&amp;B8</f>
        <v/>
      </c>
      <c r="D8" s="95" t="inlineStr">
        <is>
          <t>Delivery</t>
        </is>
      </c>
      <c r="E8" s="95" t="n">
        <v>1</v>
      </c>
      <c r="F8" s="95" t="n">
        <v>1</v>
      </c>
      <c r="G8" s="95" t="n">
        <v>1</v>
      </c>
      <c r="H8" s="95" t="n">
        <v>1</v>
      </c>
      <c r="I8" s="95" t="inlineStr"/>
      <c r="J8" s="95">
        <f>IFERROR(CHOOSE(MATCH(D8,{"Foundation","AI Readiness","Governance","Delivery","Culture"},0),'PCRI Assessment'!$J$15,'PCRI Assessment'!$J$16,'PCRI Assessment'!$J$17,'PCRI Assessment'!$J$18,'PCRI Assessment'!$J$19),0)</f>
        <v/>
      </c>
      <c r="K8" s="95">
        <f>'PCRI Assessment'!$J$21</f>
        <v/>
      </c>
      <c r="L8" s="95">
        <f>MAX(IF(K8="Builder",E8,IF(K8="Adopter",F8,IF(K8="Optimizer",G8,H8))),IF(AND(I8&lt;&gt;"",J8&lt;I8),1,0))</f>
        <v/>
      </c>
      <c r="M8" s="95">
        <f>IF(L8=0,0,IF(J8&lt;30,1.3,IF(J8&lt;50,1.15,1)))</f>
        <v/>
      </c>
    </row>
    <row r="9">
      <c r="A9" s="95" t="inlineStr">
        <is>
          <t>Implementation + Onboarding</t>
        </is>
      </c>
      <c r="B9" s="95" t="inlineStr">
        <is>
          <t>Deployment support</t>
        </is>
      </c>
      <c r="C9" s="95">
        <f>A9&amp;"|"&amp;B9</f>
        <v/>
      </c>
      <c r="D9" s="95" t="inlineStr">
        <is>
          <t>Delivery</t>
        </is>
      </c>
      <c r="E9" s="95" t="n">
        <v>1</v>
      </c>
      <c r="F9" s="95" t="n">
        <v>1</v>
      </c>
      <c r="G9" s="95" t="n">
        <v>1</v>
      </c>
      <c r="H9" s="95" t="n">
        <v>1</v>
      </c>
      <c r="I9" s="95" t="inlineStr"/>
      <c r="J9" s="95">
        <f>IFERROR(CHOOSE(MATCH(D9,{"Foundation","AI Readiness","Governance","Delivery","Culture"},0),'PCRI Assessment'!$J$15,'PCRI Assessment'!$J$16,'PCRI Assessment'!$J$17,'PCRI Assessment'!$J$18,'PCRI Assessment'!$J$19),0)</f>
        <v/>
      </c>
      <c r="K9" s="95">
        <f>'PCRI Assessment'!$J$21</f>
        <v/>
      </c>
      <c r="L9" s="95">
        <f>MAX(IF(K9="Builder",E9,IF(K9="Adopter",F9,IF(K9="Optimizer",G9,H9))),IF(AND(I9&lt;&gt;"",J9&lt;I9),1,0))</f>
        <v/>
      </c>
      <c r="M9" s="95">
        <f>IF(L9=0,0,IF(J9&lt;30,1.3,IF(J9&lt;50,1.15,1)))</f>
        <v/>
      </c>
    </row>
    <row r="10">
      <c r="A10" s="95" t="inlineStr">
        <is>
          <t>Scaled Rollout and Adoption</t>
        </is>
      </c>
      <c r="B10" s="95" t="inlineStr">
        <is>
          <t>Program management and Steering Committee coordination</t>
        </is>
      </c>
      <c r="C10" s="95">
        <f>A10&amp;"|"&amp;B10</f>
        <v/>
      </c>
      <c r="D10" s="95" t="inlineStr">
        <is>
          <t>Governance</t>
        </is>
      </c>
      <c r="E10" s="95" t="n">
        <v>1</v>
      </c>
      <c r="F10" s="95" t="n">
        <v>1</v>
      </c>
      <c r="G10" s="95" t="n">
        <v>1</v>
      </c>
      <c r="H10" s="95" t="n">
        <v>1</v>
      </c>
      <c r="I10" s="95" t="inlineStr"/>
      <c r="J10" s="95">
        <f>IFERROR(CHOOSE(MATCH(D10,{"Foundation","AI Readiness","Governance","Delivery","Culture"},0),'PCRI Assessment'!$J$15,'PCRI Assessment'!$J$16,'PCRI Assessment'!$J$17,'PCRI Assessment'!$J$18,'PCRI Assessment'!$J$19),0)</f>
        <v/>
      </c>
      <c r="K10" s="95">
        <f>'PCRI Assessment'!$J$21</f>
        <v/>
      </c>
      <c r="L10" s="95">
        <f>MAX(IF(K10="Builder",E10,IF(K10="Adopter",F10,IF(K10="Optimizer",G10,H10))),IF(AND(I10&lt;&gt;"",J10&lt;I10),1,0))</f>
        <v/>
      </c>
      <c r="M10" s="95">
        <f>IF(L10=0,0,IF(J10&lt;30,1.3,IF(J10&lt;50,1.15,1)))</f>
        <v/>
      </c>
    </row>
    <row r="11">
      <c r="A11" s="95" t="inlineStr">
        <is>
          <t>Scaled Rollout and Adoption</t>
        </is>
      </c>
      <c r="B11" s="95" t="inlineStr">
        <is>
          <t>Facilitating and supporting deliverables</t>
        </is>
      </c>
      <c r="C11" s="95">
        <f>A11&amp;"|"&amp;B11</f>
        <v/>
      </c>
      <c r="D11" s="95" t="inlineStr">
        <is>
          <t>Delivery</t>
        </is>
      </c>
      <c r="E11" s="95" t="n">
        <v>1</v>
      </c>
      <c r="F11" s="95" t="n">
        <v>1</v>
      </c>
      <c r="G11" s="95" t="n">
        <v>1</v>
      </c>
      <c r="H11" s="95" t="n">
        <v>1</v>
      </c>
      <c r="I11" s="95" t="inlineStr"/>
      <c r="J11" s="95">
        <f>IFERROR(CHOOSE(MATCH(D11,{"Foundation","AI Readiness","Governance","Delivery","Culture"},0),'PCRI Assessment'!$J$15,'PCRI Assessment'!$J$16,'PCRI Assessment'!$J$17,'PCRI Assessment'!$J$18,'PCRI Assessment'!$J$19),0)</f>
        <v/>
      </c>
      <c r="K11" s="95">
        <f>'PCRI Assessment'!$J$21</f>
        <v/>
      </c>
      <c r="L11" s="95">
        <f>MAX(IF(K11="Builder",E11,IF(K11="Adopter",F11,IF(K11="Optimizer",G11,H11))),IF(AND(I11&lt;&gt;"",J11&lt;I11),1,0))</f>
        <v/>
      </c>
      <c r="M11" s="95">
        <f>IF(L11=0,0,IF(J11&lt;30,1.3,IF(J11&lt;50,1.15,1)))</f>
        <v/>
      </c>
    </row>
    <row r="12">
      <c r="A12" s="95" t="inlineStr">
        <is>
          <t>Scaled Rollout and Adoption</t>
        </is>
      </c>
      <c r="B12" s="95" t="inlineStr">
        <is>
          <t>Change Readiness Assessment</t>
        </is>
      </c>
      <c r="C12" s="95">
        <f>A12&amp;"|"&amp;B12</f>
        <v/>
      </c>
      <c r="D12" s="95" t="inlineStr">
        <is>
          <t>Culture</t>
        </is>
      </c>
      <c r="E12" s="95" t="n">
        <v>1</v>
      </c>
      <c r="F12" s="95" t="n">
        <v>1</v>
      </c>
      <c r="G12" s="95" t="n">
        <v>1</v>
      </c>
      <c r="H12" s="95" t="n">
        <v>1</v>
      </c>
      <c r="I12" s="95" t="inlineStr"/>
      <c r="J12" s="95">
        <f>IFERROR(CHOOSE(MATCH(D12,{"Foundation","AI Readiness","Governance","Delivery","Culture"},0),'PCRI Assessment'!$J$15,'PCRI Assessment'!$J$16,'PCRI Assessment'!$J$17,'PCRI Assessment'!$J$18,'PCRI Assessment'!$J$19),0)</f>
        <v/>
      </c>
      <c r="K12" s="95">
        <f>'PCRI Assessment'!$J$21</f>
        <v/>
      </c>
      <c r="L12" s="95">
        <f>MAX(IF(K12="Builder",E12,IF(K12="Adopter",F12,IF(K12="Optimizer",G12,H12))),IF(AND(I12&lt;&gt;"",J12&lt;I12),1,0))</f>
        <v/>
      </c>
      <c r="M12" s="95">
        <f>IF(L12=0,0,IF(J12&lt;30,1.3,IF(J12&lt;50,1.15,1)))</f>
        <v/>
      </c>
    </row>
    <row r="13">
      <c r="A13" s="95" t="inlineStr">
        <is>
          <t>Scaled Rollout and Adoption</t>
        </is>
      </c>
      <c r="B13" s="95" t="inlineStr">
        <is>
          <t>FDE led Implementation + Architecture + Governance</t>
        </is>
      </c>
      <c r="C13" s="95">
        <f>A13&amp;"|"&amp;B13</f>
        <v/>
      </c>
      <c r="D13" s="95" t="inlineStr">
        <is>
          <t>Governance</t>
        </is>
      </c>
      <c r="E13" s="95" t="n">
        <v>1</v>
      </c>
      <c r="F13" s="95" t="n">
        <v>1</v>
      </c>
      <c r="G13" s="95" t="n">
        <v>1</v>
      </c>
      <c r="H13" s="95" t="n">
        <v>1</v>
      </c>
      <c r="I13" s="95" t="inlineStr"/>
      <c r="J13" s="95">
        <f>IFERROR(CHOOSE(MATCH(D13,{"Foundation","AI Readiness","Governance","Delivery","Culture"},0),'PCRI Assessment'!$J$15,'PCRI Assessment'!$J$16,'PCRI Assessment'!$J$17,'PCRI Assessment'!$J$18,'PCRI Assessment'!$J$19),0)</f>
        <v/>
      </c>
      <c r="K13" s="95">
        <f>'PCRI Assessment'!$J$21</f>
        <v/>
      </c>
      <c r="L13" s="95">
        <f>MAX(IF(K13="Builder",E13,IF(K13="Adopter",F13,IF(K13="Optimizer",G13,H13))),IF(AND(I13&lt;&gt;"",J13&lt;I13),1,0))</f>
        <v/>
      </c>
      <c r="M13" s="95">
        <f>IF(L13=0,0,IF(J13&lt;30,1.3,IF(J13&lt;50,1.15,1)))</f>
        <v/>
      </c>
    </row>
    <row r="14">
      <c r="A14" s="95" t="inlineStr">
        <is>
          <t>Scaled Rollout and Adoption</t>
        </is>
      </c>
      <c r="B14" s="95" t="inlineStr">
        <is>
          <t>Stakeholder Interviews/Workshops</t>
        </is>
      </c>
      <c r="C14" s="95">
        <f>A14&amp;"|"&amp;B14</f>
        <v/>
      </c>
      <c r="D14" s="95" t="inlineStr">
        <is>
          <t>Delivery</t>
        </is>
      </c>
      <c r="E14" s="95" t="n">
        <v>1</v>
      </c>
      <c r="F14" s="95" t="n">
        <v>1</v>
      </c>
      <c r="G14" s="95" t="n">
        <v>1</v>
      </c>
      <c r="H14" s="95" t="n">
        <v>1</v>
      </c>
      <c r="I14" s="95" t="inlineStr"/>
      <c r="J14" s="95">
        <f>IFERROR(CHOOSE(MATCH(D14,{"Foundation","AI Readiness","Governance","Delivery","Culture"},0),'PCRI Assessment'!$J$15,'PCRI Assessment'!$J$16,'PCRI Assessment'!$J$17,'PCRI Assessment'!$J$18,'PCRI Assessment'!$J$19),0)</f>
        <v/>
      </c>
      <c r="K14" s="95">
        <f>'PCRI Assessment'!$J$21</f>
        <v/>
      </c>
      <c r="L14" s="95">
        <f>MAX(IF(K14="Builder",E14,IF(K14="Adopter",F14,IF(K14="Optimizer",G14,H14))),IF(AND(I14&lt;&gt;"",J14&lt;I14),1,0))</f>
        <v/>
      </c>
      <c r="M14" s="95">
        <f>IF(L14=0,0,IF(J14&lt;30,1.3,IF(J14&lt;50,1.15,1)))</f>
        <v/>
      </c>
    </row>
    <row r="15">
      <c r="A15" s="95" t="inlineStr">
        <is>
          <t>Scaled Rollout and Adoption</t>
        </is>
      </c>
      <c r="B15" s="95" t="inlineStr">
        <is>
          <t>Pilot Enablement &amp; Feedback Loop</t>
        </is>
      </c>
      <c r="C15" s="95">
        <f>A15&amp;"|"&amp;B15</f>
        <v/>
      </c>
      <c r="D15" s="95" t="inlineStr">
        <is>
          <t>Culture</t>
        </is>
      </c>
      <c r="E15" s="95" t="n">
        <v>1</v>
      </c>
      <c r="F15" s="95" t="n">
        <v>1</v>
      </c>
      <c r="G15" s="95" t="n">
        <v>1</v>
      </c>
      <c r="H15" s="95" t="n">
        <v>1</v>
      </c>
      <c r="I15" s="95" t="inlineStr"/>
      <c r="J15" s="95">
        <f>IFERROR(CHOOSE(MATCH(D15,{"Foundation","AI Readiness","Governance","Delivery","Culture"},0),'PCRI Assessment'!$J$15,'PCRI Assessment'!$J$16,'PCRI Assessment'!$J$17,'PCRI Assessment'!$J$18,'PCRI Assessment'!$J$19),0)</f>
        <v/>
      </c>
      <c r="K15" s="95">
        <f>'PCRI Assessment'!$J$21</f>
        <v/>
      </c>
      <c r="L15" s="95">
        <f>MAX(IF(K15="Builder",E15,IF(K15="Adopter",F15,IF(K15="Optimizer",G15,H15))),IF(AND(I15&lt;&gt;"",J15&lt;I15),1,0))</f>
        <v/>
      </c>
      <c r="M15" s="95">
        <f>IF(L15=0,0,IF(J15&lt;30,1.3,IF(J15&lt;50,1.15,1)))</f>
        <v/>
      </c>
    </row>
    <row r="16">
      <c r="A16" s="95" t="inlineStr">
        <is>
          <t>Scaled Rollout and Adoption</t>
        </is>
      </c>
      <c r="B16" s="95" t="inlineStr">
        <is>
          <t>Role-Based Training Enablement</t>
        </is>
      </c>
      <c r="C16" s="95">
        <f>A16&amp;"|"&amp;B16</f>
        <v/>
      </c>
      <c r="D16" s="95" t="inlineStr">
        <is>
          <t>Culture</t>
        </is>
      </c>
      <c r="E16" s="95" t="n">
        <v>1</v>
      </c>
      <c r="F16" s="95" t="n">
        <v>1</v>
      </c>
      <c r="G16" s="95" t="n">
        <v>1</v>
      </c>
      <c r="H16" s="95" t="n">
        <v>1</v>
      </c>
      <c r="I16" s="95" t="inlineStr"/>
      <c r="J16" s="95">
        <f>IFERROR(CHOOSE(MATCH(D16,{"Foundation","AI Readiness","Governance","Delivery","Culture"},0),'PCRI Assessment'!$J$15,'PCRI Assessment'!$J$16,'PCRI Assessment'!$J$17,'PCRI Assessment'!$J$18,'PCRI Assessment'!$J$19),0)</f>
        <v/>
      </c>
      <c r="K16" s="95">
        <f>'PCRI Assessment'!$J$21</f>
        <v/>
      </c>
      <c r="L16" s="95">
        <f>MAX(IF(K16="Builder",E16,IF(K16="Adopter",F16,IF(K16="Optimizer",G16,H16))),IF(AND(I16&lt;&gt;"",J16&lt;I16),1,0))</f>
        <v/>
      </c>
      <c r="M16" s="95">
        <f>IF(L16=0,0,IF(J16&lt;30,1.3,IF(J16&lt;50,1.15,1)))</f>
        <v/>
      </c>
    </row>
    <row r="17">
      <c r="A17" s="95" t="inlineStr">
        <is>
          <t>Scaled Rollout and Adoption</t>
        </is>
      </c>
      <c r="B17" s="95" t="inlineStr">
        <is>
          <t>SME support for Deployment/DevOps</t>
        </is>
      </c>
      <c r="C17" s="95">
        <f>A17&amp;"|"&amp;B17</f>
        <v/>
      </c>
      <c r="D17" s="95" t="inlineStr">
        <is>
          <t>Delivery</t>
        </is>
      </c>
      <c r="E17" s="95" t="n">
        <v>1</v>
      </c>
      <c r="F17" s="95" t="n">
        <v>1</v>
      </c>
      <c r="G17" s="95" t="n">
        <v>1</v>
      </c>
      <c r="H17" s="95" t="n">
        <v>1</v>
      </c>
      <c r="I17" s="95" t="inlineStr"/>
      <c r="J17" s="95">
        <f>IFERROR(CHOOSE(MATCH(D17,{"Foundation","AI Readiness","Governance","Delivery","Culture"},0),'PCRI Assessment'!$J$15,'PCRI Assessment'!$J$16,'PCRI Assessment'!$J$17,'PCRI Assessment'!$J$18,'PCRI Assessment'!$J$19),0)</f>
        <v/>
      </c>
      <c r="K17" s="95">
        <f>'PCRI Assessment'!$J$21</f>
        <v/>
      </c>
      <c r="L17" s="95">
        <f>MAX(IF(K17="Builder",E17,IF(K17="Adopter",F17,IF(K17="Optimizer",G17,H17))),IF(AND(I17&lt;&gt;"",J17&lt;I17),1,0))</f>
        <v/>
      </c>
      <c r="M17" s="95">
        <f>IF(L17=0,0,IF(J17&lt;30,1.3,IF(J17&lt;50,1.15,1)))</f>
        <v/>
      </c>
    </row>
    <row r="18">
      <c r="A18" s="95" t="inlineStr">
        <is>
          <t>Scaled Rollout and Adoption</t>
        </is>
      </c>
      <c r="B18" s="95" t="inlineStr">
        <is>
          <t>Cloud authoring setup and testing</t>
        </is>
      </c>
      <c r="C18" s="95">
        <f>A18&amp;"|"&amp;B18</f>
        <v/>
      </c>
      <c r="D18" s="95" t="inlineStr">
        <is>
          <t>Delivery</t>
        </is>
      </c>
      <c r="E18" s="95" t="n">
        <v>1</v>
      </c>
      <c r="F18" s="95" t="n">
        <v>1</v>
      </c>
      <c r="G18" s="95" t="n">
        <v>1</v>
      </c>
      <c r="H18" s="95" t="n">
        <v>1</v>
      </c>
      <c r="I18" s="95" t="inlineStr"/>
      <c r="J18" s="95">
        <f>IFERROR(CHOOSE(MATCH(D18,{"Foundation","AI Readiness","Governance","Delivery","Culture"},0),'PCRI Assessment'!$J$15,'PCRI Assessment'!$J$16,'PCRI Assessment'!$J$17,'PCRI Assessment'!$J$18,'PCRI Assessment'!$J$19),0)</f>
        <v/>
      </c>
      <c r="K18" s="95">
        <f>'PCRI Assessment'!$J$21</f>
        <v/>
      </c>
      <c r="L18" s="95">
        <f>MAX(IF(K18="Builder",E18,IF(K18="Adopter",F18,IF(K18="Optimizer",G18,H18))),IF(AND(I18&lt;&gt;"",J18&lt;I18),1,0))</f>
        <v/>
      </c>
      <c r="M18" s="95">
        <f>IF(L18=0,0,IF(J18&lt;30,1.3,IF(J18&lt;50,1.15,1)))</f>
        <v/>
      </c>
    </row>
    <row r="19">
      <c r="A19" s="95" t="inlineStr">
        <is>
          <t>Scaled Rollout and Adoption</t>
        </is>
      </c>
      <c r="B19" s="95" t="inlineStr">
        <is>
          <t>SSO setup and testing</t>
        </is>
      </c>
      <c r="C19" s="95">
        <f>A19&amp;"|"&amp;B19</f>
        <v/>
      </c>
      <c r="D19" s="95" t="inlineStr">
        <is>
          <t>Delivery</t>
        </is>
      </c>
      <c r="E19" s="95" t="n">
        <v>1</v>
      </c>
      <c r="F19" s="95" t="n">
        <v>1</v>
      </c>
      <c r="G19" s="95" t="n">
        <v>1</v>
      </c>
      <c r="H19" s="95" t="n">
        <v>1</v>
      </c>
      <c r="I19" s="95" t="inlineStr"/>
      <c r="J19" s="95">
        <f>IFERROR(CHOOSE(MATCH(D19,{"Foundation","AI Readiness","Governance","Delivery","Culture"},0),'PCRI Assessment'!$J$15,'PCRI Assessment'!$J$16,'PCRI Assessment'!$J$17,'PCRI Assessment'!$J$18,'PCRI Assessment'!$J$19),0)</f>
        <v/>
      </c>
      <c r="K19" s="95">
        <f>'PCRI Assessment'!$J$21</f>
        <v/>
      </c>
      <c r="L19" s="95">
        <f>MAX(IF(K19="Builder",E19,IF(K19="Adopter",F19,IF(K19="Optimizer",G19,H19))),IF(AND(I19&lt;&gt;"",J19&lt;I19),1,0))</f>
        <v/>
      </c>
      <c r="M19" s="95">
        <f>IF(L19=0,0,IF(J19&lt;30,1.3,IF(J19&lt;50,1.15,1)))</f>
        <v/>
      </c>
    </row>
    <row r="20">
      <c r="A20" s="95" t="inlineStr">
        <is>
          <t>Scaled Rollout and Adoption</t>
        </is>
      </c>
      <c r="B20" s="95" t="inlineStr">
        <is>
          <t>Training - Eng / UX / Partners</t>
        </is>
      </c>
      <c r="C20" s="95">
        <f>A20&amp;"|"&amp;B20</f>
        <v/>
      </c>
      <c r="D20" s="95" t="inlineStr">
        <is>
          <t>Culture</t>
        </is>
      </c>
      <c r="E20" s="95" t="n">
        <v>1</v>
      </c>
      <c r="F20" s="95" t="n">
        <v>1</v>
      </c>
      <c r="G20" s="95" t="n">
        <v>1</v>
      </c>
      <c r="H20" s="95" t="n">
        <v>1</v>
      </c>
      <c r="I20" s="95" t="inlineStr"/>
      <c r="J20" s="95">
        <f>IFERROR(CHOOSE(MATCH(D20,{"Foundation","AI Readiness","Governance","Delivery","Culture"},0),'PCRI Assessment'!$J$15,'PCRI Assessment'!$J$16,'PCRI Assessment'!$J$17,'PCRI Assessment'!$J$18,'PCRI Assessment'!$J$19),0)</f>
        <v/>
      </c>
      <c r="K20" s="95">
        <f>'PCRI Assessment'!$J$21</f>
        <v/>
      </c>
      <c r="L20" s="95">
        <f>MAX(IF(K20="Builder",E20,IF(K20="Adopter",F20,IF(K20="Optimizer",G20,H20))),IF(AND(I20&lt;&gt;"",J20&lt;I20),1,0))</f>
        <v/>
      </c>
      <c r="M20" s="95">
        <f>IF(L20=0,0,IF(J20&lt;30,1.3,IF(J20&lt;50,1.15,1)))</f>
        <v/>
      </c>
    </row>
    <row r="21">
      <c r="A21" s="95" t="inlineStr">
        <is>
          <t>Scaled Rollout and Adoption</t>
        </is>
      </c>
      <c r="B21" s="95" t="inlineStr">
        <is>
          <t>Workflow Diagrams</t>
        </is>
      </c>
      <c r="C21" s="95">
        <f>A21&amp;"|"&amp;B21</f>
        <v/>
      </c>
      <c r="D21" s="95" t="inlineStr">
        <is>
          <t>Delivery</t>
        </is>
      </c>
      <c r="E21" s="95" t="n">
        <v>1</v>
      </c>
      <c r="F21" s="95" t="n">
        <v>1</v>
      </c>
      <c r="G21" s="95" t="n">
        <v>1</v>
      </c>
      <c r="H21" s="95" t="n">
        <v>1</v>
      </c>
      <c r="I21" s="95" t="inlineStr"/>
      <c r="J21" s="95">
        <f>IFERROR(CHOOSE(MATCH(D21,{"Foundation","AI Readiness","Governance","Delivery","Culture"},0),'PCRI Assessment'!$J$15,'PCRI Assessment'!$J$16,'PCRI Assessment'!$J$17,'PCRI Assessment'!$J$18,'PCRI Assessment'!$J$19),0)</f>
        <v/>
      </c>
      <c r="K21" s="95">
        <f>'PCRI Assessment'!$J$21</f>
        <v/>
      </c>
      <c r="L21" s="95">
        <f>MAX(IF(K21="Builder",E21,IF(K21="Adopter",F21,IF(K21="Optimizer",G21,H21))),IF(AND(I21&lt;&gt;"",J21&lt;I21),1,0))</f>
        <v/>
      </c>
      <c r="M21" s="95">
        <f>IF(L21=0,0,IF(J21&lt;30,1.3,IF(J21&lt;50,1.15,1)))</f>
        <v/>
      </c>
    </row>
    <row r="22">
      <c r="A22" s="95" t="inlineStr">
        <is>
          <t>Scaled Rollout and Adoption</t>
        </is>
      </c>
      <c r="B22" s="95" t="inlineStr">
        <is>
          <t>Content planning and integration</t>
        </is>
      </c>
      <c r="C22" s="95">
        <f>A22&amp;"|"&amp;B22</f>
        <v/>
      </c>
      <c r="D22" s="95" t="inlineStr">
        <is>
          <t>Foundation</t>
        </is>
      </c>
      <c r="E22" s="95" t="n">
        <v>1</v>
      </c>
      <c r="F22" s="95" t="n">
        <v>1</v>
      </c>
      <c r="G22" s="95" t="n">
        <v>1</v>
      </c>
      <c r="H22" s="95" t="n">
        <v>1</v>
      </c>
      <c r="I22" s="95" t="inlineStr"/>
      <c r="J22" s="95">
        <f>IFERROR(CHOOSE(MATCH(D22,{"Foundation","AI Readiness","Governance","Delivery","Culture"},0),'PCRI Assessment'!$J$15,'PCRI Assessment'!$J$16,'PCRI Assessment'!$J$17,'PCRI Assessment'!$J$18,'PCRI Assessment'!$J$19),0)</f>
        <v/>
      </c>
      <c r="K22" s="95">
        <f>'PCRI Assessment'!$J$21</f>
        <v/>
      </c>
      <c r="L22" s="95">
        <f>MAX(IF(K22="Builder",E22,IF(K22="Adopter",F22,IF(K22="Optimizer",G22,H22))),IF(AND(I22&lt;&gt;"",J22&lt;I22),1,0))</f>
        <v/>
      </c>
      <c r="M22" s="95">
        <f>IF(L22=0,0,IF(J22&lt;30,1.3,IF(J22&lt;50,1.15,1)))</f>
        <v/>
      </c>
    </row>
    <row r="23">
      <c r="A23" s="95" t="inlineStr">
        <is>
          <t>Scaled Rollout and Adoption</t>
        </is>
      </c>
      <c r="B23" s="95" t="inlineStr">
        <is>
          <t>Advanced Training - Partners + Contribution</t>
        </is>
      </c>
      <c r="C23" s="95">
        <f>A23&amp;"|"&amp;B23</f>
        <v/>
      </c>
      <c r="D23" s="95" t="inlineStr">
        <is>
          <t>Culture</t>
        </is>
      </c>
      <c r="E23" s="95" t="n">
        <v>1</v>
      </c>
      <c r="F23" s="95" t="n">
        <v>1</v>
      </c>
      <c r="G23" s="95" t="n">
        <v>1</v>
      </c>
      <c r="H23" s="95" t="n">
        <v>1</v>
      </c>
      <c r="I23" s="95" t="inlineStr"/>
      <c r="J23" s="95">
        <f>IFERROR(CHOOSE(MATCH(D23,{"Foundation","AI Readiness","Governance","Delivery","Culture"},0),'PCRI Assessment'!$J$15,'PCRI Assessment'!$J$16,'PCRI Assessment'!$J$17,'PCRI Assessment'!$J$18,'PCRI Assessment'!$J$19),0)</f>
        <v/>
      </c>
      <c r="K23" s="95">
        <f>'PCRI Assessment'!$J$21</f>
        <v/>
      </c>
      <c r="L23" s="95">
        <f>MAX(IF(K23="Builder",E23,IF(K23="Adopter",F23,IF(K23="Optimizer",G23,H23))),IF(AND(I23&lt;&gt;"",J23&lt;I23),1,0))</f>
        <v/>
      </c>
      <c r="M23" s="95">
        <f>IF(L23=0,0,IF(J23&lt;30,1.3,IF(J23&lt;50,1.15,1)))</f>
        <v/>
      </c>
    </row>
    <row r="24">
      <c r="A24" s="95" t="inlineStr">
        <is>
          <t>Scaled Rollout and Adoption</t>
        </is>
      </c>
      <c r="B24" s="95" t="inlineStr">
        <is>
          <t>Phase Gate Strategic Recommendations + Documentation</t>
        </is>
      </c>
      <c r="C24" s="95">
        <f>A24&amp;"|"&amp;B24</f>
        <v/>
      </c>
      <c r="D24" s="95" t="inlineStr">
        <is>
          <t>Foundation</t>
        </is>
      </c>
      <c r="E24" s="95" t="n">
        <v>1</v>
      </c>
      <c r="F24" s="95" t="n">
        <v>1</v>
      </c>
      <c r="G24" s="95" t="n">
        <v>1</v>
      </c>
      <c r="H24" s="95" t="n">
        <v>1</v>
      </c>
      <c r="I24" s="95" t="inlineStr"/>
      <c r="J24" s="95">
        <f>IFERROR(CHOOSE(MATCH(D24,{"Foundation","AI Readiness","Governance","Delivery","Culture"},0),'PCRI Assessment'!$J$15,'PCRI Assessment'!$J$16,'PCRI Assessment'!$J$17,'PCRI Assessment'!$J$18,'PCRI Assessment'!$J$19),0)</f>
        <v/>
      </c>
      <c r="K24" s="95">
        <f>'PCRI Assessment'!$J$21</f>
        <v/>
      </c>
      <c r="L24" s="95">
        <f>MAX(IF(K24="Builder",E24,IF(K24="Adopter",F24,IF(K24="Optimizer",G24,H24))),IF(AND(I24&lt;&gt;"",J24&lt;I24),1,0))</f>
        <v/>
      </c>
      <c r="M24" s="95">
        <f>IF(L24=0,0,IF(J24&lt;30,1.3,IF(J24&lt;50,1.15,1)))</f>
        <v/>
      </c>
    </row>
    <row r="25">
      <c r="A25" s="95" t="inlineStr">
        <is>
          <t>Scaled Rollout and Adoption</t>
        </is>
      </c>
      <c r="B25" s="95" t="inlineStr">
        <is>
          <t>Pre-Cutover Readiness Review</t>
        </is>
      </c>
      <c r="C25" s="95">
        <f>A25&amp;"|"&amp;B25</f>
        <v/>
      </c>
      <c r="D25" s="95" t="inlineStr">
        <is>
          <t>Delivery</t>
        </is>
      </c>
      <c r="E25" s="95" t="n">
        <v>1</v>
      </c>
      <c r="F25" s="95" t="n">
        <v>1</v>
      </c>
      <c r="G25" s="95" t="n">
        <v>1</v>
      </c>
      <c r="H25" s="95" t="n">
        <v>1</v>
      </c>
      <c r="I25" s="95" t="inlineStr"/>
      <c r="J25" s="95">
        <f>IFERROR(CHOOSE(MATCH(D25,{"Foundation","AI Readiness","Governance","Delivery","Culture"},0),'PCRI Assessment'!$J$15,'PCRI Assessment'!$J$16,'PCRI Assessment'!$J$17,'PCRI Assessment'!$J$18,'PCRI Assessment'!$J$19),0)</f>
        <v/>
      </c>
      <c r="K25" s="95">
        <f>'PCRI Assessment'!$J$21</f>
        <v/>
      </c>
      <c r="L25" s="95">
        <f>MAX(IF(K25="Builder",E25,IF(K25="Adopter",F25,IF(K25="Optimizer",G25,H25))),IF(AND(I25&lt;&gt;"",J25&lt;I25),1,0))</f>
        <v/>
      </c>
      <c r="M25" s="95">
        <f>IF(L25=0,0,IF(J25&lt;30,1.3,IF(J25&lt;50,1.15,1)))</f>
        <v/>
      </c>
    </row>
    <row r="26">
      <c r="A26" s="95" t="inlineStr">
        <is>
          <t>Scaled Rollout and Adoption</t>
        </is>
      </c>
      <c r="B26" s="95" t="inlineStr">
        <is>
          <t>Data &amp; Configuration Freeze</t>
        </is>
      </c>
      <c r="C26" s="95">
        <f>A26&amp;"|"&amp;B26</f>
        <v/>
      </c>
      <c r="D26" s="95" t="inlineStr">
        <is>
          <t>Delivery</t>
        </is>
      </c>
      <c r="E26" s="95" t="n">
        <v>1</v>
      </c>
      <c r="F26" s="95" t="n">
        <v>1</v>
      </c>
      <c r="G26" s="95" t="n">
        <v>1</v>
      </c>
      <c r="H26" s="95" t="n">
        <v>1</v>
      </c>
      <c r="I26" s="95" t="inlineStr"/>
      <c r="J26" s="95">
        <f>IFERROR(CHOOSE(MATCH(D26,{"Foundation","AI Readiness","Governance","Delivery","Culture"},0),'PCRI Assessment'!$J$15,'PCRI Assessment'!$J$16,'PCRI Assessment'!$J$17,'PCRI Assessment'!$J$18,'PCRI Assessment'!$J$19),0)</f>
        <v/>
      </c>
      <c r="K26" s="95">
        <f>'PCRI Assessment'!$J$21</f>
        <v/>
      </c>
      <c r="L26" s="95">
        <f>MAX(IF(K26="Builder",E26,IF(K26="Adopter",F26,IF(K26="Optimizer",G26,H26))),IF(AND(I26&lt;&gt;"",J26&lt;I26),1,0))</f>
        <v/>
      </c>
      <c r="M26" s="95">
        <f>IF(L26=0,0,IF(J26&lt;30,1.3,IF(J26&lt;50,1.15,1)))</f>
        <v/>
      </c>
    </row>
    <row r="27">
      <c r="A27" s="95" t="inlineStr">
        <is>
          <t>Scaled Rollout and Adoption</t>
        </is>
      </c>
      <c r="B27" s="95" t="inlineStr">
        <is>
          <t>Final UAT &amp; Stakeholder Acceptance</t>
        </is>
      </c>
      <c r="C27" s="95">
        <f>A27&amp;"|"&amp;B27</f>
        <v/>
      </c>
      <c r="D27" s="95" t="inlineStr">
        <is>
          <t>Delivery</t>
        </is>
      </c>
      <c r="E27" s="95" t="n">
        <v>1</v>
      </c>
      <c r="F27" s="95" t="n">
        <v>1</v>
      </c>
      <c r="G27" s="95" t="n">
        <v>1</v>
      </c>
      <c r="H27" s="95" t="n">
        <v>1</v>
      </c>
      <c r="I27" s="95" t="inlineStr"/>
      <c r="J27" s="95">
        <f>IFERROR(CHOOSE(MATCH(D27,{"Foundation","AI Readiness","Governance","Delivery","Culture"},0),'PCRI Assessment'!$J$15,'PCRI Assessment'!$J$16,'PCRI Assessment'!$J$17,'PCRI Assessment'!$J$18,'PCRI Assessment'!$J$19),0)</f>
        <v/>
      </c>
      <c r="K27" s="95">
        <f>'PCRI Assessment'!$J$21</f>
        <v/>
      </c>
      <c r="L27" s="95">
        <f>MAX(IF(K27="Builder",E27,IF(K27="Adopter",F27,IF(K27="Optimizer",G27,H27))),IF(AND(I27&lt;&gt;"",J27&lt;I27),1,0))</f>
        <v/>
      </c>
      <c r="M27" s="95">
        <f>IF(L27=0,0,IF(J27&lt;30,1.3,IF(J27&lt;50,1.15,1)))</f>
        <v/>
      </c>
    </row>
    <row r="28">
      <c r="A28" s="95" t="inlineStr">
        <is>
          <t>Scaled Rollout and Adoption</t>
        </is>
      </c>
      <c r="B28" s="95" t="inlineStr">
        <is>
          <t>Change Impact Analysis</t>
        </is>
      </c>
      <c r="C28" s="95">
        <f>A28&amp;"|"&amp;B28</f>
        <v/>
      </c>
      <c r="D28" s="95" t="inlineStr">
        <is>
          <t>Culture</t>
        </is>
      </c>
      <c r="E28" s="95" t="n">
        <v>1</v>
      </c>
      <c r="F28" s="95" t="n">
        <v>1</v>
      </c>
      <c r="G28" s="95" t="n">
        <v>1</v>
      </c>
      <c r="H28" s="95" t="n">
        <v>1</v>
      </c>
      <c r="I28" s="95" t="inlineStr"/>
      <c r="J28" s="95">
        <f>IFERROR(CHOOSE(MATCH(D28,{"Foundation","AI Readiness","Governance","Delivery","Culture"},0),'PCRI Assessment'!$J$15,'PCRI Assessment'!$J$16,'PCRI Assessment'!$J$17,'PCRI Assessment'!$J$18,'PCRI Assessment'!$J$19),0)</f>
        <v/>
      </c>
      <c r="K28" s="95">
        <f>'PCRI Assessment'!$J$21</f>
        <v/>
      </c>
      <c r="L28" s="95">
        <f>MAX(IF(K28="Builder",E28,IF(K28="Adopter",F28,IF(K28="Optimizer",G28,H28))),IF(AND(I28&lt;&gt;"",J28&lt;I28),1,0))</f>
        <v/>
      </c>
      <c r="M28" s="95">
        <f>IF(L28=0,0,IF(J28&lt;30,1.3,IF(J28&lt;50,1.15,1)))</f>
        <v/>
      </c>
    </row>
    <row r="29">
      <c r="A29" s="95" t="inlineStr">
        <is>
          <t>Scaled Rollout and Adoption</t>
        </is>
      </c>
      <c r="B29" s="95" t="inlineStr">
        <is>
          <t>Adoption Acceleration Campaign</t>
        </is>
      </c>
      <c r="C29" s="95">
        <f>A29&amp;"|"&amp;B29</f>
        <v/>
      </c>
      <c r="D29" s="95" t="inlineStr">
        <is>
          <t>Delivery</t>
        </is>
      </c>
      <c r="E29" s="95" t="n">
        <v>1</v>
      </c>
      <c r="F29" s="95" t="n">
        <v>1</v>
      </c>
      <c r="G29" s="95" t="n">
        <v>1</v>
      </c>
      <c r="H29" s="95" t="n">
        <v>1</v>
      </c>
      <c r="I29" s="95" t="inlineStr"/>
      <c r="J29" s="95">
        <f>IFERROR(CHOOSE(MATCH(D29,{"Foundation","AI Readiness","Governance","Delivery","Culture"},0),'PCRI Assessment'!$J$15,'PCRI Assessment'!$J$16,'PCRI Assessment'!$J$17,'PCRI Assessment'!$J$18,'PCRI Assessment'!$J$19),0)</f>
        <v/>
      </c>
      <c r="K29" s="95">
        <f>'PCRI Assessment'!$J$21</f>
        <v/>
      </c>
      <c r="L29" s="95">
        <f>MAX(IF(K29="Builder",E29,IF(K29="Adopter",F29,IF(K29="Optimizer",G29,H29))),IF(AND(I29&lt;&gt;"",J29&lt;I29),1,0))</f>
        <v/>
      </c>
      <c r="M29" s="95">
        <f>IF(L29=0,0,IF(J29&lt;30,1.3,IF(J29&lt;50,1.15,1)))</f>
        <v/>
      </c>
    </row>
    <row r="30">
      <c r="A30" s="95" t="inlineStr">
        <is>
          <t>Scaled Rollout and Adoption</t>
        </is>
      </c>
      <c r="B30" s="95" t="inlineStr">
        <is>
          <t>Partner Enablement &amp; Recognition</t>
        </is>
      </c>
      <c r="C30" s="95">
        <f>A30&amp;"|"&amp;B30</f>
        <v/>
      </c>
      <c r="D30" s="95" t="inlineStr">
        <is>
          <t>Culture</t>
        </is>
      </c>
      <c r="E30" s="95" t="n">
        <v>1</v>
      </c>
      <c r="F30" s="95" t="n">
        <v>1</v>
      </c>
      <c r="G30" s="95" t="n">
        <v>1</v>
      </c>
      <c r="H30" s="95" t="n">
        <v>1</v>
      </c>
      <c r="I30" s="95" t="inlineStr"/>
      <c r="J30" s="95">
        <f>IFERROR(CHOOSE(MATCH(D30,{"Foundation","AI Readiness","Governance","Delivery","Culture"},0),'PCRI Assessment'!$J$15,'PCRI Assessment'!$J$16,'PCRI Assessment'!$J$17,'PCRI Assessment'!$J$18,'PCRI Assessment'!$J$19),0)</f>
        <v/>
      </c>
      <c r="K30" s="95">
        <f>'PCRI Assessment'!$J$21</f>
        <v/>
      </c>
      <c r="L30" s="95">
        <f>MAX(IF(K30="Builder",E30,IF(K30="Adopter",F30,IF(K30="Optimizer",G30,H30))),IF(AND(I30&lt;&gt;"",J30&lt;I30),1,0))</f>
        <v/>
      </c>
      <c r="M30" s="95">
        <f>IF(L30=0,0,IF(J30&lt;30,1.3,IF(J30&lt;50,1.15,1)))</f>
        <v/>
      </c>
    </row>
    <row r="31">
      <c r="A31" s="95" t="inlineStr">
        <is>
          <t>Optimization and Continued Support</t>
        </is>
      </c>
      <c r="B31" s="95" t="inlineStr">
        <is>
          <t>Transition support</t>
        </is>
      </c>
      <c r="C31" s="95">
        <f>A31&amp;"|"&amp;B31</f>
        <v/>
      </c>
      <c r="D31" s="95" t="inlineStr">
        <is>
          <t>Delivery</t>
        </is>
      </c>
      <c r="E31" s="95" t="n">
        <v>1</v>
      </c>
      <c r="F31" s="95" t="n">
        <v>1</v>
      </c>
      <c r="G31" s="95" t="n">
        <v>1</v>
      </c>
      <c r="H31" s="95" t="n">
        <v>1</v>
      </c>
      <c r="I31" s="95" t="inlineStr"/>
      <c r="J31" s="95">
        <f>IFERROR(CHOOSE(MATCH(D31,{"Foundation","AI Readiness","Governance","Delivery","Culture"},0),'PCRI Assessment'!$J$15,'PCRI Assessment'!$J$16,'PCRI Assessment'!$J$17,'PCRI Assessment'!$J$18,'PCRI Assessment'!$J$19),0)</f>
        <v/>
      </c>
      <c r="K31" s="95">
        <f>'PCRI Assessment'!$J$21</f>
        <v/>
      </c>
      <c r="L31" s="95">
        <f>MAX(IF(K31="Builder",E31,IF(K31="Adopter",F31,IF(K31="Optimizer",G31,H31))),IF(AND(I31&lt;&gt;"",J31&lt;I31),1,0))</f>
        <v/>
      </c>
      <c r="M31" s="95">
        <f>IF(L31=0,0,IF(J31&lt;30,1.3,IF(J31&lt;50,1.15,1)))</f>
        <v/>
      </c>
    </row>
    <row r="32">
      <c r="A32" s="95" t="inlineStr">
        <is>
          <t>Optimization and Continued Support</t>
        </is>
      </c>
      <c r="B32" s="95" t="inlineStr">
        <is>
          <t>Cutover Execution</t>
        </is>
      </c>
      <c r="C32" s="95">
        <f>A32&amp;"|"&amp;B32</f>
        <v/>
      </c>
      <c r="D32" s="95" t="inlineStr">
        <is>
          <t>Delivery</t>
        </is>
      </c>
      <c r="E32" s="95" t="n">
        <v>1</v>
      </c>
      <c r="F32" s="95" t="n">
        <v>1</v>
      </c>
      <c r="G32" s="95" t="n">
        <v>1</v>
      </c>
      <c r="H32" s="95" t="n">
        <v>1</v>
      </c>
      <c r="I32" s="95" t="inlineStr"/>
      <c r="J32" s="95">
        <f>IFERROR(CHOOSE(MATCH(D32,{"Foundation","AI Readiness","Governance","Delivery","Culture"},0),'PCRI Assessment'!$J$15,'PCRI Assessment'!$J$16,'PCRI Assessment'!$J$17,'PCRI Assessment'!$J$18,'PCRI Assessment'!$J$19),0)</f>
        <v/>
      </c>
      <c r="K32" s="95">
        <f>'PCRI Assessment'!$J$21</f>
        <v/>
      </c>
      <c r="L32" s="95">
        <f>MAX(IF(K32="Builder",E32,IF(K32="Adopter",F32,IF(K32="Optimizer",G32,H32))),IF(AND(I32&lt;&gt;"",J32&lt;I32),1,0))</f>
        <v/>
      </c>
      <c r="M32" s="95">
        <f>IF(L32=0,0,IF(J32&lt;30,1.3,IF(J32&lt;50,1.15,1)))</f>
        <v/>
      </c>
    </row>
    <row r="33">
      <c r="A33" s="95" t="inlineStr">
        <is>
          <t>Optimization and Continued Support</t>
        </is>
      </c>
      <c r="B33" s="95" t="inlineStr">
        <is>
          <t>Go-Live Communication Launch</t>
        </is>
      </c>
      <c r="C33" s="95">
        <f>A33&amp;"|"&amp;B33</f>
        <v/>
      </c>
      <c r="D33" s="95" t="inlineStr">
        <is>
          <t>Delivery</t>
        </is>
      </c>
      <c r="E33" s="95" t="n">
        <v>1</v>
      </c>
      <c r="F33" s="95" t="n">
        <v>1</v>
      </c>
      <c r="G33" s="95" t="n">
        <v>1</v>
      </c>
      <c r="H33" s="95" t="n">
        <v>1</v>
      </c>
      <c r="I33" s="95" t="inlineStr"/>
      <c r="J33" s="95">
        <f>IFERROR(CHOOSE(MATCH(D33,{"Foundation","AI Readiness","Governance","Delivery","Culture"},0),'PCRI Assessment'!$J$15,'PCRI Assessment'!$J$16,'PCRI Assessment'!$J$17,'PCRI Assessment'!$J$18,'PCRI Assessment'!$J$19),0)</f>
        <v/>
      </c>
      <c r="K33" s="95">
        <f>'PCRI Assessment'!$J$21</f>
        <v/>
      </c>
      <c r="L33" s="95">
        <f>MAX(IF(K33="Builder",E33,IF(K33="Adopter",F33,IF(K33="Optimizer",G33,H33))),IF(AND(I33&lt;&gt;"",J33&lt;I33),1,0))</f>
        <v/>
      </c>
      <c r="M33" s="95">
        <f>IF(L33=0,0,IF(J33&lt;30,1.3,IF(J33&lt;50,1.15,1)))</f>
        <v/>
      </c>
    </row>
    <row r="34">
      <c r="A34" s="95" t="inlineStr">
        <is>
          <t>Optimization and Continued Support</t>
        </is>
      </c>
      <c r="B34" s="95" t="inlineStr">
        <is>
          <t>Hypercare Phase (Post-Go-Live Support)</t>
        </is>
      </c>
      <c r="C34" s="95">
        <f>A34&amp;"|"&amp;B34</f>
        <v/>
      </c>
      <c r="D34" s="95" t="inlineStr">
        <is>
          <t>Delivery</t>
        </is>
      </c>
      <c r="E34" s="95" t="n">
        <v>1</v>
      </c>
      <c r="F34" s="95" t="n">
        <v>1</v>
      </c>
      <c r="G34" s="95" t="n">
        <v>1</v>
      </c>
      <c r="H34" s="95" t="n">
        <v>1</v>
      </c>
      <c r="I34" s="95" t="inlineStr"/>
      <c r="J34" s="95">
        <f>IFERROR(CHOOSE(MATCH(D34,{"Foundation","AI Readiness","Governance","Delivery","Culture"},0),'PCRI Assessment'!$J$15,'PCRI Assessment'!$J$16,'PCRI Assessment'!$J$17,'PCRI Assessment'!$J$18,'PCRI Assessment'!$J$19),0)</f>
        <v/>
      </c>
      <c r="K34" s="95">
        <f>'PCRI Assessment'!$J$21</f>
        <v/>
      </c>
      <c r="L34" s="95">
        <f>MAX(IF(K34="Builder",E34,IF(K34="Adopter",F34,IF(K34="Optimizer",G34,H34))),IF(AND(I34&lt;&gt;"",J34&lt;I34),1,0))</f>
        <v/>
      </c>
      <c r="M34" s="95">
        <f>IF(L34=0,0,IF(J34&lt;30,1.3,IF(J34&lt;50,1.15,1)))</f>
        <v/>
      </c>
    </row>
    <row r="35">
      <c r="A35" s="95" t="inlineStr">
        <is>
          <t>Optimization and Continued Support</t>
        </is>
      </c>
      <c r="B35" s="95" t="inlineStr">
        <is>
          <t>Post-Implementation Review</t>
        </is>
      </c>
      <c r="C35" s="95">
        <f>A35&amp;"|"&amp;B35</f>
        <v/>
      </c>
      <c r="D35" s="95" t="inlineStr">
        <is>
          <t>Delivery</t>
        </is>
      </c>
      <c r="E35" s="95" t="n">
        <v>1</v>
      </c>
      <c r="F35" s="95" t="n">
        <v>1</v>
      </c>
      <c r="G35" s="95" t="n">
        <v>1</v>
      </c>
      <c r="H35" s="95" t="n">
        <v>1</v>
      </c>
      <c r="I35" s="95" t="inlineStr"/>
      <c r="J35" s="95">
        <f>IFERROR(CHOOSE(MATCH(D35,{"Foundation","AI Readiness","Governance","Delivery","Culture"},0),'PCRI Assessment'!$J$15,'PCRI Assessment'!$J$16,'PCRI Assessment'!$J$17,'PCRI Assessment'!$J$18,'PCRI Assessment'!$J$19),0)</f>
        <v/>
      </c>
      <c r="K35" s="95">
        <f>'PCRI Assessment'!$J$21</f>
        <v/>
      </c>
      <c r="L35" s="95">
        <f>MAX(IF(K35="Builder",E35,IF(K35="Adopter",F35,IF(K35="Optimizer",G35,H35))),IF(AND(I35&lt;&gt;"",J35&lt;I35),1,0))</f>
        <v/>
      </c>
      <c r="M35" s="95">
        <f>IF(L35=0,0,IF(J35&lt;30,1.3,IF(J35&lt;50,1.15,1)))</f>
        <v/>
      </c>
    </row>
    <row r="36">
      <c r="A36" s="95" t="inlineStr">
        <is>
          <t>Optimization and Continued Support</t>
        </is>
      </c>
      <c r="B36" s="95" t="inlineStr">
        <is>
          <t>Transition to Steady-State Operations</t>
        </is>
      </c>
      <c r="C36" s="95">
        <f>A36&amp;"|"&amp;B36</f>
        <v/>
      </c>
      <c r="D36" s="95" t="inlineStr">
        <is>
          <t>Delivery</t>
        </is>
      </c>
      <c r="E36" s="95" t="n">
        <v>1</v>
      </c>
      <c r="F36" s="95" t="n">
        <v>1</v>
      </c>
      <c r="G36" s="95" t="n">
        <v>1</v>
      </c>
      <c r="H36" s="95" t="n">
        <v>1</v>
      </c>
      <c r="I36" s="95" t="inlineStr"/>
      <c r="J36" s="95">
        <f>IFERROR(CHOOSE(MATCH(D36,{"Foundation","AI Readiness","Governance","Delivery","Culture"},0),'PCRI Assessment'!$J$15,'PCRI Assessment'!$J$16,'PCRI Assessment'!$J$17,'PCRI Assessment'!$J$18,'PCRI Assessment'!$J$19),0)</f>
        <v/>
      </c>
      <c r="K36" s="95">
        <f>'PCRI Assessment'!$J$21</f>
        <v/>
      </c>
      <c r="L36" s="95">
        <f>MAX(IF(K36="Builder",E36,IF(K36="Adopter",F36,IF(K36="Optimizer",G36,H36))),IF(AND(I36&lt;&gt;"",J36&lt;I36),1,0))</f>
        <v/>
      </c>
      <c r="M36" s="95">
        <f>IF(L36=0,0,IF(J36&lt;30,1.3,IF(J36&lt;50,1.15,1)))</f>
        <v/>
      </c>
    </row>
    <row r="37">
      <c r="A37" s="95" t="inlineStr">
        <is>
          <t>Optimization and Continued Support</t>
        </is>
      </c>
      <c r="B37" s="95" t="inlineStr">
        <is>
          <t>Continuous Improvement Framework</t>
        </is>
      </c>
      <c r="C37" s="95">
        <f>A37&amp;"|"&amp;B37</f>
        <v/>
      </c>
      <c r="D37" s="95" t="inlineStr">
        <is>
          <t>Delivery</t>
        </is>
      </c>
      <c r="E37" s="95" t="n">
        <v>1</v>
      </c>
      <c r="F37" s="95" t="n">
        <v>1</v>
      </c>
      <c r="G37" s="95" t="n">
        <v>1</v>
      </c>
      <c r="H37" s="95" t="n">
        <v>1</v>
      </c>
      <c r="I37" s="95" t="inlineStr"/>
      <c r="J37" s="95">
        <f>IFERROR(CHOOSE(MATCH(D37,{"Foundation","AI Readiness","Governance","Delivery","Culture"},0),'PCRI Assessment'!$J$15,'PCRI Assessment'!$J$16,'PCRI Assessment'!$J$17,'PCRI Assessment'!$J$18,'PCRI Assessment'!$J$19),0)</f>
        <v/>
      </c>
      <c r="K37" s="95">
        <f>'PCRI Assessment'!$J$21</f>
        <v/>
      </c>
      <c r="L37" s="95">
        <f>MAX(IF(K37="Builder",E37,IF(K37="Adopter",F37,IF(K37="Optimizer",G37,H37))),IF(AND(I37&lt;&gt;"",J37&lt;I37),1,0))</f>
        <v/>
      </c>
      <c r="M37" s="95">
        <f>IF(L37=0,0,IF(J37&lt;30,1.3,IF(J37&lt;50,1.15,1)))</f>
        <v/>
      </c>
    </row>
    <row r="38">
      <c r="A38" s="95" t="inlineStr">
        <is>
          <t>Optimization and Continued Support</t>
        </is>
      </c>
      <c r="B38" s="95" t="inlineStr">
        <is>
          <t>Strategic Partnership Review</t>
        </is>
      </c>
      <c r="C38" s="95">
        <f>A38&amp;"|"&amp;B38</f>
        <v/>
      </c>
      <c r="D38" s="95" t="inlineStr">
        <is>
          <t>Delivery</t>
        </is>
      </c>
      <c r="E38" s="95" t="n">
        <v>1</v>
      </c>
      <c r="F38" s="95" t="n">
        <v>1</v>
      </c>
      <c r="G38" s="95" t="n">
        <v>1</v>
      </c>
      <c r="H38" s="95" t="n">
        <v>1</v>
      </c>
      <c r="I38" s="95" t="inlineStr"/>
      <c r="J38" s="95">
        <f>IFERROR(CHOOSE(MATCH(D38,{"Foundation","AI Readiness","Governance","Delivery","Culture"},0),'PCRI Assessment'!$J$15,'PCRI Assessment'!$J$16,'PCRI Assessment'!$J$17,'PCRI Assessment'!$J$18,'PCRI Assessment'!$J$19),0)</f>
        <v/>
      </c>
      <c r="K38" s="95">
        <f>'PCRI Assessment'!$J$21</f>
        <v/>
      </c>
      <c r="L38" s="95">
        <f>MAX(IF(K38="Builder",E38,IF(K38="Adopter",F38,IF(K38="Optimizer",G38,H38))),IF(AND(I38&lt;&gt;"",J38&lt;I38),1,0))</f>
        <v/>
      </c>
      <c r="M38" s="95">
        <f>IF(L38=0,0,IF(J38&lt;30,1.3,IF(J38&lt;50,1.15,1)))</f>
        <v/>
      </c>
    </row>
    <row r="39">
      <c r="A39" s="95" t="inlineStr">
        <is>
          <t>Optimization and Continued Support</t>
        </is>
      </c>
      <c r="B39" s="95" t="inlineStr">
        <is>
          <t>Case Study Development</t>
        </is>
      </c>
      <c r="C39" s="95">
        <f>A39&amp;"|"&amp;B39</f>
        <v/>
      </c>
      <c r="D39" s="95" t="inlineStr">
        <is>
          <t>Delivery</t>
        </is>
      </c>
      <c r="E39" s="95" t="n">
        <v>1</v>
      </c>
      <c r="F39" s="95" t="n">
        <v>1</v>
      </c>
      <c r="G39" s="95" t="n">
        <v>1</v>
      </c>
      <c r="H39" s="95" t="n">
        <v>1</v>
      </c>
      <c r="I39" s="95" t="inlineStr"/>
      <c r="J39" s="95">
        <f>IFERROR(CHOOSE(MATCH(D39,{"Foundation","AI Readiness","Governance","Delivery","Culture"},0),'PCRI Assessment'!$J$15,'PCRI Assessment'!$J$16,'PCRI Assessment'!$J$17,'PCRI Assessment'!$J$18,'PCRI Assessment'!$J$19),0)</f>
        <v/>
      </c>
      <c r="K39" s="95">
        <f>'PCRI Assessment'!$J$21</f>
        <v/>
      </c>
      <c r="L39" s="95">
        <f>MAX(IF(K39="Builder",E39,IF(K39="Adopter",F39,IF(K39="Optimizer",G39,H39))),IF(AND(I39&lt;&gt;"",J39&lt;I39),1,0))</f>
        <v/>
      </c>
      <c r="M39" s="95">
        <f>IF(L39=0,0,IF(J39&lt;30,1.3,IF(J39&lt;50,1.15,1)))</f>
        <v/>
      </c>
    </row>
    <row r="40">
      <c r="A40" s="95" t="inlineStr">
        <is>
          <t>Implementation + Onboarding</t>
        </is>
      </c>
      <c r="B40" s="95" t="inlineStr">
        <is>
          <t>Design System Charter &amp; Reference Architecture</t>
        </is>
      </c>
      <c r="C40" s="95">
        <f>A40&amp;"|"&amp;B40</f>
        <v/>
      </c>
      <c r="D40" s="95" t="inlineStr">
        <is>
          <t>Delivery</t>
        </is>
      </c>
      <c r="E40" s="95" t="n">
        <v>1</v>
      </c>
      <c r="F40" s="95" t="n">
        <v>1</v>
      </c>
      <c r="G40" s="95" t="n">
        <v>1</v>
      </c>
      <c r="H40" s="95" t="n">
        <v>1</v>
      </c>
      <c r="I40" s="95" t="inlineStr"/>
      <c r="J40" s="95">
        <f>IFERROR(CHOOSE(MATCH(D40,{"Foundation","AI Readiness","Governance","Delivery","Culture"},0),'PCRI Assessment'!$J$15,'PCRI Assessment'!$J$16,'PCRI Assessment'!$J$17,'PCRI Assessment'!$J$18,'PCRI Assessment'!$J$19),0)</f>
        <v/>
      </c>
      <c r="K40" s="95">
        <f>'PCRI Assessment'!$J$21</f>
        <v/>
      </c>
      <c r="L40" s="95">
        <f>MAX(IF(K40="Builder",E40,IF(K40="Adopter",F40,IF(K40="Optimizer",G40,H40))),IF(AND(I40&lt;&gt;"",J40&lt;I40),1,0))</f>
        <v/>
      </c>
      <c r="M40" s="95">
        <f>IF(L40=0,0,IF(J40&lt;30,1.3,IF(J40&lt;50,1.15,1)))</f>
        <v/>
      </c>
    </row>
    <row r="41">
      <c r="A41" s="95" t="inlineStr">
        <is>
          <t>Implementation + Onboarding</t>
        </is>
      </c>
      <c r="B41" s="95" t="inlineStr">
        <is>
          <t>Foundations &amp; Token Taxonomy</t>
        </is>
      </c>
      <c r="C41" s="95">
        <f>A41&amp;"|"&amp;B41</f>
        <v/>
      </c>
      <c r="D41" s="95" t="inlineStr">
        <is>
          <t>Foundation</t>
        </is>
      </c>
      <c r="E41" s="95" t="n">
        <v>1</v>
      </c>
      <c r="F41" s="95" t="n">
        <v>1</v>
      </c>
      <c r="G41" s="95" t="n">
        <v>1</v>
      </c>
      <c r="H41" s="95" t="n">
        <v>1</v>
      </c>
      <c r="I41" s="95" t="inlineStr"/>
      <c r="J41" s="95">
        <f>IFERROR(CHOOSE(MATCH(D41,{"Foundation","AI Readiness","Governance","Delivery","Culture"},0),'PCRI Assessment'!$J$15,'PCRI Assessment'!$J$16,'PCRI Assessment'!$J$17,'PCRI Assessment'!$J$18,'PCRI Assessment'!$J$19),0)</f>
        <v/>
      </c>
      <c r="K41" s="95">
        <f>'PCRI Assessment'!$J$21</f>
        <v/>
      </c>
      <c r="L41" s="95">
        <f>MAX(IF(K41="Builder",E41,IF(K41="Adopter",F41,IF(K41="Optimizer",G41,H41))),IF(AND(I41&lt;&gt;"",J41&lt;I41),1,0))</f>
        <v/>
      </c>
      <c r="M41" s="95">
        <f>IF(L41=0,0,IF(J41&lt;30,1.3,IF(J41&lt;50,1.15,1)))</f>
        <v/>
      </c>
    </row>
    <row r="42">
      <c r="A42" s="95" t="inlineStr">
        <is>
          <t>Implementation + Onboarding</t>
        </is>
      </c>
      <c r="B42" s="95" t="inlineStr">
        <is>
          <t>Token Pipeline Build &amp; Theming Strategy</t>
        </is>
      </c>
      <c r="C42" s="95">
        <f>A42&amp;"|"&amp;B42</f>
        <v/>
      </c>
      <c r="D42" s="95" t="inlineStr">
        <is>
          <t>Foundation</t>
        </is>
      </c>
      <c r="E42" s="95" t="n">
        <v>1</v>
      </c>
      <c r="F42" s="95" t="n">
        <v>1</v>
      </c>
      <c r="G42" s="95" t="n">
        <v>1</v>
      </c>
      <c r="H42" s="95" t="n">
        <v>1</v>
      </c>
      <c r="I42" s="95" t="inlineStr"/>
      <c r="J42" s="95">
        <f>IFERROR(CHOOSE(MATCH(D42,{"Foundation","AI Readiness","Governance","Delivery","Culture"},0),'PCRI Assessment'!$J$15,'PCRI Assessment'!$J$16,'PCRI Assessment'!$J$17,'PCRI Assessment'!$J$18,'PCRI Assessment'!$J$19),0)</f>
        <v/>
      </c>
      <c r="K42" s="95">
        <f>'PCRI Assessment'!$J$21</f>
        <v/>
      </c>
      <c r="L42" s="95">
        <f>MAX(IF(K42="Builder",E42,IF(K42="Adopter",F42,IF(K42="Optimizer",G42,H42))),IF(AND(I42&lt;&gt;"",J42&lt;I42),1,0))</f>
        <v/>
      </c>
      <c r="M42" s="95">
        <f>IF(L42=0,0,IF(J42&lt;30,1.3,IF(J42&lt;50,1.15,1)))</f>
        <v/>
      </c>
    </row>
    <row r="43">
      <c r="A43" s="95" t="inlineStr">
        <is>
          <t>Implementation + Onboarding</t>
        </is>
      </c>
      <c r="B43" s="95" t="inlineStr">
        <is>
          <t>Component Inventory &amp; Prioritization</t>
        </is>
      </c>
      <c r="C43" s="95">
        <f>A43&amp;"|"&amp;B43</f>
        <v/>
      </c>
      <c r="D43" s="95" t="inlineStr">
        <is>
          <t>Foundation</t>
        </is>
      </c>
      <c r="E43" s="95" t="n">
        <v>1</v>
      </c>
      <c r="F43" s="95" t="n">
        <v>1</v>
      </c>
      <c r="G43" s="95" t="n">
        <v>1</v>
      </c>
      <c r="H43" s="95" t="n">
        <v>1</v>
      </c>
      <c r="I43" s="95" t="inlineStr"/>
      <c r="J43" s="95">
        <f>IFERROR(CHOOSE(MATCH(D43,{"Foundation","AI Readiness","Governance","Delivery","Culture"},0),'PCRI Assessment'!$J$15,'PCRI Assessment'!$J$16,'PCRI Assessment'!$J$17,'PCRI Assessment'!$J$18,'PCRI Assessment'!$J$19),0)</f>
        <v/>
      </c>
      <c r="K43" s="95">
        <f>'PCRI Assessment'!$J$21</f>
        <v/>
      </c>
      <c r="L43" s="95">
        <f>MAX(IF(K43="Builder",E43,IF(K43="Adopter",F43,IF(K43="Optimizer",G43,H43))),IF(AND(I43&lt;&gt;"",J43&lt;I43),1,0))</f>
        <v/>
      </c>
      <c r="M43" s="95">
        <f>IF(L43=0,0,IF(J43&lt;30,1.3,IF(J43&lt;50,1.15,1)))</f>
        <v/>
      </c>
    </row>
    <row r="44">
      <c r="A44" s="95" t="inlineStr">
        <is>
          <t>Implementation + Onboarding</t>
        </is>
      </c>
      <c r="B44" s="95" t="inlineStr">
        <is>
          <t>Component API Standards &amp; Templates</t>
        </is>
      </c>
      <c r="C44" s="95">
        <f>A44&amp;"|"&amp;B44</f>
        <v/>
      </c>
      <c r="D44" s="95" t="inlineStr">
        <is>
          <t>Foundation</t>
        </is>
      </c>
      <c r="E44" s="95" t="n">
        <v>1</v>
      </c>
      <c r="F44" s="95" t="n">
        <v>1</v>
      </c>
      <c r="G44" s="95" t="n">
        <v>1</v>
      </c>
      <c r="H44" s="95" t="n">
        <v>1</v>
      </c>
      <c r="I44" s="95" t="inlineStr"/>
      <c r="J44" s="95">
        <f>IFERROR(CHOOSE(MATCH(D44,{"Foundation","AI Readiness","Governance","Delivery","Culture"},0),'PCRI Assessment'!$J$15,'PCRI Assessment'!$J$16,'PCRI Assessment'!$J$17,'PCRI Assessment'!$J$18,'PCRI Assessment'!$J$19),0)</f>
        <v/>
      </c>
      <c r="K44" s="95">
        <f>'PCRI Assessment'!$J$21</f>
        <v/>
      </c>
      <c r="L44" s="95">
        <f>MAX(IF(K44="Builder",E44,IF(K44="Adopter",F44,IF(K44="Optimizer",G44,H44))),IF(AND(I44&lt;&gt;"",J44&lt;I44),1,0))</f>
        <v/>
      </c>
      <c r="M44" s="95">
        <f>IF(L44=0,0,IF(J44&lt;30,1.3,IF(J44&lt;50,1.15,1)))</f>
        <v/>
      </c>
    </row>
    <row r="45">
      <c r="A45" s="95" t="inlineStr">
        <is>
          <t>Implementation + Onboarding</t>
        </is>
      </c>
      <c r="B45" s="95" t="inlineStr">
        <is>
          <t>Code Connect Strategy &amp; Configuration</t>
        </is>
      </c>
      <c r="C45" s="95">
        <f>A45&amp;"|"&amp;B45</f>
        <v/>
      </c>
      <c r="D45" s="95" t="inlineStr">
        <is>
          <t>AI Readiness</t>
        </is>
      </c>
      <c r="E45" s="95" t="n">
        <v>0</v>
      </c>
      <c r="F45" s="95" t="n">
        <v>1</v>
      </c>
      <c r="G45" s="95" t="n">
        <v>1</v>
      </c>
      <c r="H45" s="95" t="n">
        <v>1</v>
      </c>
      <c r="I45" s="95" t="inlineStr"/>
      <c r="J45" s="95">
        <f>IFERROR(CHOOSE(MATCH(D45,{"Foundation","AI Readiness","Governance","Delivery","Culture"},0),'PCRI Assessment'!$J$15,'PCRI Assessment'!$J$16,'PCRI Assessment'!$J$17,'PCRI Assessment'!$J$18,'PCRI Assessment'!$J$19),0)</f>
        <v/>
      </c>
      <c r="K45" s="95">
        <f>'PCRI Assessment'!$J$21</f>
        <v/>
      </c>
      <c r="L45" s="95">
        <f>MAX(IF(K45="Builder",E45,IF(K45="Adopter",F45,IF(K45="Optimizer",G45,H45))),IF(AND(I45&lt;&gt;"",J45&lt;I45),1,0))</f>
        <v/>
      </c>
      <c r="M45" s="95">
        <f>IF(L45=0,0,IF(J45&lt;30,1.3,IF(J45&lt;50,1.15,1)))</f>
        <v/>
      </c>
    </row>
    <row r="46">
      <c r="A46" s="95" t="inlineStr">
        <is>
          <t>Implementation + Onboarding</t>
        </is>
      </c>
      <c r="B46" s="95" t="inlineStr">
        <is>
          <t>Documentation IA &amp; Templates (Design System Docs)</t>
        </is>
      </c>
      <c r="C46" s="95">
        <f>A46&amp;"|"&amp;B46</f>
        <v/>
      </c>
      <c r="D46" s="95" t="inlineStr">
        <is>
          <t>Foundation</t>
        </is>
      </c>
      <c r="E46" s="95" t="n">
        <v>1</v>
      </c>
      <c r="F46" s="95" t="n">
        <v>1</v>
      </c>
      <c r="G46" s="95" t="n">
        <v>1</v>
      </c>
      <c r="H46" s="95" t="n">
        <v>1</v>
      </c>
      <c r="I46" s="95" t="inlineStr"/>
      <c r="J46" s="95">
        <f>IFERROR(CHOOSE(MATCH(D46,{"Foundation","AI Readiness","Governance","Delivery","Culture"},0),'PCRI Assessment'!$J$15,'PCRI Assessment'!$J$16,'PCRI Assessment'!$J$17,'PCRI Assessment'!$J$18,'PCRI Assessment'!$J$19),0)</f>
        <v/>
      </c>
      <c r="K46" s="95">
        <f>'PCRI Assessment'!$J$21</f>
        <v/>
      </c>
      <c r="L46" s="95">
        <f>MAX(IF(K46="Builder",E46,IF(K46="Adopter",F46,IF(K46="Optimizer",G46,H46))),IF(AND(I46&lt;&gt;"",J46&lt;I46),1,0))</f>
        <v/>
      </c>
      <c r="M46" s="95">
        <f>IF(L46=0,0,IF(J46&lt;30,1.3,IF(J46&lt;50,1.15,1)))</f>
        <v/>
      </c>
    </row>
    <row r="47">
      <c r="A47" s="95" t="inlineStr">
        <is>
          <t>Implementation + Onboarding</t>
        </is>
      </c>
      <c r="B47" s="95" t="inlineStr">
        <is>
          <t>Quality Gates Setup (A11y, Visual, Performance, Security)</t>
        </is>
      </c>
      <c r="C47" s="95">
        <f>A47&amp;"|"&amp;B47</f>
        <v/>
      </c>
      <c r="D47" s="95" t="inlineStr">
        <is>
          <t>Delivery</t>
        </is>
      </c>
      <c r="E47" s="95" t="n">
        <v>1</v>
      </c>
      <c r="F47" s="95" t="n">
        <v>1</v>
      </c>
      <c r="G47" s="95" t="n">
        <v>1</v>
      </c>
      <c r="H47" s="95" t="n">
        <v>1</v>
      </c>
      <c r="I47" s="95" t="inlineStr"/>
      <c r="J47" s="95">
        <f>IFERROR(CHOOSE(MATCH(D47,{"Foundation","AI Readiness","Governance","Delivery","Culture"},0),'PCRI Assessment'!$J$15,'PCRI Assessment'!$J$16,'PCRI Assessment'!$J$17,'PCRI Assessment'!$J$18,'PCRI Assessment'!$J$19),0)</f>
        <v/>
      </c>
      <c r="K47" s="95">
        <f>'PCRI Assessment'!$J$21</f>
        <v/>
      </c>
      <c r="L47" s="95">
        <f>MAX(IF(K47="Builder",E47,IF(K47="Adopter",F47,IF(K47="Optimizer",G47,H47))),IF(AND(I47&lt;&gt;"",J47&lt;I47),1,0))</f>
        <v/>
      </c>
      <c r="M47" s="95">
        <f>IF(L47=0,0,IF(J47&lt;30,1.3,IF(J47&lt;50,1.15,1)))</f>
        <v/>
      </c>
    </row>
    <row r="48">
      <c r="A48" s="95" t="inlineStr">
        <is>
          <t>Implementation + Onboarding</t>
        </is>
      </c>
      <c r="B48" s="95" t="inlineStr">
        <is>
          <t>Release Engineering &amp; Package Strategy</t>
        </is>
      </c>
      <c r="C48" s="95">
        <f>A48&amp;"|"&amp;B48</f>
        <v/>
      </c>
      <c r="D48" s="95" t="inlineStr">
        <is>
          <t>Delivery</t>
        </is>
      </c>
      <c r="E48" s="95" t="n">
        <v>1</v>
      </c>
      <c r="F48" s="95" t="n">
        <v>1</v>
      </c>
      <c r="G48" s="95" t="n">
        <v>1</v>
      </c>
      <c r="H48" s="95" t="n">
        <v>1</v>
      </c>
      <c r="I48" s="95" t="inlineStr"/>
      <c r="J48" s="95">
        <f>IFERROR(CHOOSE(MATCH(D48,{"Foundation","AI Readiness","Governance","Delivery","Culture"},0),'PCRI Assessment'!$J$15,'PCRI Assessment'!$J$16,'PCRI Assessment'!$J$17,'PCRI Assessment'!$J$18,'PCRI Assessment'!$J$19),0)</f>
        <v/>
      </c>
      <c r="K48" s="95">
        <f>'PCRI Assessment'!$J$21</f>
        <v/>
      </c>
      <c r="L48" s="95">
        <f>MAX(IF(K48="Builder",E48,IF(K48="Adopter",F48,IF(K48="Optimizer",G48,H48))),IF(AND(I48&lt;&gt;"",J48&lt;I48),1,0))</f>
        <v/>
      </c>
      <c r="M48" s="95">
        <f>IF(L48=0,0,IF(J48&lt;30,1.3,IF(J48&lt;50,1.15,1)))</f>
        <v/>
      </c>
    </row>
    <row r="49">
      <c r="A49" s="95" t="inlineStr">
        <is>
          <t>Implementation + Onboarding</t>
        </is>
      </c>
      <c r="B49" s="95" t="inlineStr">
        <is>
          <t>AI Contextual Capabilities – Context Model &amp; Knowledge Base</t>
        </is>
      </c>
      <c r="C49" s="95">
        <f>A49&amp;"|"&amp;B49</f>
        <v/>
      </c>
      <c r="D49" s="95" t="inlineStr">
        <is>
          <t>AI Readiness</t>
        </is>
      </c>
      <c r="E49" s="95" t="n">
        <v>0</v>
      </c>
      <c r="F49" s="95" t="n">
        <v>0</v>
      </c>
      <c r="G49" s="95" t="n">
        <v>1</v>
      </c>
      <c r="H49" s="95" t="n">
        <v>1</v>
      </c>
      <c r="I49" s="95" t="n">
        <v>70</v>
      </c>
      <c r="J49" s="95">
        <f>IFERROR(CHOOSE(MATCH(D49,{"Foundation","AI Readiness","Governance","Delivery","Culture"},0),'PCRI Assessment'!$J$15,'PCRI Assessment'!$J$16,'PCRI Assessment'!$J$17,'PCRI Assessment'!$J$18,'PCRI Assessment'!$J$19),0)</f>
        <v/>
      </c>
      <c r="K49" s="95">
        <f>'PCRI Assessment'!$J$21</f>
        <v/>
      </c>
      <c r="L49" s="95">
        <f>MAX(IF(K49="Builder",E49,IF(K49="Adopter",F49,IF(K49="Optimizer",G49,H49))),IF(AND(I49&lt;&gt;"",J49&lt;I49),1,0))</f>
        <v/>
      </c>
      <c r="M49" s="95">
        <f>IF(L49=0,0,IF(J49&lt;30,1.3,IF(J49&lt;50,1.15,1)))</f>
        <v/>
      </c>
    </row>
    <row r="50">
      <c r="A50" s="95" t="inlineStr">
        <is>
          <t>Scaled Rollout and Adoption</t>
        </is>
      </c>
      <c r="B50" s="95" t="inlineStr">
        <is>
          <t>Component Library MVP Build (Core Set)</t>
        </is>
      </c>
      <c r="C50" s="95">
        <f>A50&amp;"|"&amp;B50</f>
        <v/>
      </c>
      <c r="D50" s="95" t="inlineStr">
        <is>
          <t>Foundation</t>
        </is>
      </c>
      <c r="E50" s="95" t="n">
        <v>1</v>
      </c>
      <c r="F50" s="95" t="n">
        <v>1</v>
      </c>
      <c r="G50" s="95" t="n">
        <v>1</v>
      </c>
      <c r="H50" s="95" t="n">
        <v>1</v>
      </c>
      <c r="I50" s="95" t="inlineStr"/>
      <c r="J50" s="95">
        <f>IFERROR(CHOOSE(MATCH(D50,{"Foundation","AI Readiness","Governance","Delivery","Culture"},0),'PCRI Assessment'!$J$15,'PCRI Assessment'!$J$16,'PCRI Assessment'!$J$17,'PCRI Assessment'!$J$18,'PCRI Assessment'!$J$19),0)</f>
        <v/>
      </c>
      <c r="K50" s="95">
        <f>'PCRI Assessment'!$J$21</f>
        <v/>
      </c>
      <c r="L50" s="95">
        <f>MAX(IF(K50="Builder",E50,IF(K50="Adopter",F50,IF(K50="Optimizer",G50,H50))),IF(AND(I50&lt;&gt;"",J50&lt;I50),1,0))</f>
        <v/>
      </c>
      <c r="M50" s="95">
        <f>IF(L50=0,0,IF(J50&lt;30,1.3,IF(J50&lt;50,1.15,1)))</f>
        <v/>
      </c>
    </row>
    <row r="51">
      <c r="A51" s="95" t="inlineStr">
        <is>
          <t>Scaled Rollout and Adoption</t>
        </is>
      </c>
      <c r="B51" s="95" t="inlineStr">
        <is>
          <t>Code Connect Coverage Expansion &amp; Drift Remediation</t>
        </is>
      </c>
      <c r="C51" s="95">
        <f>A51&amp;"|"&amp;B51</f>
        <v/>
      </c>
      <c r="D51" s="95" t="inlineStr">
        <is>
          <t>AI Readiness</t>
        </is>
      </c>
      <c r="E51" s="95" t="n">
        <v>0</v>
      </c>
      <c r="F51" s="95" t="n">
        <v>1</v>
      </c>
      <c r="G51" s="95" t="n">
        <v>1</v>
      </c>
      <c r="H51" s="95" t="n">
        <v>1</v>
      </c>
      <c r="I51" s="95" t="inlineStr"/>
      <c r="J51" s="95">
        <f>IFERROR(CHOOSE(MATCH(D51,{"Foundation","AI Readiness","Governance","Delivery","Culture"},0),'PCRI Assessment'!$J$15,'PCRI Assessment'!$J$16,'PCRI Assessment'!$J$17,'PCRI Assessment'!$J$18,'PCRI Assessment'!$J$19),0)</f>
        <v/>
      </c>
      <c r="K51" s="95">
        <f>'PCRI Assessment'!$J$21</f>
        <v/>
      </c>
      <c r="L51" s="95">
        <f>MAX(IF(K51="Builder",E51,IF(K51="Adopter",F51,IF(K51="Optimizer",G51,H51))),IF(AND(I51&lt;&gt;"",J51&lt;I51),1,0))</f>
        <v/>
      </c>
      <c r="M51" s="95">
        <f>IF(L51=0,0,IF(J51&lt;30,1.3,IF(J51&lt;50,1.15,1)))</f>
        <v/>
      </c>
    </row>
    <row r="52">
      <c r="A52" s="95" t="inlineStr">
        <is>
          <t>Scaled Rollout and Adoption</t>
        </is>
      </c>
      <c r="B52" s="95" t="inlineStr">
        <is>
          <t>Docs Launch + Recipes &amp; Migration Guides</t>
        </is>
      </c>
      <c r="C52" s="95">
        <f>A52&amp;"|"&amp;B52</f>
        <v/>
      </c>
      <c r="D52" s="95" t="inlineStr">
        <is>
          <t>Foundation</t>
        </is>
      </c>
      <c r="E52" s="95" t="n">
        <v>1</v>
      </c>
      <c r="F52" s="95" t="n">
        <v>1</v>
      </c>
      <c r="G52" s="95" t="n">
        <v>1</v>
      </c>
      <c r="H52" s="95" t="n">
        <v>1</v>
      </c>
      <c r="I52" s="95" t="inlineStr"/>
      <c r="J52" s="95">
        <f>IFERROR(CHOOSE(MATCH(D52,{"Foundation","AI Readiness","Governance","Delivery","Culture"},0),'PCRI Assessment'!$J$15,'PCRI Assessment'!$J$16,'PCRI Assessment'!$J$17,'PCRI Assessment'!$J$18,'PCRI Assessment'!$J$19),0)</f>
        <v/>
      </c>
      <c r="K52" s="95">
        <f>'PCRI Assessment'!$J$21</f>
        <v/>
      </c>
      <c r="L52" s="95">
        <f>MAX(IF(K52="Builder",E52,IF(K52="Adopter",F52,IF(K52="Optimizer",G52,H52))),IF(AND(I52&lt;&gt;"",J52&lt;I52),1,0))</f>
        <v/>
      </c>
      <c r="M52" s="95">
        <f>IF(L52=0,0,IF(J52&lt;30,1.3,IF(J52&lt;50,1.15,1)))</f>
        <v/>
      </c>
    </row>
    <row r="53">
      <c r="A53" s="95" t="inlineStr">
        <is>
          <t>Scaled Rollout and Adoption</t>
        </is>
      </c>
      <c r="B53" s="95" t="inlineStr">
        <is>
          <t>Partner Contribution Pathway &amp; Certification</t>
        </is>
      </c>
      <c r="C53" s="95">
        <f>A53&amp;"|"&amp;B53</f>
        <v/>
      </c>
      <c r="D53" s="95" t="inlineStr">
        <is>
          <t>Delivery</t>
        </is>
      </c>
      <c r="E53" s="95" t="n">
        <v>1</v>
      </c>
      <c r="F53" s="95" t="n">
        <v>1</v>
      </c>
      <c r="G53" s="95" t="n">
        <v>1</v>
      </c>
      <c r="H53" s="95" t="n">
        <v>1</v>
      </c>
      <c r="I53" s="95" t="inlineStr"/>
      <c r="J53" s="95">
        <f>IFERROR(CHOOSE(MATCH(D53,{"Foundation","AI Readiness","Governance","Delivery","Culture"},0),'PCRI Assessment'!$J$15,'PCRI Assessment'!$J$16,'PCRI Assessment'!$J$17,'PCRI Assessment'!$J$18,'PCRI Assessment'!$J$19),0)</f>
        <v/>
      </c>
      <c r="K53" s="95">
        <f>'PCRI Assessment'!$J$21</f>
        <v/>
      </c>
      <c r="L53" s="95">
        <f>MAX(IF(K53="Builder",E53,IF(K53="Adopter",F53,IF(K53="Optimizer",G53,H53))),IF(AND(I53&lt;&gt;"",J53&lt;I53),1,0))</f>
        <v/>
      </c>
      <c r="M53" s="95">
        <f>IF(L53=0,0,IF(J53&lt;30,1.3,IF(J53&lt;50,1.15,1)))</f>
        <v/>
      </c>
    </row>
    <row r="54">
      <c r="A54" s="95" t="inlineStr">
        <is>
          <t>Scaled Rollout and Adoption</t>
        </is>
      </c>
      <c r="B54" s="95" t="inlineStr">
        <is>
          <t>AI Contextual Capabilities – Workflow Integrations</t>
        </is>
      </c>
      <c r="C54" s="95">
        <f>A54&amp;"|"&amp;B54</f>
        <v/>
      </c>
      <c r="D54" s="95" t="inlineStr">
        <is>
          <t>AI Readiness</t>
        </is>
      </c>
      <c r="E54" s="95" t="n">
        <v>0</v>
      </c>
      <c r="F54" s="95" t="n">
        <v>0</v>
      </c>
      <c r="G54" s="95" t="n">
        <v>1</v>
      </c>
      <c r="H54" s="95" t="n">
        <v>1</v>
      </c>
      <c r="I54" s="95" t="n">
        <v>70</v>
      </c>
      <c r="J54" s="95">
        <f>IFERROR(CHOOSE(MATCH(D54,{"Foundation","AI Readiness","Governance","Delivery","Culture"},0),'PCRI Assessment'!$J$15,'PCRI Assessment'!$J$16,'PCRI Assessment'!$J$17,'PCRI Assessment'!$J$18,'PCRI Assessment'!$J$19),0)</f>
        <v/>
      </c>
      <c r="K54" s="95">
        <f>'PCRI Assessment'!$J$21</f>
        <v/>
      </c>
      <c r="L54" s="95">
        <f>MAX(IF(K54="Builder",E54,IF(K54="Adopter",F54,IF(K54="Optimizer",G54,H54))),IF(AND(I54&lt;&gt;"",J54&lt;I54),1,0))</f>
        <v/>
      </c>
      <c r="M54" s="95">
        <f>IF(L54=0,0,IF(J54&lt;30,1.3,IF(J54&lt;50,1.15,1)))</f>
        <v/>
      </c>
    </row>
    <row r="55">
      <c r="A55" s="95" t="inlineStr">
        <is>
          <t>Scaled Rollout and Adoption</t>
        </is>
      </c>
      <c r="B55" s="95" t="inlineStr">
        <is>
          <t>AI Contextual Capabilities – Evaluation Harness + Telemetry</t>
        </is>
      </c>
      <c r="C55" s="95">
        <f>A55&amp;"|"&amp;B55</f>
        <v/>
      </c>
      <c r="D55" s="95" t="inlineStr">
        <is>
          <t>AI Readiness</t>
        </is>
      </c>
      <c r="E55" s="95" t="n">
        <v>0</v>
      </c>
      <c r="F55" s="95" t="n">
        <v>0</v>
      </c>
      <c r="G55" s="95" t="n">
        <v>1</v>
      </c>
      <c r="H55" s="95" t="n">
        <v>1</v>
      </c>
      <c r="I55" s="95" t="n">
        <v>70</v>
      </c>
      <c r="J55" s="95">
        <f>IFERROR(CHOOSE(MATCH(D55,{"Foundation","AI Readiness","Governance","Delivery","Culture"},0),'PCRI Assessment'!$J$15,'PCRI Assessment'!$J$16,'PCRI Assessment'!$J$17,'PCRI Assessment'!$J$18,'PCRI Assessment'!$J$19),0)</f>
        <v/>
      </c>
      <c r="K55" s="95">
        <f>'PCRI Assessment'!$J$21</f>
        <v/>
      </c>
      <c r="L55" s="95">
        <f>MAX(IF(K55="Builder",E55,IF(K55="Adopter",F55,IF(K55="Optimizer",G55,H55))),IF(AND(I55&lt;&gt;"",J55&lt;I55),1,0))</f>
        <v/>
      </c>
      <c r="M55" s="95">
        <f>IF(L55=0,0,IF(J55&lt;30,1.3,IF(J55&lt;50,1.15,1)))</f>
        <v/>
      </c>
    </row>
    <row r="56">
      <c r="A56" s="95" t="inlineStr">
        <is>
          <t>Optimization and Continued Support</t>
        </is>
      </c>
      <c r="B56" s="95" t="inlineStr">
        <is>
          <t>Continuous Quality &amp; Accessibility Automation</t>
        </is>
      </c>
      <c r="C56" s="95">
        <f>A56&amp;"|"&amp;B56</f>
        <v/>
      </c>
      <c r="D56" s="95" t="inlineStr">
        <is>
          <t>Delivery</t>
        </is>
      </c>
      <c r="E56" s="95" t="n">
        <v>0</v>
      </c>
      <c r="F56" s="95" t="n">
        <v>1</v>
      </c>
      <c r="G56" s="95" t="n">
        <v>1</v>
      </c>
      <c r="H56" s="95" t="n">
        <v>1</v>
      </c>
      <c r="I56" s="95" t="inlineStr"/>
      <c r="J56" s="95">
        <f>IFERROR(CHOOSE(MATCH(D56,{"Foundation","AI Readiness","Governance","Delivery","Culture"},0),'PCRI Assessment'!$J$15,'PCRI Assessment'!$J$16,'PCRI Assessment'!$J$17,'PCRI Assessment'!$J$18,'PCRI Assessment'!$J$19),0)</f>
        <v/>
      </c>
      <c r="K56" s="95">
        <f>'PCRI Assessment'!$J$21</f>
        <v/>
      </c>
      <c r="L56" s="95">
        <f>MAX(IF(K56="Builder",E56,IF(K56="Adopter",F56,IF(K56="Optimizer",G56,H56))),IF(AND(I56&lt;&gt;"",J56&lt;I56),1,0))</f>
        <v/>
      </c>
      <c r="M56" s="95">
        <f>IF(L56=0,0,IF(J56&lt;30,1.3,IF(J56&lt;50,1.15,1)))</f>
        <v/>
      </c>
    </row>
    <row r="57">
      <c r="A57" s="95" t="inlineStr">
        <is>
          <t>Optimization and Continued Support</t>
        </is>
      </c>
      <c r="B57" s="95" t="inlineStr">
        <is>
          <t>Release Cadence, Deprecations &amp; Migrations</t>
        </is>
      </c>
      <c r="C57" s="95">
        <f>A57&amp;"|"&amp;B57</f>
        <v/>
      </c>
      <c r="D57" s="95" t="inlineStr">
        <is>
          <t>Delivery</t>
        </is>
      </c>
      <c r="E57" s="95" t="n">
        <v>0</v>
      </c>
      <c r="F57" s="95" t="n">
        <v>1</v>
      </c>
      <c r="G57" s="95" t="n">
        <v>1</v>
      </c>
      <c r="H57" s="95" t="n">
        <v>1</v>
      </c>
      <c r="I57" s="95" t="inlineStr"/>
      <c r="J57" s="95">
        <f>IFERROR(CHOOSE(MATCH(D57,{"Foundation","AI Readiness","Governance","Delivery","Culture"},0),'PCRI Assessment'!$J$15,'PCRI Assessment'!$J$16,'PCRI Assessment'!$J$17,'PCRI Assessment'!$J$18,'PCRI Assessment'!$J$19),0)</f>
        <v/>
      </c>
      <c r="K57" s="95">
        <f>'PCRI Assessment'!$J$21</f>
        <v/>
      </c>
      <c r="L57" s="95">
        <f>MAX(IF(K57="Builder",E57,IF(K57="Adopter",F57,IF(K57="Optimizer",G57,H57))),IF(AND(I57&lt;&gt;"",J57&lt;I57),1,0))</f>
        <v/>
      </c>
      <c r="M57" s="95">
        <f>IF(L57=0,0,IF(J57&lt;30,1.3,IF(J57&lt;50,1.15,1)))</f>
        <v/>
      </c>
    </row>
    <row r="58">
      <c r="A58" s="95" t="inlineStr">
        <is>
          <t>Optimization and Continued Support</t>
        </is>
      </c>
      <c r="B58" s="95" t="inlineStr">
        <is>
          <t>Adoption Analytics &amp; Reporting (Design↔Code)</t>
        </is>
      </c>
      <c r="C58" s="95">
        <f>A58&amp;"|"&amp;B58</f>
        <v/>
      </c>
      <c r="D58" s="95" t="inlineStr">
        <is>
          <t>Delivery</t>
        </is>
      </c>
      <c r="E58" s="95" t="n">
        <v>0</v>
      </c>
      <c r="F58" s="95" t="n">
        <v>1</v>
      </c>
      <c r="G58" s="95" t="n">
        <v>1</v>
      </c>
      <c r="H58" s="95" t="n">
        <v>1</v>
      </c>
      <c r="I58" s="95" t="inlineStr"/>
      <c r="J58" s="95">
        <f>IFERROR(CHOOSE(MATCH(D58,{"Foundation","AI Readiness","Governance","Delivery","Culture"},0),'PCRI Assessment'!$J$15,'PCRI Assessment'!$J$16,'PCRI Assessment'!$J$17,'PCRI Assessment'!$J$18,'PCRI Assessment'!$J$19),0)</f>
        <v/>
      </c>
      <c r="K58" s="95">
        <f>'PCRI Assessment'!$J$21</f>
        <v/>
      </c>
      <c r="L58" s="95">
        <f>MAX(IF(K58="Builder",E58,IF(K58="Adopter",F58,IF(K58="Optimizer",G58,H58))),IF(AND(I58&lt;&gt;"",J58&lt;I58),1,0))</f>
        <v/>
      </c>
      <c r="M58" s="95">
        <f>IF(L58=0,0,IF(J58&lt;30,1.3,IF(J58&lt;50,1.15,1)))</f>
        <v/>
      </c>
    </row>
    <row r="59">
      <c r="A59" s="95" t="inlineStr">
        <is>
          <t>Optimization and Continued Support</t>
        </is>
      </c>
      <c r="B59" s="95" t="inlineStr">
        <is>
          <t>AI Contextual Capabilities – Guardrails, Governance &amp; Iteration</t>
        </is>
      </c>
      <c r="C59" s="95">
        <f>A59&amp;"|"&amp;B59</f>
        <v/>
      </c>
      <c r="D59" s="95" t="inlineStr">
        <is>
          <t>AI Readiness</t>
        </is>
      </c>
      <c r="E59" s="95" t="n">
        <v>0</v>
      </c>
      <c r="F59" s="95" t="n">
        <v>0</v>
      </c>
      <c r="G59" s="95" t="n">
        <v>1</v>
      </c>
      <c r="H59" s="95" t="n">
        <v>1</v>
      </c>
      <c r="I59" s="95" t="n">
        <v>70</v>
      </c>
      <c r="J59" s="95">
        <f>IFERROR(CHOOSE(MATCH(D59,{"Foundation","AI Readiness","Governance","Delivery","Culture"},0),'PCRI Assessment'!$J$15,'PCRI Assessment'!$J$16,'PCRI Assessment'!$J$17,'PCRI Assessment'!$J$18,'PCRI Assessment'!$J$19),0)</f>
        <v/>
      </c>
      <c r="K59" s="95">
        <f>'PCRI Assessment'!$J$21</f>
        <v/>
      </c>
      <c r="L59" s="95">
        <f>MAX(IF(K59="Builder",E59,IF(K59="Adopter",F59,IF(K59="Optimizer",G59,H59))),IF(AND(I59&lt;&gt;"",J59&lt;I59),1,0))</f>
        <v/>
      </c>
      <c r="M59" s="95">
        <f>IF(L59=0,0,IF(J59&lt;30,1.3,IF(J59&lt;50,1.15,1)))</f>
        <v/>
      </c>
    </row>
    <row r="60">
      <c r="A60" s="95" t="inlineStr">
        <is>
          <t>Optimization and Continued Support</t>
        </is>
      </c>
      <c r="B60" s="95" t="inlineStr">
        <is>
          <t>AI Contextual Capabilities – Feedback Loop + Knowledge Refresh</t>
        </is>
      </c>
      <c r="C60" s="95">
        <f>A60&amp;"|"&amp;B60</f>
        <v/>
      </c>
      <c r="D60" s="95" t="inlineStr">
        <is>
          <t>AI Readiness</t>
        </is>
      </c>
      <c r="E60" s="95" t="n">
        <v>0</v>
      </c>
      <c r="F60" s="95" t="n">
        <v>0</v>
      </c>
      <c r="G60" s="95" t="n">
        <v>1</v>
      </c>
      <c r="H60" s="95" t="n">
        <v>1</v>
      </c>
      <c r="I60" s="95" t="n">
        <v>70</v>
      </c>
      <c r="J60" s="95">
        <f>IFERROR(CHOOSE(MATCH(D60,{"Foundation","AI Readiness","Governance","Delivery","Culture"},0),'PCRI Assessment'!$J$15,'PCRI Assessment'!$J$16,'PCRI Assessment'!$J$17,'PCRI Assessment'!$J$18,'PCRI Assessment'!$J$19),0)</f>
        <v/>
      </c>
      <c r="K60" s="95">
        <f>'PCRI Assessment'!$J$21</f>
        <v/>
      </c>
      <c r="L60" s="95">
        <f>MAX(IF(K60="Builder",E60,IF(K60="Adopter",F60,IF(K60="Optimizer",G60,H60))),IF(AND(I60&lt;&gt;"",J60&lt;I60),1,0))</f>
        <v/>
      </c>
      <c r="M60" s="95">
        <f>IF(L60=0,0,IF(J60&lt;30,1.3,IF(J60&lt;50,1.15,1)))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2025-10-16T07:44:59Z</dcterms:created>
  <dcterms:modified xmlns:dcterms="http://purl.org/dc/terms/" xmlns:xsi="http://www.w3.org/2001/XMLSchema-instance" xsi:type="dcterms:W3CDTF">2026-02-16T15:48:34Z</dcterms:modified>
</cp:coreProperties>
</file>